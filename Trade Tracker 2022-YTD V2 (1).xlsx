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. Dashboard" sheetId="1" r:id="rId4"/>
    <sheet state="visible" name="Dashboard" sheetId="2" r:id="rId5"/>
    <sheet state="visible" name="Eurobond Trade Tracker" sheetId="3" r:id="rId6"/>
    <sheet state="visible" name="Ghana Domestic Trade Tracker" sheetId="4" r:id="rId7"/>
    <sheet state="visible" name="NGN Domestic Trade Tracker" sheetId="5" r:id="rId8"/>
    <sheet state="visible" name="Copy of NGN Domestic Trade Trac" sheetId="6" r:id="rId9"/>
    <sheet state="visible" name="Sheet4" sheetId="7" r:id="rId10"/>
    <sheet state="visible" name="Bonds Universe" sheetId="8" r:id="rId11"/>
    <sheet state="visible" name="Transfer Tracker" sheetId="9" r:id="rId12"/>
    <sheet state="visible" name="Private facilities" sheetId="10" r:id="rId13"/>
    <sheet state="visible" name="Sheet1" sheetId="11" r:id="rId14"/>
    <sheet state="visible" name="VC-PE" sheetId="12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localSheetId="5" name="bbg_id">'Bonds Universe'!#REF!</definedName>
    <definedName name="bbg_id">'[1]Reference Portfolio'!$E$5:$E$117</definedName>
    <definedName name="data">'[1]Reference Portfolio'!$C$5:$AE$117</definedName>
    <definedName name="er">'Bonds Universe'!#REF!</definedName>
    <definedName name="F">'[2]Summary Sheet'!$A$3</definedName>
    <definedName name="g">'[3]Summary Sheet'!$A$3</definedName>
    <definedName name="GIFDATE">'[4]GIF Summary '!$B$1</definedName>
    <definedName name="GIFReportDate">'[5]Summary Sheet'!$A$3</definedName>
    <definedName name="GIFSHEETNEWDATE">[6]SUMMARY!$D$5</definedName>
    <definedName name="header">'[1]Reference Portfolio'!$C$4:$AE$4</definedName>
    <definedName name="month">'[7]Summary Sheet'!$G$3</definedName>
    <definedName name="New_GIF_Date">'[4]GIF Summary '!$I$1</definedName>
    <definedName name="ny">'Bonds Universe'!#REF!</definedName>
    <definedName name="Previous_Month">'[4]GIF Summary '!$O$2</definedName>
    <definedName name="Previous_Year">'[4]GIF Summary '!$N$2</definedName>
    <definedName name="reportdate">'[4]Summary - Liabilities'!$A$2</definedName>
    <definedName name="s_header">'[8]2015 HP'!$C$17:$HU$17</definedName>
    <definedName name="sankore_id">'Bonds Universe'!#REF!</definedName>
    <definedName localSheetId="2" name="solver_adj">'Eurobond Trade Tracker'!#REF!</definedName>
    <definedName localSheetId="4" name="solver_adj">'NGN Domestic Trade Tracker'!#REF!</definedName>
    <definedName localSheetId="2" name="solver_cvg">0.0001</definedName>
    <definedName localSheetId="4" name="solver_cvg">0.0001</definedName>
    <definedName localSheetId="2" name="solver_drv">1</definedName>
    <definedName localSheetId="4" name="solver_drv">1</definedName>
    <definedName localSheetId="2" name="solver_eng">1</definedName>
    <definedName localSheetId="4" name="solver_eng">1</definedName>
    <definedName localSheetId="2" name="solver_est">1</definedName>
    <definedName localSheetId="4" name="solver_est">1</definedName>
    <definedName localSheetId="2" name="solver_itr">2147483647</definedName>
    <definedName localSheetId="4" name="solver_itr">2147483647</definedName>
    <definedName localSheetId="2" name="solver_mip">2147483647</definedName>
    <definedName localSheetId="4" name="solver_mip">2147483647</definedName>
    <definedName localSheetId="2" name="solver_mni">30</definedName>
    <definedName localSheetId="4" name="solver_mni">30</definedName>
    <definedName localSheetId="2" name="solver_mrt">0.075</definedName>
    <definedName localSheetId="4" name="solver_mrt">0.075</definedName>
    <definedName localSheetId="2" name="solver_msl">2</definedName>
    <definedName localSheetId="4" name="solver_msl">2</definedName>
    <definedName localSheetId="2" name="solver_neg">2</definedName>
    <definedName localSheetId="4" name="solver_neg">2</definedName>
    <definedName localSheetId="2" name="solver_nod">2147483647</definedName>
    <definedName localSheetId="4" name="solver_nod">2147483647</definedName>
    <definedName localSheetId="2" name="solver_num">0</definedName>
    <definedName localSheetId="4" name="solver_num">0</definedName>
    <definedName localSheetId="2" name="solver_nwt">1</definedName>
    <definedName localSheetId="4" name="solver_nwt">1</definedName>
    <definedName localSheetId="2" name="solver_opt">'Eurobond Trade Tracker'!#REF!</definedName>
    <definedName localSheetId="4" name="solver_opt">'NGN Domestic Trade Tracker'!#REF!</definedName>
    <definedName localSheetId="2" name="solver_pre">0.000001</definedName>
    <definedName localSheetId="4" name="solver_pre">0.000001</definedName>
    <definedName localSheetId="2" name="solver_rbv">1</definedName>
    <definedName localSheetId="4" name="solver_rbv">1</definedName>
    <definedName localSheetId="2" name="solver_rlx">2</definedName>
    <definedName localSheetId="4" name="solver_rlx">2</definedName>
    <definedName localSheetId="2" name="solver_rsd">0</definedName>
    <definedName localSheetId="4" name="solver_rsd">0</definedName>
    <definedName localSheetId="2" name="solver_scl">1</definedName>
    <definedName localSheetId="4" name="solver_scl">1</definedName>
    <definedName localSheetId="2" name="solver_sho">2</definedName>
    <definedName localSheetId="4" name="solver_sho">2</definedName>
    <definedName localSheetId="2" name="solver_ssz">100</definedName>
    <definedName localSheetId="4" name="solver_ssz">100</definedName>
    <definedName localSheetId="2" name="solver_tim">2147483647</definedName>
    <definedName localSheetId="4" name="solver_tim">2147483647</definedName>
    <definedName localSheetId="2" name="solver_tol">0.01</definedName>
    <definedName localSheetId="4" name="solver_tol">0.01</definedName>
    <definedName localSheetId="2" name="solver_typ">3</definedName>
    <definedName localSheetId="4" name="solver_typ">3</definedName>
    <definedName localSheetId="2" name="solver_val">0</definedName>
    <definedName localSheetId="4" name="solver_val">0</definedName>
    <definedName localSheetId="2" name="solver_ver">3</definedName>
    <definedName localSheetId="4" name="solver_ver">3</definedName>
    <definedName localSheetId="5" name="SpreadsheetBuilder_1">'Bonds Universe'!#REF!</definedName>
    <definedName name="SpreadsheetBuilder_1">'[1]Reference Portfolio'!#REF!</definedName>
    <definedName name="start">'[8]2015 HP'!$C$17</definedName>
    <definedName name="FixedIncomePrdct">#REF!</definedName>
    <definedName localSheetId="7" name="data">'Bonds Universe'!$D$4:$G$119</definedName>
    <definedName localSheetId="7" name="header">'Bonds Universe'!$D$3:$G$3</definedName>
    <definedName name="scenario">#REF!</definedName>
    <definedName name="FIP">#REF!</definedName>
    <definedName name="FIPp">#REF!</definedName>
    <definedName hidden="1" localSheetId="4" name="_xlnm._FilterDatabase">'NGN Domestic Trade Tracker'!$B$3:$T$224</definedName>
    <definedName hidden="1" localSheetId="7" name="_xlnm._FilterDatabase">'Bonds Universe'!$B$3:$H$147</definedName>
    <definedName hidden="1" localSheetId="9" name="_xlnm._FilterDatabase">'Private facilities'!$A$2:$O$26</definedName>
  </definedNames>
  <calcPr/>
  <extLst>
    <ext uri="GoogleSheetsCustomDataVersion2">
      <go:sheetsCustomData xmlns:go="http://customooxmlschemas.google.com/" r:id="rId24" roundtripDataChecksum="gUzbx+Zl+YDYxthB5QZhNxCE9xoFTjyApG0rC7uK2L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======
ID#AAABekDhkLo
William Ugboh    (2025-02-20 09:12:23)
The price for the client is 91.25 giving a spread of $1500</t>
      </text>
    </comment>
    <comment authorId="0" ref="O15">
      <text>
        <t xml:space="preserve">======
ID#AAABekDhjzE
William Ugboh    (2025-02-20 09:12:23)
Trade confirmation says $533,863.75</t>
      </text>
    </comment>
    <comment authorId="0" ref="N93">
      <text>
        <t xml:space="preserve">======
ID#AAABjwXWhu4
William Ugboh    (2025-05-21 11:37:54)
Repo transaction. There was a test transfer of this eurobond and then it was returned</t>
      </text>
    </comment>
    <comment authorId="0" ref="O11">
      <text>
        <t xml:space="preserve">======
ID#AAABekDhjzA
William Ugboh    (2025-02-20 09:12:23)
These trades are together</t>
      </text>
    </comment>
    <comment authorId="0" ref="O26">
      <text>
        <t xml:space="preserve">======
ID#AAABekDhkLI
Fareed Abbas    (2025-02-20 09:12:23)
0.9167 Sink Factor Included</t>
      </text>
    </comment>
    <comment authorId="0" ref="N37">
      <text>
        <t xml:space="preserve">======
ID#AAABekDhjyQ
William Ugboh    (2025-02-20 09:12:23)
fractional trade</t>
      </text>
    </comment>
    <comment authorId="0" ref="N36">
      <text>
        <t xml:space="preserve">======
ID#AAABekDhkMM
William Ugboh    (2025-02-20 09:12:23)
fractional trade</t>
      </text>
    </comment>
    <comment authorId="0" ref="A118">
      <text>
        <t xml:space="preserve">======
ID#AAABjwXWhu8
William Ugboh    (2025-05-21 11:37:54)
No cash will be received. Sending bond to stonex to close a repo trade.</t>
      </text>
    </comment>
    <comment authorId="0" ref="A68">
      <text>
        <t xml:space="preserve">======
ID#AAABjwXWhvA
William Ugboh    (2025-05-21 11:37:54)
Purchase of Nigeria 2034 Eurobond for Mr Ajene</t>
      </text>
    </comment>
    <comment authorId="0" ref="G8">
      <text>
        <t xml:space="preserve">======
ID#AAABekDhkMI
William Ugboh    (2025-02-20 09:12:23)
We bought a New Eurobond Issue.</t>
      </text>
    </comment>
    <comment authorId="0" ref="O16">
      <text>
        <t xml:space="preserve">======
ID#AAABekDhkMA
William Ugboh    (2025-02-20 09:12:23)
Trade confimation shows
$1,511,866.67</t>
      </text>
    </comment>
  </commentList>
  <extLst>
    <ext uri="GoogleSheetsCustomDataVersion2">
      <go:sheetsCustomData xmlns:go="http://customooxmlschemas.google.com/" r:id="rId1" roundtripDataSignature="AMtx7mibM5qap9m2+mh68/oiDCTV7/WT4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7">
      <text>
        <t xml:space="preserve">======
ID#AAABEjZjMnM
William Ugboh    (2024-01-18 13:32:12)
discount rate15.2%</t>
      </text>
    </comment>
    <comment authorId="0" ref="P143">
      <text>
        <t xml:space="preserve">======
ID#AAABekDhjzQ
William Ugboh    (2025-02-20 09:12:23)
Trade confirmation shows N474,997,460.51</t>
      </text>
    </comment>
    <comment authorId="0" ref="P110">
      <text>
        <t xml:space="preserve">======
ID#AAABekDhjy4
William Ugboh    (2025-02-20 09:12:23)
on the trade confirmation N3,841,714,086.01</t>
      </text>
    </comment>
    <comment authorId="0" ref="P141">
      <text>
        <t xml:space="preserve">======
ID#AAABekDhkLg
William Ugboh    (2025-02-20 09:12:23)
Trade confirmation shows: N366,514,182.20</t>
      </text>
    </comment>
    <comment authorId="0" ref="P108">
      <text>
        <t xml:space="preserve">======
ID#AAABekDhkL8
William Ugboh    (2025-02-20 09:12:23)
Trade confirmation shows N1,631,744,037.73</t>
      </text>
    </comment>
    <comment authorId="0" ref="P139">
      <text>
        <t xml:space="preserve">======
ID#AAABekDhkL0
William Ugboh    (2025-02-20 09:12:23)
Trade confirmations shows N182,672,391.65</t>
      </text>
    </comment>
    <comment authorId="0" ref="P106">
      <text>
        <t xml:space="preserve">======
ID#AAABekDhjyw
William Ugboh    (2025-02-20 09:12:23)
trade confirmation is showing 400,498,540.31</t>
      </text>
    </comment>
    <comment authorId="0" ref="P104">
      <text>
        <t xml:space="preserve">======
ID#AAABekDhkLE
William Ugboh    (2025-02-20 09:12:23)
Trade confirmation is showing 402,488,569.50</t>
      </text>
    </comment>
    <comment authorId="0" ref="P135">
      <text>
        <t xml:space="preserve">======
ID#AAABekDhkLc
William Ugboh    (2025-02-20 09:12:23)
Trade confirmation shows N867,181,667.79</t>
      </text>
    </comment>
    <comment authorId="0" ref="P127">
      <text>
        <t xml:space="preserve">======
ID#AAABekDhjy0
William Ugboh    (2025-02-20 09:12:23)
Trade confirmation shows N664,567,108.32</t>
      </text>
    </comment>
    <comment authorId="0" ref="P125">
      <text>
        <t xml:space="preserve">======
ID#AAABejxdA9A
William Ugboh    (2025-02-20 09:12:23)
Trade confirmation shows N325,633,280.93</t>
      </text>
    </comment>
    <comment authorId="0" ref="P117">
      <text>
        <t xml:space="preserve">======
ID#AAABejxdA80
William Ugboh    (2025-02-20 09:12:23)
Trade confirmation shows 288,589,147.77</t>
      </text>
    </comment>
    <comment authorId="0" ref="P113">
      <text>
        <t xml:space="preserve">======
ID#AAABekDhjyk
William Ugboh    (2025-02-20 09:12:23)
Trade confirmation shows 2,536,139,417.25</t>
      </text>
    </comment>
    <comment authorId="0" ref="P142">
      <text>
        <t xml:space="preserve">======
ID#AAABekDhjzM
William Ugboh    (2025-02-20 09:12:23)
Trade confirmation shows N271,099,752.98</t>
      </text>
    </comment>
    <comment authorId="0" ref="P109">
      <text>
        <t xml:space="preserve">======
ID#AAABejxdA9E
William Ugboh    (2025-02-20 09:12:23)
Trade confirmation is showing 1,634,907,972.15</t>
      </text>
    </comment>
    <comment authorId="0" ref="P140">
      <text>
        <t xml:space="preserve">======
ID#AAABekDhkMU
William Ugboh    (2025-02-20 09:12:23)
Trade confirmtion shows N257,413,999.55</t>
      </text>
    </comment>
    <comment authorId="0" ref="P107">
      <text>
        <t xml:space="preserve">======
ID#AAABekDhjyo
William Ugboh    (2025-02-20 09:12:23)
Trade confirmation is showing 4,419,165,394.12</t>
      </text>
    </comment>
    <comment authorId="0" ref="P138">
      <text>
        <t xml:space="preserve">======
ID#AAABekDhkLM
William Ugboh    (2025-02-20 09:12:23)
Trade confirmation shows N186,021,306.98</t>
      </text>
    </comment>
    <comment authorId="0" ref="P105">
      <text>
        <t xml:space="preserve">======
ID#AAABekDhjy8
William Ugboh    (2025-02-20 09:12:23)
Trade confirmation is showing 401,294,551.99</t>
      </text>
    </comment>
    <comment authorId="0" ref="P103">
      <text>
        <t xml:space="preserve">======
ID#AAABekDhkLQ
William Ugboh    (2025-02-20 09:12:23)
trade confrimation is showing 800,997,080.62</t>
      </text>
    </comment>
    <comment authorId="0" ref="P134">
      <text>
        <t xml:space="preserve">======
ID#AAABekDhkLs
William Ugboh    (2025-02-20 09:12:23)
Trade confirmation show N 867,181,667.79</t>
      </text>
    </comment>
    <comment authorId="0" ref="P126">
      <text>
        <t xml:space="preserve">======
ID#AAABekDhjyg
William Ugboh    (2025-02-20 09:12:23)
trade confirmation shows N1,370,868,657.83</t>
      </text>
    </comment>
    <comment authorId="0" ref="P124">
      <text>
        <t xml:space="preserve">======
ID#AAABekDhkLU
William Ugboh    (2025-02-20 09:12:23)
Trades confirmation shows N1,311,389,032.11</t>
      </text>
    </comment>
    <comment authorId="0" ref="P122">
      <text>
        <t xml:space="preserve">======
ID#AAABekDhkME
William Ugboh    (2025-02-20 09:12:23)
Value on Trade confirmation is N1,288,288,045.51</t>
      </text>
    </comment>
    <comment authorId="0" ref="O89">
      <text>
        <t xml:space="preserve">======
ID#AAABEjZjMno
tc={330D63BC-B213-41DD-B6EF-7BBC85EE5E66}    (2024-01-18 13:32:12)
[Threaded comment]
Your version of Excel allows you to read this threaded comment; however, any edits to it will get removed if the file is opened in a newer version of Excel. Learn more: https://go.microsoft.com/fwlink/?linkid=870924
Comment:
    Saunders has 800 FV of this</t>
      </text>
    </comment>
    <comment authorId="0" ref="P118">
      <text>
        <t xml:space="preserve">======
ID#AAABejxdA84
William Ugboh    (2025-02-20 09:12:23)
On trade confirmation:
N 1,337,649,898.94</t>
      </text>
    </comment>
  </commentList>
  <extLst>
    <ext uri="GoogleSheetsCustomDataVersion2">
      <go:sheetsCustomData xmlns:go="http://customooxmlschemas.google.com/" r:id="rId1" roundtripDataSignature="AMtx7mi5KxYTjSHAkUsY4tt+AVoDk5BAsw=="/>
    </ext>
  </extLst>
</comments>
</file>

<file path=xl/sharedStrings.xml><?xml version="1.0" encoding="utf-8"?>
<sst xmlns="http://schemas.openxmlformats.org/spreadsheetml/2006/main" count="6766" uniqueCount="470">
  <si>
    <t xml:space="preserve"> </t>
  </si>
  <si>
    <t>Average Gap</t>
  </si>
  <si>
    <t>Average Gap on Transactions</t>
  </si>
  <si>
    <t>Average Gap Per Trader</t>
  </si>
  <si>
    <t>Modified</t>
  </si>
  <si>
    <t>Actual</t>
  </si>
  <si>
    <t>Average Gap Per CP</t>
  </si>
  <si>
    <t>Month</t>
  </si>
  <si>
    <t>Per Month</t>
  </si>
  <si>
    <t>YTD</t>
  </si>
  <si>
    <t xml:space="preserve">Average GAP per Trader and Transaction </t>
  </si>
  <si>
    <t>Trader</t>
  </si>
  <si>
    <t>Buy</t>
  </si>
  <si>
    <t>S/N</t>
  </si>
  <si>
    <t>Sell</t>
  </si>
  <si>
    <t>Total</t>
  </si>
  <si>
    <t>CP</t>
  </si>
  <si>
    <t>Settlement Bank</t>
  </si>
  <si>
    <t>Angola 2028</t>
  </si>
  <si>
    <t>Portfolio</t>
  </si>
  <si>
    <t>Direction</t>
  </si>
  <si>
    <t xml:space="preserve">Rasheed </t>
  </si>
  <si>
    <t>Name of Asset</t>
  </si>
  <si>
    <t>ISIN</t>
  </si>
  <si>
    <t>Coupon Rate</t>
  </si>
  <si>
    <t>Issue Date</t>
  </si>
  <si>
    <t>Last Coupon date</t>
  </si>
  <si>
    <t>No of Days</t>
  </si>
  <si>
    <t>Maturity Date</t>
  </si>
  <si>
    <t>Trade Date</t>
  </si>
  <si>
    <t>Settlement Date</t>
  </si>
  <si>
    <t>Ytm</t>
  </si>
  <si>
    <t>Price</t>
  </si>
  <si>
    <t>Face Value</t>
  </si>
  <si>
    <t>Principal</t>
  </si>
  <si>
    <t>Accrued Interest</t>
  </si>
  <si>
    <t>Settlement Cost</t>
  </si>
  <si>
    <t>CSD Cost</t>
  </si>
  <si>
    <t>PR004</t>
  </si>
  <si>
    <t>Kamil</t>
  </si>
  <si>
    <t>Net Consideration Paid</t>
  </si>
  <si>
    <t xml:space="preserve">Adedayo </t>
  </si>
  <si>
    <t xml:space="preserve">FX </t>
  </si>
  <si>
    <t>Status</t>
  </si>
  <si>
    <t>I.C Securities/Access Bank Ghana</t>
  </si>
  <si>
    <t>Mauritius</t>
  </si>
  <si>
    <t>Ghana 2032</t>
  </si>
  <si>
    <t>SADF GHC</t>
  </si>
  <si>
    <t>GOG-BD-16/01/23 20.75</t>
  </si>
  <si>
    <t>Bid code</t>
  </si>
  <si>
    <t/>
  </si>
  <si>
    <t>Ghana 2027</t>
  </si>
  <si>
    <t>Average GAP per month</t>
  </si>
  <si>
    <t>Per month</t>
  </si>
  <si>
    <t>Consideration</t>
  </si>
  <si>
    <t xml:space="preserve">Principal </t>
  </si>
  <si>
    <t>Bloomberg Yield</t>
  </si>
  <si>
    <t>Access bank</t>
  </si>
  <si>
    <t>Stanbic</t>
  </si>
  <si>
    <t>GIF$</t>
  </si>
  <si>
    <t>Victor</t>
  </si>
  <si>
    <t>NGERIA 7.696 02/23/38</t>
  </si>
  <si>
    <t>Settled</t>
  </si>
  <si>
    <t>GOG-BD-06/03/23 20.75</t>
  </si>
  <si>
    <t>GOG-BD-27/11/23 19.25</t>
  </si>
  <si>
    <t>Kingsley</t>
  </si>
  <si>
    <t xml:space="preserve">Average  GAP per Counterparty </t>
  </si>
  <si>
    <t>Counterparty</t>
  </si>
  <si>
    <t>No of trades YTD</t>
  </si>
  <si>
    <t>Average GAP</t>
  </si>
  <si>
    <t>Rasheed</t>
  </si>
  <si>
    <t>GOG-BD 13/10/25 19.85</t>
  </si>
  <si>
    <t>Rencap</t>
  </si>
  <si>
    <t>FBN UK</t>
  </si>
  <si>
    <t>SADF$</t>
  </si>
  <si>
    <t>ETI 10.125% 10/15/2029</t>
  </si>
  <si>
    <t>FSDH</t>
  </si>
  <si>
    <t>Parthian</t>
  </si>
  <si>
    <t>Parthian Partners/UBA</t>
  </si>
  <si>
    <t>Parthian/Access Bank</t>
  </si>
  <si>
    <t>Dapo</t>
  </si>
  <si>
    <t xml:space="preserve">SEPLAT 7.75 01/04/26 </t>
  </si>
  <si>
    <t>Parthian/UBA Custody</t>
  </si>
  <si>
    <t>Stanbic Nominees</t>
  </si>
  <si>
    <t>TOTAL</t>
  </si>
  <si>
    <t>Zedcap/UBA Custody</t>
  </si>
  <si>
    <t>Zedcap/UBA GIS</t>
  </si>
  <si>
    <t>GOG-BD 18/01/27 19.25</t>
  </si>
  <si>
    <t>Zedcrest Capital/UBA</t>
  </si>
  <si>
    <t>Zenith</t>
  </si>
  <si>
    <t>Zenith UK</t>
  </si>
  <si>
    <t>I.C Securities/EcoBank Ghana</t>
  </si>
  <si>
    <t>Parthian/Sterling Bank</t>
  </si>
  <si>
    <t>Comercio/Coronation MB</t>
  </si>
  <si>
    <t>GOG-BD 08/11/27 20.50</t>
  </si>
  <si>
    <t>Comercio/Stanbic</t>
  </si>
  <si>
    <t>Stanbic IBTC</t>
  </si>
  <si>
    <t>Chapelhill/FSDH</t>
  </si>
  <si>
    <t>Comercio/Access</t>
  </si>
  <si>
    <t>GOG-BD 09/08/27 20.00</t>
  </si>
  <si>
    <t>SMA Mr Ajene</t>
  </si>
  <si>
    <t>ANGOL 8.75 04/14/2032</t>
  </si>
  <si>
    <t>Comercio/FBN Merchant</t>
  </si>
  <si>
    <t>Commercio</t>
  </si>
  <si>
    <t>BCP Securities</t>
  </si>
  <si>
    <t>FBN Bank (UK)</t>
  </si>
  <si>
    <t>EGYPT 8 7/8 05/29/50</t>
  </si>
  <si>
    <t>FBN Market</t>
  </si>
  <si>
    <t>First Bank Merchant</t>
  </si>
  <si>
    <t>ANGOL 9 3/8 05/08/48</t>
  </si>
  <si>
    <t>Aztran/Globus bank</t>
  </si>
  <si>
    <t>Coronation Merchant Bank</t>
  </si>
  <si>
    <t>GOG-BD 29/05/28 17.50</t>
  </si>
  <si>
    <t>First Bank UK</t>
  </si>
  <si>
    <t>ANGOL 9 1/8 11/26/49</t>
  </si>
  <si>
    <t>Union Bank</t>
  </si>
  <si>
    <t>SMA Woodlake</t>
  </si>
  <si>
    <t>GHANA 5 07/03/29</t>
  </si>
  <si>
    <t>StoneX</t>
  </si>
  <si>
    <t>Chapel Hill Denham</t>
  </si>
  <si>
    <t>Merit Kapital</t>
  </si>
  <si>
    <t>GHANA 5 07/03/35</t>
  </si>
  <si>
    <t>GOG-BD-02/11/26 19.00</t>
  </si>
  <si>
    <t>Keystone bank</t>
  </si>
  <si>
    <t>Investment One</t>
  </si>
  <si>
    <t>GHANA 0 01/03/30</t>
  </si>
  <si>
    <t>Globus bank</t>
  </si>
  <si>
    <t>Sankore &amp; Woodlake</t>
  </si>
  <si>
    <t>GHANA 0 07/03/26</t>
  </si>
  <si>
    <t>Polaris Bank</t>
  </si>
  <si>
    <t>KNG</t>
  </si>
  <si>
    <t>Sankore &amp; Chidi</t>
  </si>
  <si>
    <t>Parthian /CMB</t>
  </si>
  <si>
    <t>GOG-BD-02/03/26 18.30</t>
  </si>
  <si>
    <t>Aztran/Providus</t>
  </si>
  <si>
    <t>GOG-BD-13/10/25 19.85</t>
  </si>
  <si>
    <t>*100</t>
  </si>
  <si>
    <t>ETINL 8 3/4 06/17/31</t>
  </si>
  <si>
    <t>fees</t>
  </si>
  <si>
    <t>GIF₦</t>
  </si>
  <si>
    <t>FGN 2026 Bond</t>
  </si>
  <si>
    <t>EGYPT 8 1/2 01/31/47</t>
  </si>
  <si>
    <t>GOG-BD-18/01/27 19.25</t>
  </si>
  <si>
    <t xml:space="preserve">Settled </t>
  </si>
  <si>
    <t>FGN 2035 Bond</t>
  </si>
  <si>
    <t>FGN 2045 Bond</t>
  </si>
  <si>
    <t>FGN 2027 Bond</t>
  </si>
  <si>
    <t>FGN 2049 Bond</t>
  </si>
  <si>
    <t>Oise</t>
  </si>
  <si>
    <t>NIGERIA 6.125 9/28/28</t>
  </si>
  <si>
    <t>FGN 2050 Bond</t>
  </si>
  <si>
    <t>Ram Lokan</t>
  </si>
  <si>
    <t>SMA</t>
  </si>
  <si>
    <t>William</t>
  </si>
  <si>
    <t>ECOBANK 7.125% 02/16/2026</t>
  </si>
  <si>
    <t>ACCESS 9 1/8 PERP</t>
  </si>
  <si>
    <t>NGERIA 9.248 01/21/49</t>
  </si>
  <si>
    <t>Fractional Trade</t>
  </si>
  <si>
    <t>NGERIA 7.875 02/16/32</t>
  </si>
  <si>
    <t>ANGOL 8 3/4 04/14/32</t>
  </si>
  <si>
    <t>NGERIA 8 3/8 3/24/29</t>
  </si>
  <si>
    <t>FGN 2028 Bond</t>
  </si>
  <si>
    <t>NGERIA 10.375 12/09/34 </t>
  </si>
  <si>
    <t>Fareed</t>
  </si>
  <si>
    <t>NGERIA 8.747 01/21/31</t>
  </si>
  <si>
    <t>SEPLAT 9.125 03/21/30</t>
  </si>
  <si>
    <t>ANGOL 8 1/4 05/09/28</t>
  </si>
  <si>
    <t>FGN 2036 Bond</t>
  </si>
  <si>
    <t>ANGOL 9 1/2 11/12/25</t>
  </si>
  <si>
    <t>KENINT 9 1/2 03/05/36</t>
  </si>
  <si>
    <t>NGERIA 8 1/4 09/28/51</t>
  </si>
  <si>
    <t>FGN 2037 bond</t>
  </si>
  <si>
    <t>Aztran</t>
  </si>
  <si>
    <t>FGN 2049 bond</t>
  </si>
  <si>
    <t>Repo with StoneX</t>
  </si>
  <si>
    <t>NIGTB 7/Nov/2024</t>
  </si>
  <si>
    <t>NIGERIA 8.250 9/28/51</t>
  </si>
  <si>
    <t>NIGTB 5/Dec/2024</t>
  </si>
  <si>
    <t>FGN 2053 bond</t>
  </si>
  <si>
    <t>Repo with StoneX 2nd leg</t>
  </si>
  <si>
    <t>Repo with StoneX (Swap) Delivery free of payment</t>
  </si>
  <si>
    <t>ACCESS 6 1/8 09/21/26</t>
  </si>
  <si>
    <t>NGERIA 6 1/2 11/28/27</t>
  </si>
  <si>
    <t>UBANL 6 ¾ 11/19/26</t>
  </si>
  <si>
    <t>NIGERIA 7.375 9/28/33</t>
  </si>
  <si>
    <t>NIGERIA 7.625 11/21/25</t>
  </si>
  <si>
    <t>Repo with StoneX (Swap) Receive free of payment</t>
  </si>
  <si>
    <t>NIGTB 20/Feb/2025</t>
  </si>
  <si>
    <t>Femi Adisa</t>
  </si>
  <si>
    <t>NIGTB 6/Mar/2025</t>
  </si>
  <si>
    <t>SMA Purchase for Famoriyo</t>
  </si>
  <si>
    <t>NGERIA 7 5/8 11/28/47</t>
  </si>
  <si>
    <t>Delivery Free of Payment to StoneX (Repo with Haircut)</t>
  </si>
  <si>
    <t>NIGTB 27/Mar/2025</t>
  </si>
  <si>
    <t>Ife</t>
  </si>
  <si>
    <t>FGN 2034 bond</t>
  </si>
  <si>
    <t>Receive Free of Payment to StoneX (Repo with Haircut)</t>
  </si>
  <si>
    <t>FGN 2027 bond</t>
  </si>
  <si>
    <t>NIGTB 05/Jun/2025</t>
  </si>
  <si>
    <t>NIGTB 10/Jul/2025</t>
  </si>
  <si>
    <t>NIGTB 22/May/2025</t>
  </si>
  <si>
    <t>FGN 2033 bond</t>
  </si>
  <si>
    <t>Repo Closure</t>
  </si>
  <si>
    <t>ANGOL 9.375% 05/08/48</t>
  </si>
  <si>
    <t>NIGTB 6/Feb/2025</t>
  </si>
  <si>
    <t>NIGTB 26/Jun/2025</t>
  </si>
  <si>
    <t>EGYPT 8.7002 03/01/49</t>
  </si>
  <si>
    <t>SEPLLN 9 1/8 03/21/30</t>
  </si>
  <si>
    <t>FGN 2031 Bond</t>
  </si>
  <si>
    <t>KENINT 8 1/4 02/28/48</t>
  </si>
  <si>
    <t>FGN 2031 bond</t>
  </si>
  <si>
    <t>T 4 3/4 05/15/55</t>
  </si>
  <si>
    <t>T 4 3/4 08/15/55</t>
  </si>
  <si>
    <t>REPO</t>
  </si>
  <si>
    <t>FGN 2032 bond</t>
  </si>
  <si>
    <t>SMA purchase Denloye</t>
  </si>
  <si>
    <t>ANGOL 9.875 10/15/35</t>
  </si>
  <si>
    <t>NIGERIA 10.375 9/12/34</t>
  </si>
  <si>
    <t xml:space="preserve"> 2,000,000.00 </t>
  </si>
  <si>
    <t>  3,500,000.00</t>
  </si>
  <si>
    <t>FGN 2042 bond</t>
  </si>
  <si>
    <t>NIGTB 05/11/2026</t>
  </si>
  <si>
    <t>ETI 7.125% 02/16/2026</t>
  </si>
  <si>
    <t>FGN 2032 Bond</t>
  </si>
  <si>
    <t>SMA consonance Repo closure (Fractional)</t>
  </si>
  <si>
    <t>Sterling Bank</t>
  </si>
  <si>
    <t>Aztran/Keystone</t>
  </si>
  <si>
    <t>Wahab</t>
  </si>
  <si>
    <t>NIGTB 23/07/2026</t>
  </si>
  <si>
    <t>NIGTB 18/06/2026</t>
  </si>
  <si>
    <t>Gimba</t>
  </si>
  <si>
    <t>SMA Ajane and Famoriyo Repo closure (Fractional)</t>
  </si>
  <si>
    <t>FGN 2034 Bond</t>
  </si>
  <si>
    <t>Providus</t>
  </si>
  <si>
    <t>FGN 2053 Bond</t>
  </si>
  <si>
    <t>Globus</t>
  </si>
  <si>
    <t>NIGTB 18/02/2027</t>
  </si>
  <si>
    <t>FGN 2038 bond</t>
  </si>
  <si>
    <t>NIGTB 15/07/2027</t>
  </si>
  <si>
    <t>NIGTB 29/07/2027</t>
  </si>
  <si>
    <t>NIGTB 12/08/2027</t>
  </si>
  <si>
    <t>BB ID</t>
  </si>
  <si>
    <t>Security Name</t>
  </si>
  <si>
    <t>Cpn</t>
  </si>
  <si>
    <t>Maturity</t>
  </si>
  <si>
    <t>Maturity Type</t>
  </si>
  <si>
    <t>Country</t>
  </si>
  <si>
    <t>ACCESS 10 1/2 10/19/21</t>
  </si>
  <si>
    <t>AT MATURITY</t>
  </si>
  <si>
    <t>NIGERIA</t>
  </si>
  <si>
    <t>ANGOL 6.927 02/19/27</t>
  </si>
  <si>
    <t>SINKABLE</t>
  </si>
  <si>
    <t>IRELAND</t>
  </si>
  <si>
    <t>ANGOLA</t>
  </si>
  <si>
    <t>ANGOL 8 11/26/29</t>
  </si>
  <si>
    <t>ANGOL Float 07/01/23</t>
  </si>
  <si>
    <t>NETHERLANDS</t>
  </si>
  <si>
    <t>ANGOL Float 12/07/23</t>
  </si>
  <si>
    <t>BENIN 5 3/4 03/26/26</t>
  </si>
  <si>
    <t>BENIN</t>
  </si>
  <si>
    <t>EGYPT 4.55 11/20/23</t>
  </si>
  <si>
    <t>EGYPT</t>
  </si>
  <si>
    <t>EGYPT 5 3/4 05/29/24</t>
  </si>
  <si>
    <t>EGYPT 5 7/8 06/11/25</t>
  </si>
  <si>
    <t>EGYPT 5.577 02/21/23</t>
  </si>
  <si>
    <t>EGYPT 6 1/8 01/31/22</t>
  </si>
  <si>
    <t>EGYPT 6 3/4 11/10/24</t>
  </si>
  <si>
    <t>EGYPT 6 7/8 04/30/40</t>
  </si>
  <si>
    <t>EGYPT 6.2004 03/01/24</t>
  </si>
  <si>
    <t>EGYPT 6.588 02/21/28</t>
  </si>
  <si>
    <t>EGYPT 7 1/2 01/31/27</t>
  </si>
  <si>
    <t>EGYPT 7 1/8 11/10/26</t>
  </si>
  <si>
    <t>EGYPT 7 11/10/28</t>
  </si>
  <si>
    <t>EGYPT 7 5/8 05/29/32</t>
  </si>
  <si>
    <t>EGYPT 7 5/8 11/10/30</t>
  </si>
  <si>
    <t>EGYPT 7.0529 01/15/32</t>
  </si>
  <si>
    <t>EGYPT 7.6003 03/01/29</t>
  </si>
  <si>
    <t>EGYPT 7.903 02/21/48</t>
  </si>
  <si>
    <t>EGYPT 8.15 11/20/59</t>
  </si>
  <si>
    <t>ETHOPI 6 5/8 12/11/24</t>
  </si>
  <si>
    <t>ETHIOPIA</t>
  </si>
  <si>
    <t>ETINL 9 1/2 04/18/24</t>
  </si>
  <si>
    <t>FBN 8.625 10/27/2025</t>
  </si>
  <si>
    <t>FIDBAN 10 1/2 10/16/22</t>
  </si>
  <si>
    <t>GABON 6 3/8 12/12/24</t>
  </si>
  <si>
    <t>GABON</t>
  </si>
  <si>
    <t>GABON 6 5/8 02/06/31</t>
  </si>
  <si>
    <t>GABON 6.95 06/16/25</t>
  </si>
  <si>
    <t>GHANA 10 3/4 10/14/30</t>
  </si>
  <si>
    <t>GHANA</t>
  </si>
  <si>
    <t>GHANA 6 3/8 02/11/27</t>
  </si>
  <si>
    <t>GHANA 7 5/8 05/16/29</t>
  </si>
  <si>
    <t>GHANA 7 7/8 02/11/35</t>
  </si>
  <si>
    <t>GHANA 7 7/8 03/26/27</t>
  </si>
  <si>
    <t>GHANA 7 7/8 08/07/23</t>
  </si>
  <si>
    <t>GHANA 8 1/8 01/18/26</t>
  </si>
  <si>
    <t>GHANA 8 1/8 03/26/32</t>
  </si>
  <si>
    <t>GHANA 8 3/4 03/11/61</t>
  </si>
  <si>
    <t>GHANA 8.627 06/16/49</t>
  </si>
  <si>
    <t>GHANA 8.95 03/26/51</t>
  </si>
  <si>
    <t>GHANA 9 1/4 09/15/22</t>
  </si>
  <si>
    <t>IVYCST 5 1/4 03/22/30</t>
  </si>
  <si>
    <t>IVORY COAST</t>
  </si>
  <si>
    <t>IVYCST 5 1/8 06/15/25</t>
  </si>
  <si>
    <t>IVYCST 5 3/4 12/31/32</t>
  </si>
  <si>
    <t>CALL/SINK</t>
  </si>
  <si>
    <t>IVYCST 5 3/8 07/23/24</t>
  </si>
  <si>
    <t>IVYCST 5 7/8 10/17/31</t>
  </si>
  <si>
    <t>IVYCST 6 1/8 06/15/33</t>
  </si>
  <si>
    <t>IVYCST 6 3/8 03/03/28</t>
  </si>
  <si>
    <t>IVYCST 6 5/8 03/22/48</t>
  </si>
  <si>
    <t>IVYCST 6 7/8 10/17/40</t>
  </si>
  <si>
    <t>KENINT 6 7/8 06/24/24</t>
  </si>
  <si>
    <t>KENYA</t>
  </si>
  <si>
    <t>KENINT 7 05/22/27</t>
  </si>
  <si>
    <t>KENINT 7 1/4 02/28/28</t>
  </si>
  <si>
    <t>KENINT 8 05/22/32</t>
  </si>
  <si>
    <t>MOROC 4 1/4 12/11/22</t>
  </si>
  <si>
    <t>MOROCCO</t>
  </si>
  <si>
    <t>MOROC 5 1/2 12/11/42</t>
  </si>
  <si>
    <t>NGERIA 5 5/8 06/27/22</t>
  </si>
  <si>
    <t>NGERIA 6 3/4 01/28/21</t>
  </si>
  <si>
    <t>NGERIA 6 3/8 07/12/23</t>
  </si>
  <si>
    <t>NGERIA 7.143 02/23/30</t>
  </si>
  <si>
    <t>REPCAM 9 1/2 11/19/25</t>
  </si>
  <si>
    <t>CAMEROON</t>
  </si>
  <si>
    <t>REPCON 6 06/30/29</t>
  </si>
  <si>
    <t>CONGO</t>
  </si>
  <si>
    <t>REPNAM 5 1/2 11/03/21</t>
  </si>
  <si>
    <t>NAMIBIA</t>
  </si>
  <si>
    <t>REPNAM 5 1/4 10/29/25</t>
  </si>
  <si>
    <t>RWANDA 6 5/8 05/02/23</t>
  </si>
  <si>
    <t>RWANDA</t>
  </si>
  <si>
    <t>SENEGL 6 1/4 05/23/33</t>
  </si>
  <si>
    <t>SENEGAL</t>
  </si>
  <si>
    <t>SENEGL 6 1/4 07/30/24</t>
  </si>
  <si>
    <t>SENEGL 6 3/4 03/13/48</t>
  </si>
  <si>
    <t>SENEGL 8 3/4 05/13/21</t>
  </si>
  <si>
    <t>SEPLLN 9 1/4 04/01/23</t>
  </si>
  <si>
    <t>SEYCHE 8 01/01/26</t>
  </si>
  <si>
    <t>SEYCHELLES</t>
  </si>
  <si>
    <t>SOAF 3 3/4 07/24/26</t>
  </si>
  <si>
    <t>SOUTH AFRICA</t>
  </si>
  <si>
    <t>SOAF 4 7/8 04/14/26</t>
  </si>
  <si>
    <t>SOAF 4.3 10/12/28</t>
  </si>
  <si>
    <t>SOAF 4.665 01/17/24</t>
  </si>
  <si>
    <t>SOAF 4.85 09/27/27</t>
  </si>
  <si>
    <t>SOAF 4.85 09/30/29</t>
  </si>
  <si>
    <t>SOAF 5 10/12/46</t>
  </si>
  <si>
    <t>SOAF 5 3/4 09/30/49</t>
  </si>
  <si>
    <t>SOAF 5 3/8 07/24/44</t>
  </si>
  <si>
    <t>SOAF 5 7/8 05/30/22</t>
  </si>
  <si>
    <t>SOAF 5 7/8 06/22/30</t>
  </si>
  <si>
    <t>SOAF 5 7/8 09/16/25</t>
  </si>
  <si>
    <t>SOAF 5.65 09/27/47</t>
  </si>
  <si>
    <t>SOAF 6 1/4 03/08/41</t>
  </si>
  <si>
    <t>SOAF 6.3 06/22/48</t>
  </si>
  <si>
    <t>UBA 7.75 06/08/22</t>
  </si>
  <si>
    <t>ZAMBIN 5 3/8 09/20/22</t>
  </si>
  <si>
    <t>ZAMBIA</t>
  </si>
  <si>
    <t>ZAMBIN 8 1/2 04/14/24</t>
  </si>
  <si>
    <t>ZAMBIN 8.97 07/30/27</t>
  </si>
  <si>
    <t>ZENITH 7 3/8 05/30/22</t>
  </si>
  <si>
    <t>EBN 7.125  02/16/26</t>
  </si>
  <si>
    <t>EBN 8.75  06/17/31</t>
  </si>
  <si>
    <t>GHANA 0.00 4/7/25</t>
  </si>
  <si>
    <t>GHANA 8.625 4/7/2034</t>
  </si>
  <si>
    <t>NGERIA 7 5/8 11/21/25</t>
  </si>
  <si>
    <t>Trade date</t>
  </si>
  <si>
    <t>Value date</t>
  </si>
  <si>
    <t xml:space="preserve">Rencap </t>
  </si>
  <si>
    <t>Security name</t>
  </si>
  <si>
    <t>Quantity(Face Value)</t>
  </si>
  <si>
    <t>Free Delivery - Out</t>
  </si>
  <si>
    <t>Receive free of payment</t>
  </si>
  <si>
    <t>NGERIA 9.25 1/21/49</t>
  </si>
  <si>
    <t>XS1910828182</t>
  </si>
  <si>
    <t>XS1910826996</t>
  </si>
  <si>
    <t>NGERIA 8.75 1/21/31</t>
  </si>
  <si>
    <t>XS1910827887</t>
  </si>
  <si>
    <t>Active</t>
  </si>
  <si>
    <t>Facility</t>
  </si>
  <si>
    <t>Obligor</t>
  </si>
  <si>
    <t>Fund Manager Names</t>
  </si>
  <si>
    <t>Code</t>
  </si>
  <si>
    <t>Settlement date</t>
  </si>
  <si>
    <t>Rate</t>
  </si>
  <si>
    <t>Maturity date</t>
  </si>
  <si>
    <t>Maturity value</t>
  </si>
  <si>
    <t>Classification</t>
  </si>
  <si>
    <t>SELL</t>
  </si>
  <si>
    <t>CC</t>
  </si>
  <si>
    <t>PF INTERKEL 16-Dec-19</t>
  </si>
  <si>
    <t>Interkel Nig Ltd 1</t>
  </si>
  <si>
    <t>Interkel Nig Ltd 1 16-Dec-19</t>
  </si>
  <si>
    <t>PF</t>
  </si>
  <si>
    <t>Performing</t>
  </si>
  <si>
    <t>PF INTERKEL6-Feb-20</t>
  </si>
  <si>
    <t>Interkel Nig Ltd 2</t>
  </si>
  <si>
    <t>Interkel Nig Ltd 2 06-Feb-20</t>
  </si>
  <si>
    <t>PF WELLNESS13-Nov-20</t>
  </si>
  <si>
    <t>W H M S</t>
  </si>
  <si>
    <t>W H M S 13-Nov-20</t>
  </si>
  <si>
    <t>PF CYRIL19-Nov-20</t>
  </si>
  <si>
    <t>Cyril Izala</t>
  </si>
  <si>
    <t>Cyril Izala 19-Nov-20</t>
  </si>
  <si>
    <t>PF CYRIL30-Nov-20</t>
  </si>
  <si>
    <t>Cyril Izala 30-Nov-20</t>
  </si>
  <si>
    <t>PF KAIZEN12-Dec-20</t>
  </si>
  <si>
    <t>Kaizen Vp PF</t>
  </si>
  <si>
    <t>Kaizen Vp PF 12-Dec-20</t>
  </si>
  <si>
    <t>PF CYRIL14-Dec-20</t>
  </si>
  <si>
    <t>Cyril Izala 14-Dec-20</t>
  </si>
  <si>
    <t>PF Adesunloye22-Dec-20</t>
  </si>
  <si>
    <t>A Obatoyinbo</t>
  </si>
  <si>
    <t>A Obatoyinbo 22-Dec-20</t>
  </si>
  <si>
    <t>PF CYRIL6-Jan-21</t>
  </si>
  <si>
    <t>Cyril Izala 06-Jan-21</t>
  </si>
  <si>
    <t>PF ALI12-Feb-21</t>
  </si>
  <si>
    <t>Ali Andrew</t>
  </si>
  <si>
    <t>Ali Andrew 12-Feb-21</t>
  </si>
  <si>
    <t>PF INE17-Feb-21</t>
  </si>
  <si>
    <t>Ine Kalio</t>
  </si>
  <si>
    <t>Ine Kalio 17-Feb-21</t>
  </si>
  <si>
    <t>PF WELLNESS22-Feb-21</t>
  </si>
  <si>
    <t>W H M S 22-Feb-21</t>
  </si>
  <si>
    <t>PF ONE-3-Mar-21</t>
  </si>
  <si>
    <t>One- Finance</t>
  </si>
  <si>
    <t>One- Finance 03-Mar-21</t>
  </si>
  <si>
    <t>PF ARINZE3-Mar-21</t>
  </si>
  <si>
    <t>Arinze Emefo</t>
  </si>
  <si>
    <t>Arinze Emefo 03-Mar-21</t>
  </si>
  <si>
    <t>PF Vasilab26-Mar-21</t>
  </si>
  <si>
    <t>Vasilab 1</t>
  </si>
  <si>
    <t>Vasilab 1 26-Mar-21</t>
  </si>
  <si>
    <t>PF Tope29-Mar-21</t>
  </si>
  <si>
    <t>Tope Lawson</t>
  </si>
  <si>
    <t>Tope Lawson 29-Mar-21</t>
  </si>
  <si>
    <t>PF Edwin15-Apr-21</t>
  </si>
  <si>
    <t>Edwin Bako</t>
  </si>
  <si>
    <t>Edwin Bako 15-Apr-21</t>
  </si>
  <si>
    <t>PF ALI30-Jun-21</t>
  </si>
  <si>
    <t>Ali Andrew 30-Jun-21</t>
  </si>
  <si>
    <t>PF WELLNESS14-Jul-21</t>
  </si>
  <si>
    <t>W H M S 14-Jul-21</t>
  </si>
  <si>
    <t>PF Ine27-Jul-21</t>
  </si>
  <si>
    <t>Ine Kalio 27-Jul-21</t>
  </si>
  <si>
    <t>PF Traction6-Aug-21</t>
  </si>
  <si>
    <t>Traction App Ltd</t>
  </si>
  <si>
    <t>Traction App Ltd 06-Aug-21</t>
  </si>
  <si>
    <t>PF Ine24-Aug-21</t>
  </si>
  <si>
    <t>Ine Kalio 24-Aug-21</t>
  </si>
  <si>
    <t>PF WELLNESS28-Aug-21</t>
  </si>
  <si>
    <t>W H M S 28-Aug-21</t>
  </si>
  <si>
    <t>PF ONE-3-Sep-21</t>
  </si>
  <si>
    <t>One- Finance 03-Sep-21</t>
  </si>
  <si>
    <t>PF WELLNESS18-Oct-21</t>
  </si>
  <si>
    <t>W H M S 18-Oct-21</t>
  </si>
  <si>
    <t>PF ABEDARE17-Sep-21</t>
  </si>
  <si>
    <t>ABEDARE</t>
  </si>
  <si>
    <t>ABEDARE17-Sep-21</t>
  </si>
  <si>
    <t>ABEDARE -AFEX</t>
  </si>
  <si>
    <t>Date</t>
  </si>
  <si>
    <t>Target company</t>
  </si>
  <si>
    <t>Amount Funded</t>
  </si>
  <si>
    <t>Currency</t>
  </si>
  <si>
    <t>Post money valuation</t>
  </si>
  <si>
    <t>Traction Apps</t>
  </si>
  <si>
    <t>USD</t>
  </si>
  <si>
    <t>NGN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</si>
</sst>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(* #,##0.00_);_(* \(#,##0.00\);_(* &quot;-&quot;??_);_(@_)"/>
    <numFmt numFmtId="165" formatCode="_(* #,##0.00000_);_(* \(#,##0.00000\);_(* &quot;-&quot;??_);_(@_)"/>
    <numFmt numFmtId="166" formatCode="[$-409]dd/mmm/yy"/>
    <numFmt numFmtId="167" formatCode="[$-409]d/mmm/yy"/>
    <numFmt numFmtId="168" formatCode="_-* #,##0.0000_-;\-* #,##0.0000_-;_-* &quot;-&quot;????_-;_-@"/>
    <numFmt numFmtId="169" formatCode="_-* #,##0.00_-;\-* #,##0.00_-;_-* &quot;-&quot;??_-;_-@"/>
    <numFmt numFmtId="170" formatCode="[$-409]d\-mmm\-yy"/>
    <numFmt numFmtId="171" formatCode="0.0000%"/>
    <numFmt numFmtId="172" formatCode="_(* #,##0.0000_);_(* \(#,##0.0000\);_(* &quot;-&quot;??_);_(@_)"/>
    <numFmt numFmtId="173" formatCode="0.00000%"/>
    <numFmt numFmtId="174" formatCode="0.000%"/>
    <numFmt numFmtId="175" formatCode="&quot;S/N&quot;"/>
    <numFmt numFmtId="176" formatCode="0.0%"/>
    <numFmt numFmtId="177" formatCode="0.000000%"/>
    <numFmt numFmtId="178" formatCode="_(* #,##0_);_(* \(#,##0\);_(* &quot;-&quot;??_);_(@_)"/>
  </numFmts>
  <fonts count="24">
    <font>
      <sz val="11.0"/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10.0"/>
      <color theme="0"/>
      <name val="Calibri"/>
    </font>
    <font/>
    <font>
      <b/>
      <sz val="11.0"/>
      <color theme="0"/>
      <name val="Calibri"/>
    </font>
    <font>
      <b/>
      <sz val="10.0"/>
      <color theme="1"/>
      <name val="Calibri"/>
    </font>
    <font>
      <sz val="9.0"/>
      <color theme="1"/>
      <name val="Century Gothic"/>
    </font>
    <font>
      <sz val="11.0"/>
      <color theme="1"/>
      <name val="Calibri"/>
    </font>
    <font>
      <b/>
      <sz val="9.0"/>
      <color theme="0"/>
      <name val="Calibri"/>
    </font>
    <font>
      <sz val="10.0"/>
      <color theme="1"/>
      <name val="Century Gothic"/>
    </font>
    <font>
      <sz val="11.0"/>
      <color rgb="FF3F3F76"/>
      <name val="Calibri"/>
    </font>
    <font>
      <b/>
      <sz val="10.0"/>
      <color theme="0"/>
      <name val="Calibri"/>
    </font>
    <font>
      <b/>
      <sz val="11.0"/>
      <color rgb="FF3F3F76"/>
      <name val="Calibri"/>
    </font>
    <font>
      <sz val="9.0"/>
      <color rgb="FFFF0000"/>
      <name val="Calibri"/>
    </font>
    <font>
      <sz val="9.0"/>
      <color rgb="FF3F3F76"/>
      <name val="Calibri"/>
    </font>
    <font>
      <sz val="10.0"/>
      <color rgb="FFFF0000"/>
      <name val="Calibri"/>
    </font>
    <font>
      <b/>
      <sz val="11.0"/>
      <color theme="1"/>
      <name val="Calibri"/>
    </font>
    <font>
      <sz val="12.0"/>
      <color rgb="FF222222"/>
      <name val="Arial"/>
    </font>
    <font>
      <color theme="1"/>
      <name val="Calibri"/>
      <scheme val="minor"/>
    </font>
    <font>
      <b/>
      <sz val="12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DADADA"/>
        <bgColor rgb="FFDADADA"/>
      </patternFill>
    </fill>
    <fill>
      <patternFill patternType="solid">
        <fgColor rgb="FFFFCC99"/>
        <bgColor rgb="FFFFCC99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E5E5E5"/>
        <bgColor rgb="FFE5E5E5"/>
      </patternFill>
    </fill>
    <fill>
      <patternFill patternType="solid">
        <fgColor rgb="FF7F7F7F"/>
        <bgColor rgb="FF7F7F7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top/>
    </border>
    <border>
      <left/>
      <bottom/>
    </border>
    <border>
      <right/>
      <bottom/>
    </border>
    <border>
      <left style="thin">
        <color theme="0"/>
      </left>
      <top/>
      <bottom style="thick">
        <color theme="0"/>
      </bottom>
    </border>
    <border>
      <bottom/>
    </border>
    <border>
      <top/>
      <bottom style="thick">
        <color theme="0"/>
      </bottom>
    </border>
    <border>
      <right/>
      <top/>
      <bottom style="thick">
        <color theme="0"/>
      </bottom>
    </border>
    <border>
      <left style="thin">
        <color theme="0"/>
      </left>
      <right/>
      <top/>
      <bottom style="thick">
        <color theme="0"/>
      </bottom>
    </border>
    <border>
      <left/>
      <right/>
      <top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FBE4D5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2" fontId="3" numFmtId="0" xfId="0" applyBorder="1" applyFill="1" applyFont="1"/>
    <xf borderId="1" fillId="2" fontId="4" numFmtId="0" xfId="0" applyBorder="1" applyFill="1" applyFont="1"/>
    <xf borderId="1" fillId="2" fontId="3" numFmtId="164" xfId="0" applyBorder="1" applyFill="1" applyFont="1" applyNumberFormat="1"/>
    <xf borderId="1" fillId="2" fontId="5" numFmtId="0" xfId="0" applyBorder="1" applyFill="1" applyFont="1"/>
    <xf borderId="1" fillId="2" fontId="3" numFmtId="10" xfId="0" applyBorder="1" applyFill="1" applyFont="1" applyNumberFormat="1"/>
    <xf borderId="1" fillId="2" fontId="2" numFmtId="164" xfId="0" applyBorder="1" applyFill="1" applyFont="1" applyNumberFormat="1"/>
    <xf borderId="2" fillId="3" fontId="6" numFmtId="0" xfId="0" applyAlignment="1" applyBorder="1" applyFill="1" applyFont="1">
      <alignment horizontal="center"/>
    </xf>
    <xf borderId="3" fillId="0" fontId="7" numFmtId="0" xfId="0" applyBorder="1" applyFont="1"/>
    <xf borderId="1" fillId="2" fontId="1" numFmtId="165" xfId="0" applyBorder="1" applyFill="1" applyFont="1" applyNumberFormat="1"/>
    <xf borderId="4" fillId="0" fontId="7" numFmtId="0" xfId="0" applyBorder="1" applyFont="1"/>
    <xf borderId="1" fillId="2" fontId="2" numFmtId="14" xfId="0" applyBorder="1" applyFill="1" applyFont="1" applyNumberFormat="1"/>
    <xf borderId="1" fillId="2" fontId="1" numFmtId="164" xfId="0" applyBorder="1" applyFill="1" applyFont="1" applyNumberFormat="1"/>
    <xf borderId="1" fillId="2" fontId="2" numFmtId="15" xfId="0" applyBorder="1" applyFill="1" applyFont="1" applyNumberFormat="1"/>
    <xf borderId="5" fillId="3" fontId="6" numFmtId="0" xfId="0" applyAlignment="1" applyBorder="1" applyFill="1" applyFont="1">
      <alignment horizontal="center" vertical="center"/>
    </xf>
    <xf borderId="6" fillId="0" fontId="7" numFmtId="0" xfId="0" applyBorder="1" applyFont="1"/>
    <xf borderId="1" fillId="2" fontId="3" numFmtId="40" xfId="0" applyBorder="1" applyFill="1" applyFont="1" applyNumberFormat="1"/>
    <xf borderId="7" fillId="0" fontId="7" numFmtId="0" xfId="0" applyBorder="1" applyFont="1"/>
    <xf borderId="1" fillId="2" fontId="2" numFmtId="40" xfId="0" applyBorder="1" applyFill="1" applyFont="1" applyNumberFormat="1"/>
    <xf borderId="1" fillId="2" fontId="1" numFmtId="14" xfId="0" applyBorder="1" applyFill="1" applyFont="1" applyNumberFormat="1"/>
    <xf borderId="1" fillId="3" fontId="6" numFmtId="0" xfId="0" applyBorder="1" applyFill="1" applyFont="1"/>
    <xf borderId="1" fillId="2" fontId="5" numFmtId="164" xfId="0" applyBorder="1" applyFill="1" applyFont="1" applyNumberFormat="1"/>
    <xf borderId="1" fillId="3" fontId="6" numFmtId="0" xfId="0" applyAlignment="1" applyBorder="1" applyFill="1" applyFont="1">
      <alignment horizontal="center"/>
    </xf>
    <xf borderId="8" fillId="0" fontId="7" numFmtId="0" xfId="0" applyBorder="1" applyFont="1"/>
    <xf borderId="0" fillId="0" fontId="1" numFmtId="164" xfId="0" applyFont="1" applyNumberFormat="1"/>
    <xf borderId="9" fillId="0" fontId="7" numFmtId="0" xfId="0" applyBorder="1" applyFont="1"/>
    <xf borderId="1" fillId="2" fontId="2" numFmtId="166" xfId="0" applyBorder="1" applyFill="1" applyFont="1" applyNumberFormat="1"/>
    <xf borderId="10" fillId="4" fontId="8" numFmtId="0" xfId="0" applyAlignment="1" applyBorder="1" applyFill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" fillId="2" fontId="9" numFmtId="164" xfId="0" applyBorder="1" applyFill="1" applyFont="1" applyNumberFormat="1"/>
    <xf borderId="1" fillId="2" fontId="10" numFmtId="167" xfId="0" applyBorder="1" applyFill="1" applyFont="1" applyNumberFormat="1"/>
    <xf borderId="1" fillId="2" fontId="1" numFmtId="15" xfId="0" applyAlignment="1" applyBorder="1" applyFill="1" applyFont="1" applyNumberFormat="1">
      <alignment horizontal="center"/>
    </xf>
    <xf borderId="1" fillId="5" fontId="2" numFmtId="166" xfId="0" applyBorder="1" applyFill="1" applyFont="1" applyNumberFormat="1"/>
    <xf borderId="0" fillId="0" fontId="11" numFmtId="0" xfId="0" applyAlignment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center"/>
    </xf>
    <xf borderId="1" fillId="2" fontId="1" numFmtId="168" xfId="0" applyBorder="1" applyFill="1" applyFont="1" applyNumberFormat="1"/>
    <xf borderId="1" fillId="3" fontId="12" numFmtId="169" xfId="0" applyAlignment="1" applyBorder="1" applyFill="1" applyFont="1" applyNumberFormat="1">
      <alignment horizontal="center"/>
    </xf>
    <xf borderId="1" fillId="2" fontId="1" numFmtId="15" xfId="0" applyBorder="1" applyFill="1" applyFont="1" applyNumberFormat="1"/>
    <xf borderId="1" fillId="2" fontId="3" numFmtId="166" xfId="0" applyBorder="1" applyFill="1" applyFont="1" applyNumberFormat="1"/>
    <xf borderId="14" fillId="4" fontId="8" numFmtId="0" xfId="0" applyAlignment="1" applyBorder="1" applyFill="1" applyFont="1">
      <alignment shrinkToFit="0" vertical="center" wrapText="0"/>
    </xf>
    <xf borderId="1" fillId="2" fontId="1" numFmtId="10" xfId="0" applyAlignment="1" applyBorder="1" applyFill="1" applyFont="1" applyNumberFormat="1">
      <alignment horizontal="center"/>
    </xf>
    <xf borderId="0" fillId="0" fontId="11" numFmtId="0" xfId="0" applyAlignment="1" applyFont="1">
      <alignment shrinkToFit="0" vertical="center" wrapText="0"/>
    </xf>
    <xf borderId="15" fillId="2" fontId="1" numFmtId="0" xfId="0" applyAlignment="1" applyBorder="1" applyFill="1" applyFont="1">
      <alignment horizontal="center" vertical="center"/>
    </xf>
    <xf borderId="1" fillId="2" fontId="2" numFmtId="10" xfId="0" applyBorder="1" applyFill="1" applyFont="1" applyNumberFormat="1"/>
    <xf borderId="1" fillId="2" fontId="2" numFmtId="167" xfId="0" applyBorder="1" applyFill="1" applyFont="1" applyNumberFormat="1"/>
    <xf borderId="1" fillId="2" fontId="13" numFmtId="167" xfId="0" applyBorder="1" applyFill="1" applyFont="1" applyNumberFormat="1"/>
    <xf borderId="1" fillId="2" fontId="9" numFmtId="0" xfId="0" applyBorder="1" applyFill="1" applyFont="1"/>
    <xf borderId="1" fillId="2" fontId="1" numFmtId="166" xfId="0" applyBorder="1" applyFill="1" applyFont="1" applyNumberFormat="1"/>
    <xf borderId="0" fillId="0" fontId="11" numFmtId="170" xfId="0" applyAlignment="1" applyFont="1" applyNumberFormat="1">
      <alignment shrinkToFit="0" vertical="center" wrapText="0"/>
    </xf>
    <xf borderId="16" fillId="6" fontId="2" numFmtId="164" xfId="0" applyBorder="1" applyFill="1" applyFont="1" applyNumberFormat="1"/>
    <xf borderId="17" fillId="0" fontId="7" numFmtId="0" xfId="0" applyBorder="1" applyFont="1"/>
    <xf borderId="1" fillId="7" fontId="1" numFmtId="0" xfId="0" applyBorder="1" applyFill="1" applyFont="1"/>
    <xf borderId="0" fillId="0" fontId="1" numFmtId="0" xfId="0" applyFont="1"/>
    <xf borderId="1" fillId="7" fontId="2" numFmtId="171" xfId="0" applyBorder="1" applyFill="1" applyFont="1" applyNumberFormat="1"/>
    <xf borderId="18" fillId="0" fontId="7" numFmtId="0" xfId="0" applyBorder="1" applyFont="1"/>
    <xf borderId="1" fillId="7" fontId="2" numFmtId="166" xfId="0" applyBorder="1" applyFill="1" applyFont="1" applyNumberFormat="1"/>
    <xf borderId="19" fillId="2" fontId="1" numFmtId="0" xfId="0" applyAlignment="1" applyBorder="1" applyFill="1" applyFont="1">
      <alignment horizontal="center"/>
    </xf>
    <xf borderId="1" fillId="2" fontId="1" numFmtId="10" xfId="0" applyBorder="1" applyFill="1" applyFont="1" applyNumberFormat="1"/>
    <xf borderId="16" fillId="6" fontId="14" numFmtId="164" xfId="0" applyBorder="1" applyFill="1" applyFont="1" applyNumberFormat="1"/>
    <xf borderId="19" fillId="2" fontId="1" numFmtId="10" xfId="0" applyAlignment="1" applyBorder="1" applyFill="1" applyFont="1" applyNumberFormat="1">
      <alignment horizontal="center"/>
    </xf>
    <xf borderId="20" fillId="2" fontId="1" numFmtId="0" xfId="0" applyAlignment="1" applyBorder="1" applyFill="1" applyFont="1">
      <alignment horizontal="center" vertical="center"/>
    </xf>
    <xf borderId="21" fillId="2" fontId="1" numFmtId="0" xfId="0" applyAlignment="1" applyBorder="1" applyFill="1" applyFont="1">
      <alignment horizontal="center"/>
    </xf>
    <xf borderId="2" fillId="2" fontId="9" numFmtId="0" xfId="0" applyAlignment="1" applyBorder="1" applyFill="1" applyFont="1">
      <alignment horizontal="center"/>
    </xf>
    <xf borderId="16" fillId="8" fontId="14" numFmtId="164" xfId="0" applyBorder="1" applyFill="1" applyFont="1" applyNumberFormat="1"/>
    <xf borderId="1" fillId="8" fontId="1" numFmtId="164" xfId="0" applyBorder="1" applyFill="1" applyFont="1" applyNumberFormat="1"/>
    <xf borderId="1" fillId="3" fontId="15" numFmtId="0" xfId="0" applyAlignment="1" applyBorder="1" applyFill="1" applyFont="1">
      <alignment horizontal="center" vertical="top"/>
    </xf>
    <xf borderId="1" fillId="9" fontId="1" numFmtId="0" xfId="0" applyBorder="1" applyFill="1" applyFont="1"/>
    <xf borderId="0" fillId="0" fontId="9" numFmtId="0" xfId="0" applyFont="1"/>
    <xf borderId="1" fillId="7" fontId="5" numFmtId="171" xfId="0" applyBorder="1" applyFill="1" applyFont="1" applyNumberFormat="1"/>
    <xf borderId="1" fillId="7" fontId="5" numFmtId="166" xfId="0" applyBorder="1" applyFill="1" applyFont="1" applyNumberFormat="1"/>
    <xf borderId="1" fillId="2" fontId="9" numFmtId="15" xfId="0" applyBorder="1" applyFill="1" applyFont="1" applyNumberFormat="1"/>
    <xf borderId="1" fillId="2" fontId="9" numFmtId="10" xfId="0" applyBorder="1" applyFill="1" applyFont="1" applyNumberFormat="1"/>
    <xf borderId="16" fillId="6" fontId="16" numFmtId="164" xfId="0" applyBorder="1" applyFill="1" applyFont="1" applyNumberFormat="1"/>
    <xf borderId="1" fillId="2" fontId="1" numFmtId="9" xfId="0" applyBorder="1" applyFill="1" applyFont="1" applyNumberFormat="1"/>
    <xf borderId="1" fillId="2" fontId="1" numFmtId="172" xfId="0" applyBorder="1" applyFill="1" applyFont="1" applyNumberFormat="1"/>
    <xf borderId="1" fillId="2" fontId="1" numFmtId="173" xfId="0" applyBorder="1" applyFill="1" applyFont="1" applyNumberFormat="1"/>
    <xf borderId="22" fillId="3" fontId="12" numFmtId="169" xfId="0" applyAlignment="1" applyBorder="1" applyFill="1" applyFont="1" applyNumberFormat="1">
      <alignment horizontal="center"/>
    </xf>
    <xf borderId="0" fillId="0" fontId="2" numFmtId="171" xfId="0" applyFont="1" applyNumberFormat="1"/>
    <xf borderId="0" fillId="0" fontId="2" numFmtId="166" xfId="0" applyFont="1" applyNumberFormat="1"/>
    <xf borderId="1" fillId="7" fontId="2" numFmtId="164" xfId="0" applyBorder="1" applyFill="1" applyFont="1" applyNumberFormat="1"/>
    <xf borderId="0" fillId="0" fontId="5" numFmtId="171" xfId="0" applyFont="1" applyNumberFormat="1"/>
    <xf borderId="0" fillId="0" fontId="5" numFmtId="166" xfId="0" applyFont="1" applyNumberFormat="1"/>
    <xf borderId="0" fillId="0" fontId="1" numFmtId="10" xfId="0" applyFont="1" applyNumberFormat="1"/>
    <xf borderId="1" fillId="10" fontId="1" numFmtId="0" xfId="0" applyBorder="1" applyFill="1" applyFont="1"/>
    <xf borderId="0" fillId="0" fontId="1" numFmtId="15" xfId="0" applyFont="1" applyNumberFormat="1"/>
    <xf borderId="1" fillId="2" fontId="17" numFmtId="0" xfId="0" applyBorder="1" applyFill="1" applyFont="1"/>
    <xf borderId="1" fillId="2" fontId="17" numFmtId="10" xfId="0" applyBorder="1" applyFill="1" applyFont="1" applyNumberFormat="1"/>
    <xf borderId="1" fillId="2" fontId="17" numFmtId="167" xfId="0" applyBorder="1" applyFill="1" applyFont="1" applyNumberFormat="1"/>
    <xf borderId="1" fillId="2" fontId="17" numFmtId="164" xfId="0" applyBorder="1" applyFill="1" applyFont="1" applyNumberFormat="1"/>
    <xf borderId="16" fillId="6" fontId="17" numFmtId="164" xfId="0" applyBorder="1" applyFill="1" applyFont="1" applyNumberFormat="1"/>
    <xf borderId="1" fillId="11" fontId="2" numFmtId="0" xfId="0" applyBorder="1" applyFill="1" applyFont="1"/>
    <xf borderId="1" fillId="11" fontId="2" numFmtId="10" xfId="0" applyBorder="1" applyFill="1" applyFont="1" applyNumberFormat="1"/>
    <xf borderId="1" fillId="11" fontId="2" numFmtId="167" xfId="0" applyBorder="1" applyFill="1" applyFont="1" applyNumberFormat="1"/>
    <xf borderId="16" fillId="6" fontId="18" numFmtId="164" xfId="0" applyBorder="1" applyFill="1" applyFont="1" applyNumberFormat="1"/>
    <xf borderId="16" fillId="11" fontId="2" numFmtId="164" xfId="0" applyBorder="1" applyFill="1" applyFont="1" applyNumberFormat="1"/>
    <xf borderId="1" fillId="12" fontId="1" numFmtId="0" xfId="0" applyBorder="1" applyFill="1" applyFont="1"/>
    <xf borderId="1" fillId="11" fontId="2" numFmtId="164" xfId="0" applyBorder="1" applyFill="1" applyFont="1" applyNumberFormat="1"/>
    <xf borderId="1" fillId="11" fontId="1" numFmtId="0" xfId="0" applyBorder="1" applyFill="1" applyFont="1"/>
    <xf borderId="16" fillId="11" fontId="18" numFmtId="164" xfId="0" applyBorder="1" applyFill="1" applyFont="1" applyNumberFormat="1"/>
    <xf borderId="0" fillId="0" fontId="9" numFmtId="171" xfId="0" applyFont="1" applyNumberFormat="1"/>
    <xf borderId="1" fillId="13" fontId="9" numFmtId="164" xfId="0" applyBorder="1" applyFill="1" applyFont="1" applyNumberFormat="1"/>
    <xf borderId="1" fillId="7" fontId="17" numFmtId="164" xfId="0" applyBorder="1" applyFill="1" applyFont="1" applyNumberFormat="1"/>
    <xf borderId="1" fillId="2" fontId="19" numFmtId="10" xfId="0" applyBorder="1" applyFill="1" applyFont="1" applyNumberFormat="1"/>
    <xf borderId="1" fillId="2" fontId="19" numFmtId="0" xfId="0" applyBorder="1" applyFill="1" applyFont="1"/>
    <xf borderId="1" fillId="13" fontId="1" numFmtId="164" xfId="0" applyBorder="1" applyFill="1" applyFont="1" applyNumberFormat="1"/>
    <xf borderId="0" fillId="0" fontId="2" numFmtId="0" xfId="0" applyFont="1"/>
    <xf borderId="16" fillId="0" fontId="14" numFmtId="164" xfId="0" applyBorder="1" applyFont="1" applyNumberFormat="1"/>
    <xf borderId="1" fillId="14" fontId="1" numFmtId="0" xfId="0" applyBorder="1" applyFill="1" applyFont="1"/>
    <xf borderId="1" fillId="13" fontId="1" numFmtId="0" xfId="0" applyBorder="1" applyFill="1" applyFont="1"/>
    <xf borderId="1" fillId="13" fontId="1" numFmtId="10" xfId="0" applyBorder="1" applyFill="1" applyFont="1" applyNumberFormat="1"/>
    <xf borderId="1" fillId="13" fontId="1" numFmtId="15" xfId="0" applyBorder="1" applyFill="1" applyFont="1" applyNumberFormat="1"/>
    <xf borderId="16" fillId="13" fontId="14" numFmtId="164" xfId="0" applyBorder="1" applyFill="1" applyFont="1" applyNumberFormat="1"/>
    <xf borderId="1" fillId="13" fontId="2" numFmtId="0" xfId="0" applyBorder="1" applyFill="1" applyFont="1"/>
    <xf borderId="1" fillId="2" fontId="11" numFmtId="0" xfId="0" applyAlignment="1" applyBorder="1" applyFill="1" applyFont="1">
      <alignment horizontal="left"/>
    </xf>
    <xf borderId="0" fillId="0" fontId="2" numFmtId="174" xfId="0" applyFont="1" applyNumberFormat="1"/>
    <xf borderId="1" fillId="15" fontId="1" numFmtId="164" xfId="0" applyBorder="1" applyFill="1" applyFont="1" applyNumberFormat="1"/>
    <xf borderId="1" fillId="15" fontId="9" numFmtId="164" xfId="0" applyBorder="1" applyFill="1" applyFont="1" applyNumberFormat="1"/>
    <xf borderId="1" fillId="2" fontId="1" numFmtId="167" xfId="0" applyBorder="1" applyFill="1" applyFont="1" applyNumberFormat="1"/>
    <xf borderId="1" fillId="2" fontId="1" numFmtId="174" xfId="0" applyBorder="1" applyFill="1" applyFont="1" applyNumberFormat="1"/>
    <xf borderId="1" fillId="16" fontId="1" numFmtId="164" xfId="0" applyBorder="1" applyFill="1" applyFont="1" applyNumberFormat="1"/>
    <xf borderId="1" fillId="16" fontId="1" numFmtId="0" xfId="0" applyBorder="1" applyFill="1" applyFont="1"/>
    <xf borderId="1" fillId="16" fontId="1" numFmtId="10" xfId="0" applyBorder="1" applyFill="1" applyFont="1" applyNumberFormat="1"/>
    <xf borderId="1" fillId="16" fontId="1" numFmtId="15" xfId="0" applyBorder="1" applyFill="1" applyFont="1" applyNumberFormat="1"/>
    <xf borderId="16" fillId="6" fontId="14" numFmtId="172" xfId="0" applyBorder="1" applyFill="1" applyFont="1" applyNumberFormat="1"/>
    <xf borderId="16" fillId="16" fontId="14" numFmtId="164" xfId="0" applyBorder="1" applyFill="1" applyFont="1" applyNumberFormat="1"/>
    <xf borderId="1" fillId="16" fontId="2" numFmtId="0" xfId="0" applyBorder="1" applyFill="1" applyFont="1"/>
    <xf borderId="1" fillId="7" fontId="11" numFmtId="0" xfId="0" applyAlignment="1" applyBorder="1" applyFill="1" applyFont="1">
      <alignment horizontal="left"/>
    </xf>
    <xf borderId="1" fillId="7" fontId="1" numFmtId="10" xfId="0" applyBorder="1" applyFill="1" applyFont="1" applyNumberFormat="1"/>
    <xf borderId="1" fillId="7" fontId="1" numFmtId="15" xfId="0" applyBorder="1" applyFill="1" applyFont="1" applyNumberFormat="1"/>
    <xf borderId="16" fillId="7" fontId="14" numFmtId="164" xfId="0" applyBorder="1" applyFill="1" applyFont="1" applyNumberFormat="1"/>
    <xf borderId="1" fillId="7" fontId="1" numFmtId="164" xfId="0" applyBorder="1" applyFill="1" applyFont="1" applyNumberFormat="1"/>
    <xf borderId="1" fillId="7" fontId="2" numFmtId="0" xfId="0" applyBorder="1" applyFill="1" applyFont="1"/>
    <xf borderId="0" fillId="0" fontId="1" numFmtId="164" xfId="0" applyAlignment="1" applyFont="1" applyNumberFormat="1">
      <alignment horizontal="right"/>
    </xf>
    <xf borderId="0" fillId="0" fontId="11" numFmtId="164" xfId="0" applyAlignment="1" applyFont="1" applyNumberFormat="1">
      <alignment horizontal="right"/>
    </xf>
    <xf borderId="0" fillId="0" fontId="11" numFmtId="164" xfId="0" applyFont="1" applyNumberFormat="1"/>
    <xf borderId="1" fillId="16" fontId="1" numFmtId="164" xfId="0" applyAlignment="1" applyBorder="1" applyFill="1" applyFont="1" applyNumberFormat="1">
      <alignment horizontal="right"/>
    </xf>
    <xf borderId="1" fillId="13" fontId="9" numFmtId="0" xfId="0" applyBorder="1" applyFill="1" applyFont="1"/>
    <xf borderId="1" fillId="13" fontId="9" numFmtId="10" xfId="0" applyBorder="1" applyFill="1" applyFont="1" applyNumberFormat="1"/>
    <xf borderId="1" fillId="13" fontId="9" numFmtId="15" xfId="0" applyBorder="1" applyFill="1" applyFont="1" applyNumberFormat="1"/>
    <xf borderId="16" fillId="13" fontId="16" numFmtId="164" xfId="0" applyBorder="1" applyFill="1" applyFont="1" applyNumberFormat="1"/>
    <xf borderId="1" fillId="13" fontId="9" numFmtId="164" xfId="0" applyAlignment="1" applyBorder="1" applyFill="1" applyFont="1" applyNumberFormat="1">
      <alignment horizontal="right"/>
    </xf>
    <xf borderId="1" fillId="13" fontId="20" numFmtId="0" xfId="0" applyBorder="1" applyFill="1" applyFont="1"/>
    <xf borderId="1" fillId="13" fontId="5" numFmtId="0" xfId="0" applyBorder="1" applyFill="1" applyFont="1"/>
    <xf borderId="1" fillId="2" fontId="1" numFmtId="164" xfId="0" applyAlignment="1" applyBorder="1" applyFill="1" applyFont="1" applyNumberFormat="1">
      <alignment horizontal="center"/>
    </xf>
    <xf borderId="1" fillId="17" fontId="1" numFmtId="164" xfId="0" applyBorder="1" applyFill="1" applyFont="1" applyNumberFormat="1"/>
    <xf borderId="0" fillId="0" fontId="1" numFmtId="164" xfId="0" applyAlignment="1" applyFont="1" applyNumberFormat="1">
      <alignment horizontal="center"/>
    </xf>
    <xf borderId="1" fillId="9" fontId="1" numFmtId="10" xfId="0" applyBorder="1" applyFill="1" applyFont="1" applyNumberFormat="1"/>
    <xf borderId="1" fillId="9" fontId="1" numFmtId="15" xfId="0" applyBorder="1" applyFill="1" applyFont="1" applyNumberFormat="1"/>
    <xf borderId="16" fillId="9" fontId="14" numFmtId="164" xfId="0" applyBorder="1" applyFill="1" applyFont="1" applyNumberFormat="1"/>
    <xf borderId="1" fillId="9" fontId="1" numFmtId="164" xfId="0" applyBorder="1" applyFill="1" applyFont="1" applyNumberFormat="1"/>
    <xf borderId="1" fillId="9" fontId="2" numFmtId="0" xfId="0" applyBorder="1" applyFill="1" applyFont="1"/>
    <xf borderId="1" fillId="15" fontId="1" numFmtId="0" xfId="0" applyBorder="1" applyFill="1" applyFont="1"/>
    <xf borderId="1" fillId="15" fontId="1" numFmtId="10" xfId="0" applyBorder="1" applyFill="1" applyFont="1" applyNumberFormat="1"/>
    <xf borderId="1" fillId="15" fontId="1" numFmtId="15" xfId="0" applyBorder="1" applyFill="1" applyFont="1" applyNumberFormat="1"/>
    <xf borderId="16" fillId="15" fontId="14" numFmtId="164" xfId="0" applyBorder="1" applyFill="1" applyFont="1" applyNumberFormat="1"/>
    <xf borderId="1" fillId="15" fontId="2" numFmtId="0" xfId="0" applyBorder="1" applyFill="1" applyFont="1"/>
    <xf borderId="1" fillId="18" fontId="1" numFmtId="0" xfId="0" applyBorder="1" applyFill="1" applyFont="1"/>
    <xf borderId="1" fillId="18" fontId="1" numFmtId="10" xfId="0" applyBorder="1" applyFill="1" applyFont="1" applyNumberFormat="1"/>
    <xf borderId="1" fillId="18" fontId="1" numFmtId="15" xfId="0" applyBorder="1" applyFill="1" applyFont="1" applyNumberFormat="1"/>
    <xf borderId="16" fillId="18" fontId="14" numFmtId="164" xfId="0" applyBorder="1" applyFill="1" applyFont="1" applyNumberFormat="1"/>
    <xf borderId="1" fillId="18" fontId="1" numFmtId="164" xfId="0" applyBorder="1" applyFill="1" applyFont="1" applyNumberFormat="1"/>
    <xf borderId="1" fillId="18" fontId="2" numFmtId="0" xfId="0" applyBorder="1" applyFill="1" applyFont="1"/>
    <xf borderId="0" fillId="0" fontId="1" numFmtId="166" xfId="0" applyFont="1" applyNumberFormat="1"/>
    <xf borderId="0" fillId="0" fontId="1" numFmtId="167" xfId="0" applyFont="1" applyNumberFormat="1"/>
    <xf borderId="0" fillId="0" fontId="9" numFmtId="10" xfId="0" applyFont="1" applyNumberFormat="1"/>
    <xf borderId="0" fillId="0" fontId="9" numFmtId="15" xfId="0" applyFont="1" applyNumberFormat="1"/>
    <xf borderId="16" fillId="0" fontId="16" numFmtId="164" xfId="0" applyBorder="1" applyFont="1" applyNumberFormat="1"/>
    <xf borderId="0" fillId="0" fontId="9" numFmtId="164" xfId="0" applyFont="1" applyNumberFormat="1"/>
    <xf borderId="0" fillId="0" fontId="5" numFmtId="0" xfId="0" applyFont="1"/>
    <xf borderId="1" fillId="2" fontId="1" numFmtId="2" xfId="0" applyBorder="1" applyFill="1" applyFont="1" applyNumberFormat="1"/>
    <xf borderId="1" fillId="19" fontId="11" numFmtId="0" xfId="0" applyBorder="1" applyFill="1" applyFont="1"/>
    <xf borderId="1" fillId="19" fontId="1" numFmtId="164" xfId="0" applyBorder="1" applyFill="1" applyFont="1" applyNumberFormat="1"/>
    <xf borderId="1" fillId="19" fontId="1" numFmtId="10" xfId="0" applyBorder="1" applyFill="1" applyFont="1" applyNumberFormat="1"/>
    <xf borderId="1" fillId="19" fontId="1" numFmtId="0" xfId="0" applyBorder="1" applyFill="1" applyFont="1"/>
    <xf borderId="0" fillId="0" fontId="20" numFmtId="0" xfId="0" applyFont="1"/>
    <xf borderId="0" fillId="0" fontId="11" numFmtId="0" xfId="0" applyFont="1"/>
    <xf borderId="0" fillId="0" fontId="1" numFmtId="171" xfId="0" applyFont="1" applyNumberFormat="1"/>
    <xf borderId="1" fillId="20" fontId="1" numFmtId="0" xfId="0" applyBorder="1" applyFill="1" applyFont="1"/>
    <xf borderId="1" fillId="20" fontId="1" numFmtId="10" xfId="0" applyBorder="1" applyFill="1" applyFont="1" applyNumberFormat="1"/>
    <xf borderId="1" fillId="20" fontId="1" numFmtId="15" xfId="0" applyBorder="1" applyFill="1" applyFont="1" applyNumberFormat="1"/>
    <xf borderId="1" fillId="20" fontId="1" numFmtId="14" xfId="0" applyBorder="1" applyFill="1" applyFont="1" applyNumberFormat="1"/>
    <xf borderId="16" fillId="20" fontId="14" numFmtId="164" xfId="0" applyBorder="1" applyFill="1" applyFont="1" applyNumberFormat="1"/>
    <xf borderId="1" fillId="20" fontId="1" numFmtId="164" xfId="0" applyBorder="1" applyFill="1" applyFont="1" applyNumberFormat="1"/>
    <xf borderId="1" fillId="20" fontId="2" numFmtId="0" xfId="0" applyBorder="1" applyFill="1" applyFont="1"/>
    <xf borderId="16" fillId="6" fontId="14" numFmtId="2" xfId="0" applyBorder="1" applyFill="1" applyFont="1" applyNumberFormat="1"/>
    <xf borderId="1" fillId="13" fontId="1" numFmtId="174" xfId="0" applyBorder="1" applyFill="1" applyFont="1" applyNumberFormat="1"/>
    <xf borderId="1" fillId="13" fontId="11" numFmtId="0" xfId="0" applyBorder="1" applyFill="1" applyFont="1"/>
    <xf borderId="1" fillId="13" fontId="1" numFmtId="166" xfId="0" applyBorder="1" applyFill="1" applyFont="1" applyNumberFormat="1"/>
    <xf borderId="1" fillId="13" fontId="1" numFmtId="167" xfId="0" applyBorder="1" applyFill="1" applyFont="1" applyNumberFormat="1"/>
    <xf borderId="1" fillId="21" fontId="1" numFmtId="0" xfId="0" applyBorder="1" applyFill="1" applyFont="1"/>
    <xf borderId="1" fillId="16" fontId="1" numFmtId="174" xfId="0" applyBorder="1" applyFill="1" applyFont="1" applyNumberFormat="1"/>
    <xf borderId="1" fillId="16" fontId="1" numFmtId="14" xfId="0" applyBorder="1" applyFill="1" applyFont="1" applyNumberFormat="1"/>
    <xf borderId="1" fillId="21" fontId="1" numFmtId="164" xfId="0" applyBorder="1" applyFill="1" applyFont="1" applyNumberFormat="1"/>
    <xf borderId="1" fillId="21" fontId="2" numFmtId="0" xfId="0" applyBorder="1" applyFill="1" applyFont="1"/>
    <xf borderId="1" fillId="21" fontId="9" numFmtId="0" xfId="0" applyBorder="1" applyFill="1" applyFont="1"/>
    <xf borderId="1" fillId="16" fontId="9" numFmtId="0" xfId="0" applyBorder="1" applyFill="1" applyFont="1"/>
    <xf borderId="1" fillId="16" fontId="9" numFmtId="174" xfId="0" applyBorder="1" applyFill="1" applyFont="1" applyNumberFormat="1"/>
    <xf borderId="1" fillId="16" fontId="9" numFmtId="15" xfId="0" applyBorder="1" applyFill="1" applyFont="1" applyNumberFormat="1"/>
    <xf borderId="1" fillId="16" fontId="9" numFmtId="14" xfId="0" applyBorder="1" applyFill="1" applyFont="1" applyNumberFormat="1"/>
    <xf borderId="1" fillId="16" fontId="9" numFmtId="10" xfId="0" applyBorder="1" applyFill="1" applyFont="1" applyNumberFormat="1"/>
    <xf borderId="16" fillId="16" fontId="16" numFmtId="164" xfId="0" applyBorder="1" applyFill="1" applyFont="1" applyNumberFormat="1"/>
    <xf borderId="1" fillId="16" fontId="9" numFmtId="164" xfId="0" applyBorder="1" applyFill="1" applyFont="1" applyNumberFormat="1"/>
    <xf borderId="1" fillId="21" fontId="9" numFmtId="164" xfId="0" applyBorder="1" applyFill="1" applyFont="1" applyNumberFormat="1"/>
    <xf borderId="1" fillId="21" fontId="5" numFmtId="0" xfId="0" applyBorder="1" applyFill="1" applyFont="1"/>
    <xf borderId="0" fillId="0" fontId="1" numFmtId="14" xfId="0" applyFont="1" applyNumberFormat="1"/>
    <xf borderId="0" fillId="0" fontId="21" numFmtId="0" xfId="0" applyFont="1"/>
    <xf borderId="16" fillId="6" fontId="14" numFmtId="164" xfId="0" applyAlignment="1" applyBorder="1" applyFill="1" applyFont="1" applyNumberFormat="1">
      <alignment horizontal="right"/>
    </xf>
    <xf borderId="16" fillId="6" fontId="14" numFmtId="164" xfId="0" applyAlignment="1" applyBorder="1" applyFill="1" applyFont="1" applyNumberFormat="1">
      <alignment horizontal="center"/>
    </xf>
    <xf borderId="1" fillId="21" fontId="1" numFmtId="10" xfId="0" applyBorder="1" applyFill="1" applyFont="1" applyNumberFormat="1"/>
    <xf borderId="1" fillId="22" fontId="1" numFmtId="0" xfId="0" applyBorder="1" applyFill="1" applyFont="1"/>
    <xf borderId="1" fillId="22" fontId="1" numFmtId="174" xfId="0" applyBorder="1" applyFill="1" applyFont="1" applyNumberFormat="1"/>
    <xf borderId="1" fillId="22" fontId="1" numFmtId="15" xfId="0" applyBorder="1" applyFill="1" applyFont="1" applyNumberFormat="1"/>
    <xf borderId="1" fillId="22" fontId="1" numFmtId="10" xfId="0" applyBorder="1" applyFill="1" applyFont="1" applyNumberFormat="1"/>
    <xf borderId="16" fillId="22" fontId="14" numFmtId="164" xfId="0" applyBorder="1" applyFill="1" applyFont="1" applyNumberFormat="1"/>
    <xf borderId="1" fillId="22" fontId="1" numFmtId="164" xfId="0" applyBorder="1" applyFill="1" applyFont="1" applyNumberFormat="1"/>
    <xf borderId="1" fillId="22" fontId="2" numFmtId="0" xfId="0" applyBorder="1" applyFill="1" applyFont="1"/>
    <xf borderId="1" fillId="15" fontId="1" numFmtId="174" xfId="0" applyBorder="1" applyFill="1" applyFont="1" applyNumberFormat="1"/>
    <xf borderId="0" fillId="0" fontId="19" numFmtId="164" xfId="0" applyFont="1" applyNumberFormat="1"/>
    <xf borderId="0" fillId="0" fontId="9" numFmtId="166" xfId="0" applyFont="1" applyNumberFormat="1"/>
    <xf borderId="0" fillId="0" fontId="9" numFmtId="167" xfId="0" applyFont="1" applyNumberFormat="1"/>
    <xf borderId="0" fillId="0" fontId="1" numFmtId="174" xfId="0" applyFont="1" applyNumberFormat="1"/>
    <xf borderId="1" fillId="13" fontId="9" numFmtId="166" xfId="0" applyBorder="1" applyFill="1" applyFont="1" applyNumberFormat="1"/>
    <xf borderId="1" fillId="13" fontId="9" numFmtId="167" xfId="0" applyBorder="1" applyFill="1" applyFont="1" applyNumberFormat="1"/>
    <xf borderId="0" fillId="0" fontId="22" numFmtId="0" xfId="0" applyFont="1"/>
    <xf borderId="1" fillId="2" fontId="9" numFmtId="0" xfId="0" applyAlignment="1" applyBorder="1" applyFill="1" applyFont="1">
      <alignment readingOrder="0"/>
    </xf>
    <xf borderId="1" fillId="2" fontId="1" numFmtId="40" xfId="0" applyBorder="1" applyFill="1" applyFont="1" applyNumberFormat="1"/>
    <xf borderId="1" fillId="23" fontId="11" numFmtId="0" xfId="0" applyBorder="1" applyFill="1" applyFont="1"/>
    <xf borderId="1" fillId="23" fontId="1" numFmtId="0" xfId="0" applyBorder="1" applyFill="1" applyFont="1"/>
    <xf borderId="1" fillId="23" fontId="1" numFmtId="40" xfId="0" applyBorder="1" applyFill="1" applyFont="1" applyNumberFormat="1"/>
    <xf borderId="1" fillId="2" fontId="1" numFmtId="4" xfId="0" applyBorder="1" applyFill="1" applyFont="1" applyNumberFormat="1"/>
    <xf borderId="1" fillId="2" fontId="11" numFmtId="0" xfId="0" applyBorder="1" applyFill="1" applyFont="1"/>
    <xf borderId="1" fillId="2" fontId="11" numFmtId="0" xfId="0" applyAlignment="1" applyBorder="1" applyFill="1" applyFont="1">
      <alignment horizontal="center"/>
    </xf>
    <xf borderId="1" fillId="2" fontId="23" numFmtId="0" xfId="0" applyBorder="1" applyFill="1" applyFont="1"/>
    <xf borderId="1" fillId="2" fontId="23" numFmtId="0" xfId="0" applyAlignment="1" applyBorder="1" applyFill="1" applyFont="1">
      <alignment horizontal="center"/>
    </xf>
    <xf borderId="1" fillId="3" fontId="8" numFmtId="175" xfId="0" applyAlignment="1" applyBorder="1" applyFill="1" applyFont="1" applyNumberFormat="1">
      <alignment horizontal="center"/>
    </xf>
    <xf borderId="1" fillId="3" fontId="8" numFmtId="169" xfId="0" applyAlignment="1" applyBorder="1" applyFill="1" applyFont="1" applyNumberFormat="1">
      <alignment horizontal="center"/>
    </xf>
    <xf borderId="1" fillId="2" fontId="11" numFmtId="175" xfId="0" applyAlignment="1" applyBorder="1" applyFill="1" applyFont="1" applyNumberFormat="1">
      <alignment horizontal="center"/>
    </xf>
    <xf borderId="1" fillId="2" fontId="11" numFmtId="10" xfId="0" applyAlignment="1" applyBorder="1" applyFill="1" applyFont="1" applyNumberFormat="1">
      <alignment horizontal="center"/>
    </xf>
    <xf borderId="1" fillId="2" fontId="11" numFmtId="15" xfId="0" applyAlignment="1" applyBorder="1" applyFill="1" applyFont="1" applyNumberFormat="1">
      <alignment horizontal="center"/>
    </xf>
    <xf borderId="1" fillId="2" fontId="11" numFmtId="176" xfId="0" applyAlignment="1" applyBorder="1" applyFill="1" applyFont="1" applyNumberFormat="1">
      <alignment horizontal="center"/>
    </xf>
    <xf borderId="0" fillId="0" fontId="2" numFmtId="0" xfId="0" applyAlignment="1" applyFont="1">
      <alignment horizontal="left" vertical="top"/>
    </xf>
    <xf borderId="0" fillId="0" fontId="2" numFmtId="14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22" numFmtId="177" xfId="0" applyFont="1" applyNumberFormat="1"/>
    <xf borderId="23" fillId="0" fontId="20" numFmtId="0" xfId="0" applyBorder="1" applyFont="1"/>
    <xf borderId="0" fillId="0" fontId="11" numFmtId="15" xfId="0" applyFont="1" applyNumberFormat="1"/>
    <xf borderId="0" fillId="0" fontId="11" numFmtId="10" xfId="0" applyFont="1" applyNumberFormat="1"/>
    <xf borderId="0" fillId="0" fontId="11" numFmtId="178" xfId="0" applyFont="1" applyNumberFormat="1"/>
    <xf borderId="0" fillId="0" fontId="11" numFmtId="3" xfId="0" applyFont="1" applyNumberFormat="1"/>
    <xf borderId="0" fillId="0" fontId="11" numFmtId="9" xfId="0" applyFont="1" applyNumberFormat="1"/>
    <xf borderId="0" fillId="0" fontId="11" numFmtId="1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C00000"/>
      </font>
      <fill>
        <patternFill patternType="none"/>
      </fill>
      <border/>
    </dxf>
    <dxf>
      <font>
        <color theme="0"/>
      </font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</dxfs>
  <tableStyles count="3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5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7.xml"/><Relationship Id="rId10" Type="http://schemas.openxmlformats.org/officeDocument/2006/relationships/worksheet" Target="worksheets/sheet7.xml"/><Relationship Id="rId21" Type="http://schemas.openxmlformats.org/officeDocument/2006/relationships/externalLink" Target="externalLinks/externalLink6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0</xdr:rowOff>
    </xdr:from>
    <xdr:ext cx="10029825" cy="19050"/>
    <xdr:grpSp>
      <xdr:nvGrpSpPr>
        <xdr:cNvPr id="2" name="Shape 2"/>
        <xdr:cNvGrpSpPr/>
      </xdr:nvGrpSpPr>
      <xdr:grpSpPr>
        <a:xfrm>
          <a:off x="331088" y="3770475"/>
          <a:ext cx="10029825" cy="19050"/>
          <a:chOff x="331088" y="3770475"/>
          <a:chExt cx="10029825" cy="19050"/>
        </a:xfrm>
      </xdr:grpSpPr>
      <xdr:grpSp>
        <xdr:nvGrpSpPr>
          <xdr:cNvPr id="3" name="Shape 3"/>
          <xdr:cNvGrpSpPr/>
        </xdr:nvGrpSpPr>
        <xdr:grpSpPr>
          <a:xfrm>
            <a:off x="331088" y="3770475"/>
            <a:ext cx="10029825" cy="19050"/>
            <a:chOff x="328230" y="3770475"/>
            <a:chExt cx="10035540" cy="19050"/>
          </a:xfrm>
        </xdr:grpSpPr>
        <xdr:sp>
          <xdr:nvSpPr>
            <xdr:cNvPr id="4" name="Shape 4"/>
            <xdr:cNvSpPr/>
          </xdr:nvSpPr>
          <xdr:spPr>
            <a:xfrm>
              <a:off x="328230" y="3770475"/>
              <a:ext cx="100355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28230" y="3770475"/>
              <a:ext cx="10035540" cy="19050"/>
              <a:chOff x="0" y="0"/>
              <a:chExt cx="10035540" cy="19050"/>
            </a:xfrm>
          </xdr:grpSpPr>
          <xdr:sp>
            <xdr:nvSpPr>
              <xdr:cNvPr id="6" name="Shape 6"/>
              <xdr:cNvSpPr/>
            </xdr:nvSpPr>
            <xdr:spPr>
              <a:xfrm>
                <a:off x="0" y="0"/>
                <a:ext cx="10035525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0" y="0"/>
                <a:ext cx="10035540" cy="19050"/>
              </a:xfrm>
              <a:custGeom>
                <a:rect b="b" l="l" r="r" t="t"/>
                <a:pathLst>
                  <a:path extrusionOk="0" h="19050" w="10035540">
                    <a:moveTo>
                      <a:pt x="10035540" y="0"/>
                    </a:moveTo>
                    <a:lnTo>
                      <a:pt x="0" y="0"/>
                    </a:lnTo>
                    <a:lnTo>
                      <a:pt x="0" y="19050"/>
                    </a:lnTo>
                    <a:lnTo>
                      <a:pt x="9525" y="9525"/>
                    </a:lnTo>
                    <a:lnTo>
                      <a:pt x="10026015" y="9525"/>
                    </a:lnTo>
                    <a:lnTo>
                      <a:pt x="10035540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</xdr:sp>
          <xdr:sp>
            <xdr:nvSpPr>
              <xdr:cNvPr id="8" name="Shape 8"/>
              <xdr:cNvSpPr/>
            </xdr:nvSpPr>
            <xdr:spPr>
              <a:xfrm>
                <a:off x="0" y="0"/>
                <a:ext cx="10035540" cy="19050"/>
              </a:xfrm>
              <a:custGeom>
                <a:rect b="b" l="l" r="r" t="t"/>
                <a:pathLst>
                  <a:path extrusionOk="0" h="19050" w="10035540">
                    <a:moveTo>
                      <a:pt x="10035540" y="0"/>
                    </a:moveTo>
                    <a:lnTo>
                      <a:pt x="10026015" y="9525"/>
                    </a:lnTo>
                    <a:lnTo>
                      <a:pt x="9525" y="9525"/>
                    </a:lnTo>
                    <a:lnTo>
                      <a:pt x="0" y="19050"/>
                    </a:lnTo>
                    <a:lnTo>
                      <a:pt x="10035540" y="19050"/>
                    </a:lnTo>
                    <a:lnTo>
                      <a:pt x="10035540" y="0"/>
                    </a:lnTo>
                    <a:close/>
                  </a:path>
                </a:pathLst>
              </a:custGeom>
              <a:solidFill>
                <a:srgbClr val="B2B2B2"/>
              </a:solidFill>
              <a:ln>
                <a:noFill/>
              </a:ln>
            </xdr:spPr>
          </xdr:sp>
        </xdr:grp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A%20-%20Research\Eurobonds%20universe\Eurobond%20universe%20V8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luwafemi%20Olubode\Dropbox\Finance,%20Risk%20&amp;%20Control\Finance\Finance\Fund%20Report\GIF%20Report\2014\May%202014%20to%20Date\High%20Yield%20GIF%20May%202014%20to%20Date\October%202014\HYGIF%20%20Report%20%2029%20Oct%202014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unle%20Adesuyi\Desktop\New%20folder\My%20stuff\GIF%20recomputation\July%202014\GIF%20Holdings%20Naira%20Daily%20Report%20-%20Infoware%20july%208%202014(GIF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zubair\AppData\Local\Temp\GIF%2006-02-2019%20new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luwafemi%20Olubode\Dropbox%20(Sankore)\Downloads\Dollars%20Holdings_24-09-2018-EfeRecon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GIF\2019\September\GIF%2017-09-2019%20Trade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nne\Dropbox%20(Sankore)\Downloads\Anne%20FINOPS\HYGIF%20Holdings_05-07-2018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A%20-%20Research\Eurobonds%20universe\Eurobond%20Models\Eurobond%20universe%20V8.1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15 HP"/>
      <sheetName val="2015 HY"/>
      <sheetName val="2019 HP"/>
      <sheetName val="Target Price"/>
      <sheetName val="Reference Portfolio"/>
      <sheetName val="Reference Portfolio (2)"/>
      <sheetName val="Universe Portfolio"/>
      <sheetName val="Country"/>
      <sheetName val="Strategic Portfolio"/>
      <sheetName val="Strategic Portfolio (2)"/>
      <sheetName val="Planned TP"/>
      <sheetName val="Tactical Tilts"/>
      <sheetName val="Asset Recon"/>
      <sheetName val="Current Portfolio"/>
      <sheetName val="Execution"/>
      <sheetName val="Tactical Tilts ()"/>
      <sheetName val="Country indices"/>
      <sheetName val="Allo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Sheet"/>
      <sheetName val="Placements (Assets)"/>
      <sheetName val="Investments (Liabs)"/>
      <sheetName val="Daily Income Tracker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Sheet"/>
      <sheetName val="Placements (Assets)"/>
      <sheetName val="Investments (Liabs)"/>
      <sheetName val="Daily Income Tracker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F Summary "/>
      <sheetName val="Summary - Liabilities"/>
      <sheetName val="Daily cash Balance"/>
      <sheetName val="Daily Income Tracker"/>
      <sheetName val="INCOME"/>
      <sheetName val="Bonds"/>
      <sheetName val="VALUATION WIP"/>
      <sheetName val="MTM"/>
      <sheetName val="Tbills"/>
      <sheetName val="TBILLS WIP"/>
      <sheetName val="CP Asset"/>
      <sheetName val="Eurobond"/>
      <sheetName val="Tbills - (NGN-USD Conv)"/>
      <sheetName val="Fixed Deposit"/>
      <sheetName val="Team A (₦) "/>
      <sheetName val="Team B (₦)"/>
      <sheetName val="Legacy (₦)"/>
      <sheetName val="Aspire(N)"/>
      <sheetName val="Team A ($)"/>
      <sheetName val="Naira Summary - Liabilities"/>
      <sheetName val="Team B ($)"/>
      <sheetName val="Legacy ($)"/>
      <sheetName val="Dollar Summary - Liabilities"/>
      <sheetName val="CPs Asset"/>
      <sheetName val="Dollar Summary"/>
      <sheetName val="Naira Summary - Assets"/>
      <sheetName val="Equities"/>
      <sheetName val="NEF assets"/>
      <sheetName val="Sheet1"/>
      <sheetName val="NAIRA"/>
      <sheetName val="DOL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ed YTD Income-Dollar"/>
      <sheetName val="Summary Sheet Revised"/>
      <sheetName val="Summary Sheet"/>
      <sheetName val="Placement (Bonds)"/>
      <sheetName val="Placements (Assets)"/>
      <sheetName val="Investments (Liabs)"/>
      <sheetName val="Tracker"/>
      <sheetName val="Liability Tracker"/>
      <sheetName val="Placement(Asset) Maturity Track"/>
      <sheetName val="Bond Sale Tracker"/>
      <sheetName val="Daily Income Tracker"/>
      <sheetName val="FX Dollar"/>
      <sheetName val="Call Interest"/>
      <sheetName val="DSEC Income Tracker"/>
      <sheetName val="Coupon Tracker"/>
      <sheetName val="Sheet1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C"/>
      <sheetName val="SUMMARY"/>
      <sheetName val="Daily cash Balance"/>
      <sheetName val="CASH MANAGEMENT "/>
      <sheetName val="INCOME"/>
      <sheetName val="ALLOCATION"/>
      <sheetName val="VALUATION "/>
      <sheetName val="MTM"/>
      <sheetName val="Scenario 1"/>
      <sheetName val="Scenario 2"/>
      <sheetName val="Scenario Summary"/>
      <sheetName val="MTM Trade Signal Short"/>
      <sheetName val="MTM Trade Signal Long"/>
      <sheetName val="TRADE SIGNAL"/>
      <sheetName val="EQUITY ASSET VALUATION SANKORE"/>
      <sheetName val="REAL ESTATE FUND VALUATION "/>
      <sheetName val="AGRIC FUND ASSET VALUATION"/>
      <sheetName val="Trade Tracker Input"/>
      <sheetName val="TRADE TRACKER OUTPUT"/>
      <sheetName val="Sale Mandate 20-06-2019"/>
      <sheetName val="Income Calculation"/>
      <sheetName val="COUPON TRACKER"/>
      <sheetName val="AUTOPAY SCHEDULE"/>
      <sheetName val="CP Cover Tracker"/>
      <sheetName val="AR "/>
      <sheetName val="Team A"/>
      <sheetName val="Team B"/>
      <sheetName val="Team C"/>
      <sheetName val="WEALTH.NG"/>
      <sheetName val="Aspire New"/>
      <sheetName val="WEALTH EQUITIES LIABILITIES"/>
      <sheetName val="WEALTH.NG EQUITIES LIABILITIES"/>
      <sheetName val="AGRIC FUND WEALTH LIABILITIES"/>
      <sheetName val="Aspire(N) old"/>
      <sheetName val="AGRIC WEALTH.NG"/>
      <sheetName val="Accum Income"/>
      <sheetName val="WEALTH.NG EQUITIES LIABILIT (2)"/>
      <sheetName val="Sheet1"/>
      <sheetName val="Liabilities Tracker NGN"/>
      <sheetName val="Liabilities Tracker $"/>
      <sheetName val="Re-Format GIF Tracker"/>
      <sheetName val="AUM Difference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ed YTD Income-Naira"/>
      <sheetName val="Summary Sheet"/>
      <sheetName val="Summary Sheet Revised"/>
      <sheetName val="Income Breakdown"/>
      <sheetName val="Placements (Assets)"/>
      <sheetName val="TBills"/>
      <sheetName val="Placement (Bonds)"/>
      <sheetName val="Investments (Liabs)"/>
      <sheetName val="Tracker"/>
      <sheetName val="Tbills tracker-Trading"/>
      <sheetName val="Liability Tracker"/>
      <sheetName val="Bond Sale Tracker-Trading"/>
      <sheetName val="Tbills tracker"/>
      <sheetName val="FX TBill Tracker"/>
      <sheetName val="Placement(Asset) Maturity Track"/>
      <sheetName val="Bond Sale Tracker"/>
      <sheetName val="Daily Income Tracker"/>
      <sheetName val="Call Interest Tracker"/>
      <sheetName val="DSEC Income Tracker"/>
      <sheetName val="ShareholderCrBal "/>
      <sheetName val="RESORT"/>
      <sheetName val="ASO"/>
      <sheetName val="Aso Balance"/>
      <sheetName val="TBills-Comercio"/>
      <sheetName val="Coupon Tracker"/>
      <sheetName val="TILT VALUATION"/>
      <sheetName val="Sheet6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 P."/>
      <sheetName val="2015 HP"/>
      <sheetName val="Crypto"/>
      <sheetName val="2015 HY"/>
      <sheetName val="2019 HP"/>
      <sheetName val="Target Price"/>
      <sheetName val="Reference Portfolio (2)"/>
      <sheetName val="Universe"/>
      <sheetName val="Country"/>
      <sheetName val="Strategic P."/>
      <sheetName val="Strategic Portfolio (2)"/>
      <sheetName val="Planned TP"/>
      <sheetName val="Tactical Tilts"/>
      <sheetName val="Asset Recon"/>
      <sheetName val="Actual P."/>
      <sheetName val="Execution"/>
      <sheetName val="Tactical Tilts ()"/>
      <sheetName val="Ctry. Indices"/>
      <sheetName val="Risk"/>
      <sheetName val="Allo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ref="B4:E7" displayName="Table_1" name="Table_1" id="1">
  <tableColumns count="4">
    <tableColumn name="Trader" id="1"/>
    <tableColumn name="Buy" id="2"/>
    <tableColumn name="Sell" id="3"/>
    <tableColumn name="Total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B11:D23" displayName="Table_2" name="Table_2" id="2">
  <tableColumns count="3">
    <tableColumn name="Month" id="1"/>
    <tableColumn name="Per month" id="2"/>
    <tableColumn name="YTD" id="3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B27:D47" displayName="Table_3" name="Table_3" id="3">
  <tableColumns count="3">
    <tableColumn name="Counterparty" id="1"/>
    <tableColumn name="No of trades YTD" id="2"/>
    <tableColumn name="Average GAP" id="3"/>
  </tableColumns>
  <tableStyleInfo name="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57"/>
    <col customWidth="1" min="3" max="4" width="10.29"/>
    <col customWidth="1" min="5" max="5" width="9.14"/>
    <col customWidth="1" min="6" max="6" width="12.29"/>
    <col customWidth="1" min="7" max="7" width="11.57"/>
    <col customWidth="1" min="8" max="9" width="9.14"/>
    <col customWidth="1" min="10" max="11" width="11.29"/>
    <col customWidth="1" min="12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0" t="s">
        <v>1</v>
      </c>
      <c r="C4" s="11"/>
      <c r="D4" s="13"/>
      <c r="E4" s="1"/>
      <c r="F4" s="17" t="s">
        <v>2</v>
      </c>
      <c r="G4" s="18"/>
      <c r="H4" s="1"/>
      <c r="I4" s="17" t="s">
        <v>3</v>
      </c>
      <c r="J4" s="20"/>
      <c r="K4" s="18"/>
      <c r="L4" s="1"/>
      <c r="M4" s="17" t="s">
        <v>6</v>
      </c>
      <c r="N4" s="1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23" t="s">
        <v>7</v>
      </c>
      <c r="C5" s="23" t="s">
        <v>8</v>
      </c>
      <c r="D5" s="25" t="s">
        <v>9</v>
      </c>
      <c r="E5" s="1"/>
      <c r="F5" s="26"/>
      <c r="G5" s="28"/>
      <c r="H5" s="1"/>
      <c r="I5" s="26"/>
      <c r="J5" s="31"/>
      <c r="K5" s="28"/>
      <c r="L5" s="1"/>
      <c r="M5" s="26"/>
      <c r="N5" s="2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36">
        <v>43861.0</v>
      </c>
      <c r="C6" s="1"/>
      <c r="D6" s="1"/>
      <c r="E6" s="1"/>
      <c r="F6" s="39" t="s">
        <v>12</v>
      </c>
      <c r="G6" s="45" t="str">
        <f>AVERAGEIF('Eurobond Trade Tracker'!$F:$F,'Prev. Dashboard'!F6,'Eurobond Trade Tracker'!#REF!)</f>
        <v>#ERROR!</v>
      </c>
      <c r="H6" s="1"/>
      <c r="I6" s="47" t="s">
        <v>39</v>
      </c>
      <c r="J6" s="39" t="s">
        <v>12</v>
      </c>
      <c r="K6" s="45" t="str">
        <f>AVERAGEIFS('Eurobond Trade Tracker'!#REF!,'Eurobond Trade Tracker'!$E:$E,'Prev. Dashboard'!$I$6,'Eurobond Trade Tracker'!$F:$F,'Prev. Dashboard'!J6)</f>
        <v>#ERROR!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36">
        <f t="shared" ref="B7:B17" si="1">EOMONTH(B6,1)</f>
        <v>43890</v>
      </c>
      <c r="C7" s="1"/>
      <c r="D7" s="1"/>
      <c r="E7" s="1"/>
      <c r="F7" s="39" t="s">
        <v>14</v>
      </c>
      <c r="G7" s="45" t="str">
        <f>AVERAGEIF('Eurobond Trade Tracker'!$F:$F,'Prev. Dashboard'!F7,'Eurobond Trade Tracker'!#REF!)</f>
        <v>#ERROR!</v>
      </c>
      <c r="H7" s="1"/>
      <c r="I7" s="55"/>
      <c r="J7" s="39" t="s">
        <v>14</v>
      </c>
      <c r="K7" s="45" t="str">
        <f>AVERAGEIFS('Eurobond Trade Tracker'!#REF!,'Eurobond Trade Tracker'!$E:$E,'Prev. Dashboard'!$I$6,'Eurobond Trade Tracker'!$F:$F,'Prev. Dashboard'!J7)</f>
        <v>#ERROR!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36">
        <f t="shared" si="1"/>
        <v>43921</v>
      </c>
      <c r="C8" s="1"/>
      <c r="D8" s="1"/>
      <c r="E8" s="1"/>
      <c r="F8" s="1"/>
      <c r="G8" s="1"/>
      <c r="H8" s="1"/>
      <c r="I8" s="59"/>
      <c r="J8" s="61" t="s">
        <v>15</v>
      </c>
      <c r="K8" s="64" t="str">
        <f>AVERAGEIF('Eurobond Trade Tracker'!E:E,'Prev. Dashboard'!I6,'Eurobond Trade Tracker'!#REF!)</f>
        <v>#ERROR!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36">
        <f t="shared" si="1"/>
        <v>43951</v>
      </c>
      <c r="C9" s="1"/>
      <c r="D9" s="1"/>
      <c r="E9" s="1"/>
      <c r="F9" s="1"/>
      <c r="G9" s="1"/>
      <c r="H9" s="1"/>
      <c r="I9" s="65" t="s">
        <v>65</v>
      </c>
      <c r="J9" s="66" t="s">
        <v>12</v>
      </c>
      <c r="K9" s="45" t="str">
        <f>AVERAGEIFS('Eurobond Trade Tracker'!#REF!,'Eurobond Trade Tracker'!$E:$E,'Prev. Dashboard'!$I$9,'Eurobond Trade Tracker'!$F:$F,'Prev. Dashboard'!J9)</f>
        <v>#ERROR!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36">
        <f t="shared" si="1"/>
        <v>43982</v>
      </c>
      <c r="C10" s="1"/>
      <c r="D10" s="1"/>
      <c r="E10" s="1"/>
      <c r="F10" s="1"/>
      <c r="G10" s="1"/>
      <c r="H10" s="1"/>
      <c r="I10" s="55"/>
      <c r="J10" s="39" t="s">
        <v>14</v>
      </c>
      <c r="K10" s="45" t="str">
        <f>AVERAGEIFS('Eurobond Trade Tracker'!#REF!,'Eurobond Trade Tracker'!$E:$E,'Prev. Dashboard'!$I$9,'Eurobond Trade Tracker'!$F:$F,'Prev. Dashboard'!J10)</f>
        <v>#ERROR!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36">
        <f t="shared" si="1"/>
        <v>44012</v>
      </c>
      <c r="C11" s="1"/>
      <c r="D11" s="1"/>
      <c r="E11" s="1"/>
      <c r="F11" s="1"/>
      <c r="G11" s="1"/>
      <c r="H11" s="1"/>
      <c r="I11" s="59"/>
      <c r="J11" s="61" t="s">
        <v>15</v>
      </c>
      <c r="K11" s="64" t="str">
        <f>AVERAGEIF('Eurobond Trade Tracker'!E:E,'Prev. Dashboard'!I9,'Eurobond Trade Tracker'!#REF!)</f>
        <v>#ERROR!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36">
        <f t="shared" si="1"/>
        <v>44043</v>
      </c>
      <c r="C12" s="1"/>
      <c r="D12" s="1"/>
      <c r="E12" s="1"/>
      <c r="F12" s="1"/>
      <c r="G12" s="1"/>
      <c r="H12" s="1"/>
      <c r="I12" s="67" t="s">
        <v>84</v>
      </c>
      <c r="J12" s="13"/>
      <c r="K12" s="45" t="str">
        <f>AVERAGE('Eurobond Trade Tracker'!#REF!)</f>
        <v>#ERROR!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36">
        <f t="shared" si="1"/>
        <v>44074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36">
        <f t="shared" si="1"/>
        <v>44104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36">
        <f t="shared" si="1"/>
        <v>44135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36">
        <f t="shared" si="1"/>
        <v>44165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6">
        <f t="shared" si="1"/>
        <v>44196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4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70" t="s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 t="s">
        <v>102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 t="s">
        <v>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 t="s">
        <v>103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 t="s">
        <v>105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 t="s">
        <v>107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 t="s">
        <v>108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 t="s">
        <v>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 t="s">
        <v>111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 t="s">
        <v>113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 t="s">
        <v>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 t="s">
        <v>78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 t="s">
        <v>79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 t="s">
        <v>82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 t="s">
        <v>72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 t="s">
        <v>83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 t="s">
        <v>85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 t="s">
        <v>86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 t="s">
        <v>88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 t="s">
        <v>89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 t="s">
        <v>90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 t="s">
        <v>44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 t="s">
        <v>91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 t="s">
        <v>92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 t="s">
        <v>93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 t="s">
        <v>95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 t="s">
        <v>96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 t="s">
        <v>115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 t="s">
        <v>104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 t="s">
        <v>118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 t="s">
        <v>119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 t="s">
        <v>120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 t="s">
        <v>57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 t="s">
        <v>123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 t="s">
        <v>124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 t="s">
        <v>126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 t="s">
        <v>129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 t="s">
        <v>130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 t="s">
        <v>132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 t="s">
        <v>134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7">
    <mergeCell ref="B4:D4"/>
    <mergeCell ref="F4:G5"/>
    <mergeCell ref="I4:K5"/>
    <mergeCell ref="M4:N5"/>
    <mergeCell ref="I6:I8"/>
    <mergeCell ref="I9:I11"/>
    <mergeCell ref="I12:J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33.29"/>
    <col customWidth="1" min="3" max="3" width="20.0"/>
    <col customWidth="1" min="4" max="4" width="19.14"/>
    <col customWidth="1" min="5" max="5" width="17.71"/>
    <col customWidth="1" min="6" max="26" width="8.71"/>
  </cols>
  <sheetData>
    <row r="1" ht="14.25" customHeight="1"/>
    <row r="2" ht="14.25" customHeight="1"/>
    <row r="3" ht="14.25" customHeight="1">
      <c r="B3" s="30" t="s">
        <v>10</v>
      </c>
      <c r="C3" s="32"/>
      <c r="D3" s="32"/>
      <c r="E3" s="33"/>
    </row>
    <row r="4" ht="14.25" customHeight="1">
      <c r="B4" s="38" t="s">
        <v>11</v>
      </c>
      <c r="C4" s="38" t="s">
        <v>12</v>
      </c>
      <c r="D4" s="38" t="s">
        <v>14</v>
      </c>
      <c r="E4" s="38" t="s">
        <v>15</v>
      </c>
    </row>
    <row r="5" ht="14.25" customHeight="1">
      <c r="B5" s="44" t="s">
        <v>21</v>
      </c>
      <c r="C5" s="46"/>
      <c r="D5" s="46"/>
      <c r="E5" s="46"/>
    </row>
    <row r="6" ht="14.25" customHeight="1">
      <c r="B6" s="44" t="s">
        <v>41</v>
      </c>
      <c r="C6" s="46"/>
      <c r="D6" s="46"/>
      <c r="E6" s="46"/>
    </row>
    <row r="7" ht="14.25" customHeight="1">
      <c r="B7" s="44" t="s">
        <v>15</v>
      </c>
      <c r="C7" s="46"/>
      <c r="D7" s="46"/>
      <c r="E7" s="46"/>
    </row>
    <row r="8" ht="14.25" customHeight="1"/>
    <row r="9" ht="14.25" customHeight="1"/>
    <row r="10" ht="14.25" customHeight="1">
      <c r="B10" s="30" t="s">
        <v>52</v>
      </c>
      <c r="C10" s="32"/>
      <c r="D10" s="33"/>
    </row>
    <row r="11" ht="14.25" customHeight="1">
      <c r="B11" s="38" t="s">
        <v>7</v>
      </c>
      <c r="C11" s="38" t="s">
        <v>53</v>
      </c>
      <c r="D11" s="38" t="s">
        <v>9</v>
      </c>
    </row>
    <row r="12" ht="14.25" customHeight="1">
      <c r="B12" s="53">
        <v>44227.0</v>
      </c>
      <c r="C12" s="46"/>
      <c r="D12" s="46"/>
    </row>
    <row r="13" ht="14.25" customHeight="1">
      <c r="B13" s="53">
        <f t="shared" ref="B13:B23" si="1">EOMONTH(B12,1)</f>
        <v>44255</v>
      </c>
      <c r="C13" s="46"/>
      <c r="D13" s="46"/>
    </row>
    <row r="14" ht="14.25" customHeight="1">
      <c r="B14" s="53">
        <f t="shared" si="1"/>
        <v>44286</v>
      </c>
      <c r="C14" s="46"/>
      <c r="D14" s="46"/>
    </row>
    <row r="15" ht="14.25" customHeight="1">
      <c r="B15" s="53">
        <f t="shared" si="1"/>
        <v>44316</v>
      </c>
      <c r="C15" s="46"/>
      <c r="D15" s="46"/>
    </row>
    <row r="16" ht="14.25" customHeight="1">
      <c r="B16" s="53">
        <f t="shared" si="1"/>
        <v>44347</v>
      </c>
      <c r="C16" s="46"/>
      <c r="D16" s="46"/>
    </row>
    <row r="17" ht="14.25" customHeight="1">
      <c r="B17" s="53">
        <f t="shared" si="1"/>
        <v>44377</v>
      </c>
      <c r="C17" s="46"/>
      <c r="D17" s="46"/>
    </row>
    <row r="18" ht="14.25" customHeight="1">
      <c r="B18" s="53">
        <f t="shared" si="1"/>
        <v>44408</v>
      </c>
      <c r="C18" s="46"/>
      <c r="D18" s="46"/>
    </row>
    <row r="19" ht="14.25" customHeight="1">
      <c r="B19" s="53">
        <f t="shared" si="1"/>
        <v>44439</v>
      </c>
      <c r="C19" s="46"/>
      <c r="D19" s="46"/>
    </row>
    <row r="20" ht="14.25" customHeight="1">
      <c r="B20" s="53">
        <f t="shared" si="1"/>
        <v>44469</v>
      </c>
      <c r="C20" s="46"/>
      <c r="D20" s="46"/>
    </row>
    <row r="21" ht="14.25" customHeight="1">
      <c r="B21" s="53">
        <f t="shared" si="1"/>
        <v>44500</v>
      </c>
      <c r="C21" s="46"/>
      <c r="D21" s="46"/>
    </row>
    <row r="22" ht="14.25" customHeight="1">
      <c r="B22" s="53">
        <f t="shared" si="1"/>
        <v>44530</v>
      </c>
      <c r="C22" s="46"/>
      <c r="D22" s="46"/>
    </row>
    <row r="23" ht="14.25" customHeight="1">
      <c r="B23" s="53">
        <f t="shared" si="1"/>
        <v>44561</v>
      </c>
      <c r="C23" s="46"/>
      <c r="D23" s="46"/>
    </row>
    <row r="24" ht="14.25" customHeight="1"/>
    <row r="25" ht="14.25" customHeight="1"/>
    <row r="26" ht="14.25" customHeight="1">
      <c r="B26" s="30" t="s">
        <v>66</v>
      </c>
      <c r="C26" s="32"/>
      <c r="D26" s="33"/>
    </row>
    <row r="27" ht="14.25" customHeight="1">
      <c r="B27" s="38" t="s">
        <v>67</v>
      </c>
      <c r="C27" s="38" t="s">
        <v>68</v>
      </c>
      <c r="D27" s="38" t="s">
        <v>69</v>
      </c>
    </row>
    <row r="28" ht="14.25" customHeight="1">
      <c r="B28" s="46" t="s">
        <v>73</v>
      </c>
      <c r="C28" s="46"/>
      <c r="D28" s="46"/>
    </row>
    <row r="29" ht="14.25" customHeight="1">
      <c r="B29" s="46" t="s">
        <v>76</v>
      </c>
      <c r="C29" s="46"/>
      <c r="D29" s="46"/>
    </row>
    <row r="30" ht="14.25" customHeight="1">
      <c r="B30" s="46" t="s">
        <v>77</v>
      </c>
      <c r="C30" s="46"/>
      <c r="D30" s="46"/>
    </row>
    <row r="31" ht="14.25" customHeight="1">
      <c r="B31" s="46" t="s">
        <v>78</v>
      </c>
      <c r="C31" s="46"/>
      <c r="D31" s="46"/>
    </row>
    <row r="32" ht="14.25" customHeight="1">
      <c r="B32" s="46" t="s">
        <v>79</v>
      </c>
      <c r="C32" s="46"/>
      <c r="D32" s="46"/>
    </row>
    <row r="33" ht="14.25" customHeight="1">
      <c r="B33" s="46" t="s">
        <v>82</v>
      </c>
      <c r="C33" s="46"/>
      <c r="D33" s="46"/>
    </row>
    <row r="34" ht="14.25" customHeight="1">
      <c r="B34" s="46" t="s">
        <v>72</v>
      </c>
      <c r="C34" s="46"/>
      <c r="D34" s="46"/>
    </row>
    <row r="35" ht="14.25" customHeight="1">
      <c r="B35" s="46" t="s">
        <v>83</v>
      </c>
      <c r="C35" s="46"/>
      <c r="D35" s="46"/>
    </row>
    <row r="36" ht="14.25" customHeight="1">
      <c r="B36" s="46" t="s">
        <v>85</v>
      </c>
      <c r="C36" s="46"/>
      <c r="D36" s="46"/>
    </row>
    <row r="37" ht="14.25" customHeight="1">
      <c r="B37" s="46" t="s">
        <v>86</v>
      </c>
      <c r="C37" s="46"/>
      <c r="D37" s="46"/>
    </row>
    <row r="38" ht="14.25" customHeight="1">
      <c r="B38" s="46" t="s">
        <v>88</v>
      </c>
      <c r="C38" s="46"/>
      <c r="D38" s="46"/>
    </row>
    <row r="39" ht="14.25" customHeight="1">
      <c r="B39" s="46" t="s">
        <v>89</v>
      </c>
      <c r="C39" s="46"/>
      <c r="D39" s="46"/>
    </row>
    <row r="40" ht="14.25" customHeight="1">
      <c r="B40" s="46" t="s">
        <v>90</v>
      </c>
      <c r="C40" s="46"/>
      <c r="D40" s="46"/>
    </row>
    <row r="41" ht="14.25" customHeight="1">
      <c r="B41" s="46" t="s">
        <v>44</v>
      </c>
      <c r="C41" s="46"/>
      <c r="D41" s="46"/>
    </row>
    <row r="42" ht="14.25" customHeight="1">
      <c r="B42" s="46" t="s">
        <v>91</v>
      </c>
      <c r="C42" s="46"/>
      <c r="D42" s="46"/>
    </row>
    <row r="43" ht="14.25" customHeight="1">
      <c r="B43" s="46" t="s">
        <v>92</v>
      </c>
      <c r="C43" s="46"/>
      <c r="D43" s="46"/>
    </row>
    <row r="44" ht="14.25" customHeight="1">
      <c r="B44" s="46" t="s">
        <v>93</v>
      </c>
      <c r="C44" s="46"/>
      <c r="D44" s="46"/>
    </row>
    <row r="45" ht="14.25" customHeight="1">
      <c r="B45" s="46" t="s">
        <v>95</v>
      </c>
      <c r="C45" s="46"/>
      <c r="D45" s="46"/>
    </row>
    <row r="46" ht="14.25" customHeight="1">
      <c r="B46" s="46" t="s">
        <v>96</v>
      </c>
      <c r="C46" s="46"/>
      <c r="D46" s="46"/>
    </row>
    <row r="47" ht="14.25" customHeight="1">
      <c r="B47" s="46" t="s">
        <v>97</v>
      </c>
      <c r="C47" s="46"/>
      <c r="D47" s="46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3:E3"/>
    <mergeCell ref="B10:D10"/>
    <mergeCell ref="B26:D26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46.14"/>
    <col customWidth="1" min="2" max="2" width="18.71"/>
    <col customWidth="1" min="3" max="3" width="17.57"/>
    <col customWidth="1" min="4" max="4" width="13.71"/>
    <col customWidth="1" min="5" max="5" width="11.43"/>
    <col customWidth="1" min="6" max="6" width="13.57"/>
    <col customWidth="1" min="7" max="7" width="25.14"/>
    <col customWidth="1" min="8" max="8" width="16.29"/>
    <col customWidth="1" min="9" max="9" width="17.29"/>
    <col customWidth="1" min="10" max="10" width="15.0"/>
    <col customWidth="1" min="11" max="11" width="18.86"/>
    <col customWidth="1" min="12" max="12" width="14.29"/>
    <col customWidth="1" min="13" max="13" width="11.86"/>
    <col customWidth="1" min="14" max="14" width="18.43"/>
    <col customWidth="1" min="15" max="15" width="22.29"/>
    <col customWidth="1" min="16" max="17" width="19.29"/>
    <col customWidth="1" min="18" max="18" width="22.29"/>
    <col customWidth="1" min="19" max="19" width="17.14"/>
    <col customWidth="1" min="20" max="20" width="11.71"/>
    <col customWidth="1" min="21" max="21" width="15.86"/>
    <col customWidth="1" min="22" max="22" width="7.57"/>
    <col customWidth="1" min="23" max="24" width="9.14"/>
    <col customWidth="1" min="25" max="25" width="13.43"/>
    <col customWidth="1" min="26" max="26" width="9.14"/>
  </cols>
  <sheetData>
    <row r="1" ht="13.5" customHeight="1">
      <c r="A1" s="2" t="s">
        <v>0</v>
      </c>
      <c r="B1" s="4"/>
      <c r="C1" s="5"/>
      <c r="D1" s="6"/>
      <c r="E1" s="8">
        <v>0.07625</v>
      </c>
      <c r="F1" s="6">
        <v>828000.0</v>
      </c>
      <c r="G1" s="12" t="str">
        <f>#REF!*100/#REF!</f>
        <v>#REF!</v>
      </c>
      <c r="H1" s="1"/>
      <c r="I1" s="1"/>
      <c r="J1" s="15"/>
      <c r="K1" s="15"/>
      <c r="L1" s="4"/>
      <c r="M1" s="4" t="s">
        <v>4</v>
      </c>
      <c r="N1" s="19" t="s">
        <v>5</v>
      </c>
      <c r="O1" s="22">
        <f>TODAY()-40</f>
        <v>46227</v>
      </c>
      <c r="P1" s="22" t="str">
        <f>COUPNCD(O1,#REF!,2,0)</f>
        <v>#REF!</v>
      </c>
      <c r="Q1" s="15"/>
      <c r="R1" s="1"/>
      <c r="S1" s="27">
        <v>794774.0</v>
      </c>
      <c r="T1" s="3"/>
      <c r="U1" s="1"/>
      <c r="V1" s="1"/>
      <c r="W1" s="1"/>
      <c r="X1" s="1"/>
      <c r="Y1" s="1"/>
      <c r="Z1" s="1"/>
    </row>
    <row r="2" ht="13.5" customHeight="1">
      <c r="A2" s="1"/>
      <c r="B2" s="4"/>
      <c r="C2" s="5"/>
      <c r="D2" s="6"/>
      <c r="E2" s="6"/>
      <c r="F2" s="6"/>
      <c r="G2" s="34"/>
      <c r="H2" s="37" t="str">
        <f>COUPNCD(#REF!,#REF!,2,0)</f>
        <v>#REF!</v>
      </c>
      <c r="I2" s="40" t="str">
        <f>(#REF!*#REF!)/2</f>
        <v>#REF!</v>
      </c>
      <c r="J2" s="1"/>
      <c r="K2" s="42">
        <v>46532.0</v>
      </c>
      <c r="L2" s="4" t="s">
        <v>18</v>
      </c>
      <c r="M2" s="43">
        <v>47102.0</v>
      </c>
      <c r="N2" s="43">
        <v>46882.0</v>
      </c>
      <c r="O2" s="15"/>
      <c r="P2" s="22"/>
      <c r="Q2" s="15" t="str">
        <f>(#REF!*#REF!)/2</f>
        <v>#REF!</v>
      </c>
      <c r="R2" s="1"/>
      <c r="S2" s="3"/>
      <c r="T2" s="24"/>
      <c r="U2" s="1" t="s">
        <v>14</v>
      </c>
      <c r="V2" s="1" t="s">
        <v>38</v>
      </c>
      <c r="W2" s="1"/>
      <c r="X2" s="1"/>
      <c r="Y2" s="1"/>
      <c r="Z2" s="1"/>
    </row>
    <row r="3" ht="13.5" customHeight="1">
      <c r="A3" s="1"/>
      <c r="B3" s="4"/>
      <c r="C3" s="5"/>
      <c r="D3" s="6"/>
      <c r="E3" s="6"/>
      <c r="F3" s="6"/>
      <c r="G3" s="34"/>
      <c r="H3" s="1"/>
      <c r="I3" s="1"/>
      <c r="J3" s="1">
        <f>COUNTA(#REF!)</f>
        <v>1</v>
      </c>
      <c r="K3" s="1"/>
      <c r="L3" s="43" t="s">
        <v>46</v>
      </c>
      <c r="M3" s="43">
        <v>48330.0</v>
      </c>
      <c r="N3" s="43">
        <v>48299.0</v>
      </c>
      <c r="O3" s="15">
        <v>31567.5</v>
      </c>
      <c r="P3" s="22"/>
      <c r="Q3" s="15"/>
      <c r="R3" s="1"/>
      <c r="S3" s="3"/>
      <c r="T3" s="24"/>
      <c r="U3" s="1" t="s">
        <v>12</v>
      </c>
      <c r="V3" s="1" t="s">
        <v>49</v>
      </c>
      <c r="W3" s="1"/>
      <c r="X3" s="1"/>
      <c r="Y3" s="1"/>
      <c r="Z3" s="1"/>
    </row>
    <row r="4" ht="13.5" customHeight="1">
      <c r="A4" s="1"/>
      <c r="B4" s="4"/>
      <c r="C4" s="5"/>
      <c r="D4" s="6"/>
      <c r="E4" s="6"/>
      <c r="F4" s="6"/>
      <c r="G4" s="34"/>
      <c r="H4" s="1"/>
      <c r="I4" s="1"/>
      <c r="J4" s="1"/>
      <c r="K4" s="1"/>
      <c r="L4" s="43" t="s">
        <v>51</v>
      </c>
      <c r="M4" s="43">
        <v>46533.0</v>
      </c>
      <c r="N4" s="43">
        <v>46472.0</v>
      </c>
      <c r="O4" s="15"/>
      <c r="P4" s="15"/>
      <c r="Q4" s="15"/>
      <c r="R4" s="1"/>
      <c r="S4" s="3"/>
      <c r="T4" s="24"/>
      <c r="U4" s="1"/>
      <c r="V4" s="1"/>
      <c r="W4" s="1"/>
      <c r="X4" s="1"/>
      <c r="Y4" s="1"/>
      <c r="Z4" s="1"/>
    </row>
    <row r="5" ht="13.5" customHeight="1">
      <c r="A5" s="1"/>
      <c r="B5" s="50"/>
      <c r="C5" s="50"/>
      <c r="D5" s="50"/>
      <c r="E5" s="50"/>
      <c r="F5" s="51"/>
      <c r="G5" s="34"/>
      <c r="H5" s="1"/>
      <c r="I5" s="52"/>
      <c r="J5" s="1"/>
      <c r="K5" s="1"/>
      <c r="L5" s="52"/>
      <c r="M5" s="1"/>
      <c r="N5" s="15"/>
      <c r="O5" s="15"/>
      <c r="P5" s="15"/>
      <c r="Q5" s="15"/>
      <c r="R5" s="1"/>
      <c r="S5" s="3"/>
      <c r="T5" s="24"/>
      <c r="U5" s="1"/>
      <c r="V5" s="1"/>
      <c r="W5" s="1"/>
      <c r="X5" s="1"/>
      <c r="Y5" s="1"/>
      <c r="Z5" s="1"/>
    </row>
    <row r="6" ht="13.5" customHeight="1">
      <c r="A6" s="41" t="s">
        <v>13</v>
      </c>
      <c r="B6" s="41" t="s">
        <v>16</v>
      </c>
      <c r="C6" s="41" t="s">
        <v>17</v>
      </c>
      <c r="D6" s="41" t="s">
        <v>19</v>
      </c>
      <c r="E6" s="41" t="s">
        <v>11</v>
      </c>
      <c r="F6" s="41" t="s">
        <v>20</v>
      </c>
      <c r="G6" s="41" t="s">
        <v>22</v>
      </c>
      <c r="H6" s="41" t="s">
        <v>24</v>
      </c>
      <c r="I6" s="41" t="s">
        <v>28</v>
      </c>
      <c r="J6" s="41" t="s">
        <v>29</v>
      </c>
      <c r="K6" s="41" t="s">
        <v>30</v>
      </c>
      <c r="L6" s="41" t="s">
        <v>31</v>
      </c>
      <c r="M6" s="41" t="s">
        <v>32</v>
      </c>
      <c r="N6" s="41" t="s">
        <v>33</v>
      </c>
      <c r="O6" s="41" t="s">
        <v>54</v>
      </c>
      <c r="P6" s="41" t="s">
        <v>55</v>
      </c>
      <c r="Q6" s="41" t="s">
        <v>35</v>
      </c>
      <c r="R6" s="41" t="s">
        <v>54</v>
      </c>
      <c r="S6" s="41" t="s">
        <v>23</v>
      </c>
      <c r="T6" s="41" t="s">
        <v>43</v>
      </c>
      <c r="U6" s="1" t="s">
        <v>56</v>
      </c>
      <c r="V6" s="1"/>
      <c r="W6" s="1"/>
      <c r="X6" s="1"/>
      <c r="Y6" s="1"/>
      <c r="Z6" s="1"/>
    </row>
    <row r="7" ht="13.5" customHeight="1">
      <c r="A7" s="1"/>
      <c r="B7" s="1" t="s">
        <v>57</v>
      </c>
      <c r="C7" s="56" t="s">
        <v>58</v>
      </c>
      <c r="D7" s="56" t="s">
        <v>59</v>
      </c>
      <c r="E7" s="57" t="s">
        <v>60</v>
      </c>
      <c r="F7" s="1" t="s">
        <v>14</v>
      </c>
      <c r="G7" s="1" t="s">
        <v>61</v>
      </c>
      <c r="H7" s="58">
        <f>IFERROR(VLOOKUP($G7,'Bonds Universe'!$D:$H,2,FALSE), "")</f>
        <v>0.07696</v>
      </c>
      <c r="I7" s="60">
        <f>IFERROR(VLOOKUP($G7,'Bonds Universe'!$D:$H,3,FALSE), "")</f>
        <v>50459</v>
      </c>
      <c r="J7" s="42">
        <v>45554.0</v>
      </c>
      <c r="K7" s="42">
        <v>45555.0</v>
      </c>
      <c r="L7" s="62">
        <f t="shared" ref="L7:L272" si="1">IFERROR(YIELD(K7,I7,H7,M7,100,2,0),"")</f>
        <v>0.103033901</v>
      </c>
      <c r="M7" s="63">
        <v>81.25</v>
      </c>
      <c r="N7" s="63">
        <v>400000.0</v>
      </c>
      <c r="O7" s="15">
        <f t="shared" ref="O7:O21" si="2">IFERROR((N7*M7/100)+ACCRINT(COUPPCD(K7,I7,2,0),COUPNCD(K7,I7,2,0),K7,H7,N7,2,0),N7*M7/100)</f>
        <v>327308.8</v>
      </c>
      <c r="P7" s="15">
        <f t="shared" ref="P7:P21" si="3">N7*M7/100</f>
        <v>325000</v>
      </c>
      <c r="Q7" s="15">
        <f t="shared" ref="Q7:Q52" si="4">IFERROR(ACCRINT(COUPPCD(K7,I7,2,0),COUPNCD(K7,I7,2,0),K7,H7,N7,2,0),"")</f>
        <v>2308.8</v>
      </c>
      <c r="R7" s="15"/>
      <c r="S7" s="3"/>
      <c r="T7" s="3"/>
      <c r="U7" s="1"/>
      <c r="V7" s="1"/>
      <c r="W7" s="1"/>
      <c r="X7" s="1"/>
      <c r="Y7" s="1"/>
      <c r="Z7" s="1"/>
    </row>
    <row r="8" ht="13.5" customHeight="1">
      <c r="A8" s="1"/>
      <c r="B8" s="1" t="s">
        <v>72</v>
      </c>
      <c r="C8" s="1" t="s">
        <v>45</v>
      </c>
      <c r="D8" s="1" t="s">
        <v>74</v>
      </c>
      <c r="E8" s="57" t="s">
        <v>60</v>
      </c>
      <c r="F8" s="1" t="s">
        <v>12</v>
      </c>
      <c r="G8" s="1" t="s">
        <v>75</v>
      </c>
      <c r="H8" s="62">
        <v>0.10125</v>
      </c>
      <c r="I8" s="60">
        <v>47406.0</v>
      </c>
      <c r="J8" s="42">
        <v>45572.0</v>
      </c>
      <c r="K8" s="42">
        <v>45580.0</v>
      </c>
      <c r="L8" s="62">
        <f t="shared" si="1"/>
        <v>0.1037487163</v>
      </c>
      <c r="M8" s="63">
        <v>99.044</v>
      </c>
      <c r="N8" s="63">
        <v>4200000.0</v>
      </c>
      <c r="O8" s="15">
        <f t="shared" si="2"/>
        <v>4159848</v>
      </c>
      <c r="P8" s="15">
        <f t="shared" si="3"/>
        <v>4159848</v>
      </c>
      <c r="Q8" s="15">
        <f t="shared" si="4"/>
        <v>0</v>
      </c>
      <c r="R8" s="15"/>
      <c r="S8" s="3"/>
      <c r="T8" s="3"/>
      <c r="U8" s="1"/>
      <c r="V8" s="1"/>
      <c r="W8" s="1"/>
      <c r="X8" s="1"/>
      <c r="Y8" s="1"/>
      <c r="Z8" s="1"/>
    </row>
    <row r="9" ht="13.5" customHeight="1">
      <c r="A9" s="1"/>
      <c r="B9" s="1" t="s">
        <v>57</v>
      </c>
      <c r="C9" s="1" t="s">
        <v>45</v>
      </c>
      <c r="D9" s="1" t="s">
        <v>74</v>
      </c>
      <c r="E9" s="57" t="s">
        <v>80</v>
      </c>
      <c r="F9" s="1" t="s">
        <v>14</v>
      </c>
      <c r="G9" s="1" t="s">
        <v>81</v>
      </c>
      <c r="H9" s="58">
        <f>IFERROR(VLOOKUP($G9,'Bonds Universe'!$D:$H,2,FALSE), "")</f>
        <v>0.0775</v>
      </c>
      <c r="I9" s="60">
        <f>IFERROR(VLOOKUP($G9,'Bonds Universe'!$D:$H,3,FALSE), "")</f>
        <v>46113</v>
      </c>
      <c r="J9" s="42">
        <v>45573.0</v>
      </c>
      <c r="K9" s="42">
        <v>45575.0</v>
      </c>
      <c r="L9" s="62">
        <f t="shared" si="1"/>
        <v>0.08003652939</v>
      </c>
      <c r="M9" s="63">
        <v>99.65</v>
      </c>
      <c r="N9" s="63">
        <v>2000000.0</v>
      </c>
      <c r="O9" s="15">
        <f t="shared" si="2"/>
        <v>1996875</v>
      </c>
      <c r="P9" s="15">
        <f t="shared" si="3"/>
        <v>1993000</v>
      </c>
      <c r="Q9" s="15">
        <f t="shared" si="4"/>
        <v>3875</v>
      </c>
      <c r="R9" s="15"/>
      <c r="S9" s="3"/>
      <c r="T9" s="3"/>
      <c r="U9" s="1"/>
      <c r="V9" s="1"/>
      <c r="W9" s="1"/>
      <c r="X9" s="1"/>
      <c r="Y9" s="1"/>
      <c r="Z9" s="1"/>
    </row>
    <row r="10" ht="13.5" customHeight="1">
      <c r="A10" s="1"/>
      <c r="B10" s="1" t="s">
        <v>57</v>
      </c>
      <c r="C10" s="1" t="s">
        <v>45</v>
      </c>
      <c r="D10" s="1" t="s">
        <v>74</v>
      </c>
      <c r="E10" s="57" t="s">
        <v>80</v>
      </c>
      <c r="F10" s="1" t="s">
        <v>14</v>
      </c>
      <c r="G10" s="1" t="s">
        <v>81</v>
      </c>
      <c r="H10" s="58">
        <f>IFERROR(VLOOKUP($G10,'Bonds Universe'!$D:$H,2,FALSE), "")</f>
        <v>0.0775</v>
      </c>
      <c r="I10" s="60">
        <f>IFERROR(VLOOKUP($G10,'Bonds Universe'!$D:$H,3,FALSE), "")</f>
        <v>46113</v>
      </c>
      <c r="J10" s="42">
        <v>45574.0</v>
      </c>
      <c r="K10" s="42">
        <v>45576.0</v>
      </c>
      <c r="L10" s="62">
        <f t="shared" si="1"/>
        <v>0.08040592856</v>
      </c>
      <c r="M10" s="63">
        <v>99.6</v>
      </c>
      <c r="N10" s="63">
        <v>3000000.0</v>
      </c>
      <c r="O10" s="15">
        <f t="shared" si="2"/>
        <v>2994458.333</v>
      </c>
      <c r="P10" s="15">
        <f t="shared" si="3"/>
        <v>2988000</v>
      </c>
      <c r="Q10" s="15">
        <f t="shared" si="4"/>
        <v>6458.333333</v>
      </c>
      <c r="R10" s="15"/>
      <c r="S10" s="3"/>
      <c r="T10" s="3"/>
      <c r="U10" s="1"/>
      <c r="V10" s="1"/>
      <c r="W10" s="1"/>
      <c r="X10" s="1"/>
      <c r="Y10" s="1"/>
      <c r="Z10" s="1"/>
    </row>
    <row r="11" ht="13.5" customHeight="1">
      <c r="A11" s="1"/>
      <c r="B11" s="1" t="s">
        <v>57</v>
      </c>
      <c r="C11" s="1" t="s">
        <v>45</v>
      </c>
      <c r="D11" s="1" t="s">
        <v>74</v>
      </c>
      <c r="E11" s="57" t="s">
        <v>80</v>
      </c>
      <c r="F11" s="1" t="s">
        <v>14</v>
      </c>
      <c r="G11" s="1" t="s">
        <v>81</v>
      </c>
      <c r="H11" s="58">
        <f>IFERROR(VLOOKUP($G11,'Bonds Universe'!$D:$H,2,FALSE), "")</f>
        <v>0.0775</v>
      </c>
      <c r="I11" s="60">
        <f>IFERROR(VLOOKUP($G11,'Bonds Universe'!$D:$H,3,FALSE), "")</f>
        <v>46113</v>
      </c>
      <c r="J11" s="42">
        <v>45575.0</v>
      </c>
      <c r="K11" s="42">
        <v>45581.0</v>
      </c>
      <c r="L11" s="62">
        <f t="shared" si="1"/>
        <v>0.07967709163</v>
      </c>
      <c r="M11" s="63">
        <v>99.7</v>
      </c>
      <c r="N11" s="68">
        <v>1280000.0</v>
      </c>
      <c r="O11" s="69">
        <f t="shared" si="2"/>
        <v>1280293.333</v>
      </c>
      <c r="P11" s="15">
        <f t="shared" si="3"/>
        <v>1276160</v>
      </c>
      <c r="Q11" s="15">
        <f t="shared" si="4"/>
        <v>4133.333333</v>
      </c>
      <c r="R11" s="15"/>
      <c r="S11" s="3"/>
      <c r="T11" s="3"/>
      <c r="U11" s="1"/>
      <c r="V11" s="1"/>
      <c r="W11" s="1"/>
      <c r="X11" s="1"/>
      <c r="Y11" s="1"/>
      <c r="Z11" s="1"/>
    </row>
    <row r="12" ht="13.5" customHeight="1">
      <c r="A12" s="1"/>
      <c r="B12" s="1" t="s">
        <v>57</v>
      </c>
      <c r="C12" s="56" t="s">
        <v>58</v>
      </c>
      <c r="D12" s="56" t="s">
        <v>59</v>
      </c>
      <c r="E12" s="57" t="s">
        <v>80</v>
      </c>
      <c r="F12" s="1" t="s">
        <v>14</v>
      </c>
      <c r="G12" s="1" t="s">
        <v>81</v>
      </c>
      <c r="H12" s="58">
        <f>IFERROR(VLOOKUP($G12,'Bonds Universe'!$D:$H,2,FALSE), "")</f>
        <v>0.0775</v>
      </c>
      <c r="I12" s="60">
        <f>IFERROR(VLOOKUP($G12,'Bonds Universe'!$D:$H,3,FALSE), "")</f>
        <v>46113</v>
      </c>
      <c r="J12" s="42">
        <v>45575.0</v>
      </c>
      <c r="K12" s="42">
        <v>45581.0</v>
      </c>
      <c r="L12" s="62">
        <f t="shared" si="1"/>
        <v>0.07967709163</v>
      </c>
      <c r="M12" s="63">
        <v>99.7</v>
      </c>
      <c r="N12" s="68">
        <v>450000.0</v>
      </c>
      <c r="O12" s="69">
        <f t="shared" si="2"/>
        <v>450103.125</v>
      </c>
      <c r="P12" s="15">
        <f t="shared" si="3"/>
        <v>448650</v>
      </c>
      <c r="Q12" s="15">
        <f t="shared" si="4"/>
        <v>1453.125</v>
      </c>
      <c r="R12" s="15"/>
      <c r="S12" s="3"/>
      <c r="T12" s="3"/>
      <c r="U12" s="1"/>
      <c r="V12" s="1"/>
      <c r="W12" s="1"/>
      <c r="X12" s="1"/>
      <c r="Y12" s="1"/>
      <c r="Z12" s="1"/>
    </row>
    <row r="13" ht="13.5" customHeight="1">
      <c r="A13" s="71" t="s">
        <v>100</v>
      </c>
      <c r="B13" s="1" t="s">
        <v>57</v>
      </c>
      <c r="C13" s="56" t="s">
        <v>58</v>
      </c>
      <c r="D13" s="56" t="s">
        <v>59</v>
      </c>
      <c r="E13" s="57" t="s">
        <v>60</v>
      </c>
      <c r="F13" s="1" t="s">
        <v>12</v>
      </c>
      <c r="G13" s="1" t="s">
        <v>101</v>
      </c>
      <c r="H13" s="58">
        <f>IFERROR(VLOOKUP($G13,'Bonds Universe'!$D:$H,2,FALSE), "")</f>
        <v>0.0875</v>
      </c>
      <c r="I13" s="60">
        <f>IFERROR(VLOOKUP($G13,'Bonds Universe'!$D:$H,3,FALSE), "")</f>
        <v>48318</v>
      </c>
      <c r="J13" s="42">
        <v>45581.0</v>
      </c>
      <c r="K13" s="42">
        <v>45583.0</v>
      </c>
      <c r="L13" s="62">
        <f t="shared" si="1"/>
        <v>0.1062044153</v>
      </c>
      <c r="M13" s="63">
        <v>90.5</v>
      </c>
      <c r="N13" s="63">
        <v>200000.0</v>
      </c>
      <c r="O13" s="15">
        <f t="shared" si="2"/>
        <v>181194.4444</v>
      </c>
      <c r="P13" s="15">
        <f t="shared" si="3"/>
        <v>181000</v>
      </c>
      <c r="Q13" s="15">
        <f t="shared" si="4"/>
        <v>194.4444444</v>
      </c>
      <c r="R13" s="15"/>
      <c r="S13" s="3"/>
      <c r="T13" s="3"/>
      <c r="U13" s="1"/>
      <c r="V13" s="1"/>
      <c r="W13" s="1"/>
      <c r="X13" s="1"/>
      <c r="Y13" s="1"/>
      <c r="Z13" s="1"/>
    </row>
    <row r="14" ht="13.5" customHeight="1">
      <c r="A14" s="1"/>
      <c r="B14" s="56" t="s">
        <v>104</v>
      </c>
      <c r="C14" s="1" t="s">
        <v>45</v>
      </c>
      <c r="D14" s="1" t="s">
        <v>74</v>
      </c>
      <c r="E14" s="57" t="s">
        <v>80</v>
      </c>
      <c r="F14" s="1" t="s">
        <v>12</v>
      </c>
      <c r="G14" s="1" t="s">
        <v>106</v>
      </c>
      <c r="H14" s="58">
        <f>IFERROR(VLOOKUP($G14,'Bonds Universe'!$D:$H,2,FALSE), "")</f>
        <v>0.08875</v>
      </c>
      <c r="I14" s="60">
        <f>IFERROR(VLOOKUP($G14,'Bonds Universe'!$D:$H,3,FALSE), "")</f>
        <v>54937</v>
      </c>
      <c r="J14" s="42">
        <v>45586.0</v>
      </c>
      <c r="K14" s="42">
        <v>45588.0</v>
      </c>
      <c r="L14" s="62">
        <f t="shared" si="1"/>
        <v>0.1089183551</v>
      </c>
      <c r="M14" s="63">
        <v>82.69</v>
      </c>
      <c r="N14" s="63">
        <v>1000000.0</v>
      </c>
      <c r="O14" s="15">
        <f t="shared" si="2"/>
        <v>862400</v>
      </c>
      <c r="P14" s="15">
        <f t="shared" si="3"/>
        <v>826900</v>
      </c>
      <c r="Q14" s="15">
        <f t="shared" si="4"/>
        <v>35500</v>
      </c>
      <c r="R14" s="15"/>
      <c r="S14" s="3"/>
      <c r="T14" s="3"/>
      <c r="U14" s="1"/>
      <c r="V14" s="1"/>
      <c r="W14" s="1"/>
      <c r="X14" s="1"/>
      <c r="Y14" s="1"/>
      <c r="Z14" s="1"/>
    </row>
    <row r="15" ht="13.5" customHeight="1">
      <c r="A15" s="1"/>
      <c r="B15" s="1" t="s">
        <v>57</v>
      </c>
      <c r="C15" s="56" t="s">
        <v>58</v>
      </c>
      <c r="D15" s="56" t="s">
        <v>59</v>
      </c>
      <c r="E15" s="57" t="s">
        <v>80</v>
      </c>
      <c r="F15" s="1" t="s">
        <v>12</v>
      </c>
      <c r="G15" s="1" t="s">
        <v>109</v>
      </c>
      <c r="H15" s="58">
        <f>IFERROR(VLOOKUP($G15,'Bonds Universe'!$D:$H,2,FALSE), "")</f>
        <v>0.09375</v>
      </c>
      <c r="I15" s="60">
        <f>IFERROR(VLOOKUP($G15,'Bonds Universe'!$D:$H,3,FALSE), "")</f>
        <v>54186</v>
      </c>
      <c r="J15" s="42">
        <v>45583.0</v>
      </c>
      <c r="K15" s="42">
        <v>45587.0</v>
      </c>
      <c r="L15" s="62">
        <f t="shared" si="1"/>
        <v>0.1110006744</v>
      </c>
      <c r="M15" s="63">
        <v>85.67</v>
      </c>
      <c r="N15" s="63">
        <v>600000.0</v>
      </c>
      <c r="O15" s="15">
        <f t="shared" si="2"/>
        <v>539645</v>
      </c>
      <c r="P15" s="15">
        <f t="shared" si="3"/>
        <v>514020</v>
      </c>
      <c r="Q15" s="15">
        <f t="shared" si="4"/>
        <v>25625</v>
      </c>
      <c r="R15" s="15"/>
      <c r="S15" s="3"/>
      <c r="T15" s="3"/>
      <c r="U15" s="1"/>
      <c r="V15" s="1"/>
      <c r="W15" s="1"/>
      <c r="X15" s="1"/>
      <c r="Y15" s="1"/>
      <c r="Z15" s="1"/>
    </row>
    <row r="16" ht="13.5" customHeight="1">
      <c r="A16" s="1"/>
      <c r="B16" s="1" t="s">
        <v>57</v>
      </c>
      <c r="C16" s="1" t="s">
        <v>45</v>
      </c>
      <c r="D16" s="1" t="s">
        <v>74</v>
      </c>
      <c r="E16" s="57" t="s">
        <v>80</v>
      </c>
      <c r="F16" s="1" t="s">
        <v>12</v>
      </c>
      <c r="G16" s="1" t="s">
        <v>109</v>
      </c>
      <c r="H16" s="58">
        <f>IFERROR(VLOOKUP($G16,'Bonds Universe'!$D:$H,2,FALSE), "")</f>
        <v>0.09375</v>
      </c>
      <c r="I16" s="60">
        <f>IFERROR(VLOOKUP($G16,'Bonds Universe'!$D:$H,3,FALSE), "")</f>
        <v>54186</v>
      </c>
      <c r="J16" s="42">
        <v>45586.0</v>
      </c>
      <c r="K16" s="42">
        <v>45588.0</v>
      </c>
      <c r="L16" s="62">
        <f t="shared" si="1"/>
        <v>0.1110981507</v>
      </c>
      <c r="M16" s="63">
        <v>85.6</v>
      </c>
      <c r="N16" s="63">
        <v>1700000.0</v>
      </c>
      <c r="O16" s="15">
        <f t="shared" si="2"/>
        <v>1528246.875</v>
      </c>
      <c r="P16" s="15">
        <f t="shared" si="3"/>
        <v>1455200</v>
      </c>
      <c r="Q16" s="15">
        <f t="shared" si="4"/>
        <v>73046.875</v>
      </c>
      <c r="R16" s="15"/>
      <c r="S16" s="3"/>
      <c r="T16" s="3"/>
      <c r="U16" s="1"/>
      <c r="V16" s="1"/>
      <c r="W16" s="1"/>
      <c r="X16" s="1"/>
      <c r="Y16" s="1"/>
      <c r="Z16" s="1"/>
    </row>
    <row r="17" ht="13.5" customHeight="1">
      <c r="A17" s="51"/>
      <c r="B17" s="51" t="s">
        <v>113</v>
      </c>
      <c r="C17" s="51" t="s">
        <v>45</v>
      </c>
      <c r="D17" s="51" t="s">
        <v>74</v>
      </c>
      <c r="E17" s="72" t="s">
        <v>80</v>
      </c>
      <c r="F17" s="51" t="s">
        <v>12</v>
      </c>
      <c r="G17" s="51" t="s">
        <v>114</v>
      </c>
      <c r="H17" s="73">
        <f>IFERROR(VLOOKUP($G17,'Bonds Universe'!$D:$H,2,FALSE), "")</f>
        <v>0.09125</v>
      </c>
      <c r="I17" s="74">
        <f>IFERROR(VLOOKUP($G17,'Bonds Universe'!$D:$H,3,FALSE), "")</f>
        <v>54753</v>
      </c>
      <c r="J17" s="75">
        <v>45593.0</v>
      </c>
      <c r="K17" s="75">
        <v>45595.0</v>
      </c>
      <c r="L17" s="76">
        <f t="shared" si="1"/>
        <v>0.1104843161</v>
      </c>
      <c r="M17" s="77">
        <v>83.75</v>
      </c>
      <c r="N17" s="77">
        <v>450000.0</v>
      </c>
      <c r="O17" s="34">
        <f t="shared" si="2"/>
        <v>394440.625</v>
      </c>
      <c r="P17" s="34">
        <f t="shared" si="3"/>
        <v>376875</v>
      </c>
      <c r="Q17" s="34">
        <f t="shared" si="4"/>
        <v>17565.625</v>
      </c>
      <c r="R17" s="34"/>
      <c r="S17" s="7"/>
      <c r="T17" s="7"/>
      <c r="U17" s="51"/>
      <c r="V17" s="51"/>
      <c r="W17" s="51"/>
      <c r="X17" s="51"/>
      <c r="Y17" s="51"/>
      <c r="Z17" s="51"/>
    </row>
    <row r="18" ht="13.5" customHeight="1">
      <c r="A18" s="1"/>
      <c r="B18" s="1" t="s">
        <v>57</v>
      </c>
      <c r="C18" s="56" t="s">
        <v>58</v>
      </c>
      <c r="D18" s="56" t="s">
        <v>59</v>
      </c>
      <c r="E18" s="57" t="s">
        <v>80</v>
      </c>
      <c r="F18" s="1" t="s">
        <v>12</v>
      </c>
      <c r="G18" s="1" t="s">
        <v>114</v>
      </c>
      <c r="H18" s="58">
        <f>IFERROR(VLOOKUP($G18,'Bonds Universe'!$D:$H,2,FALSE), "")</f>
        <v>0.09125</v>
      </c>
      <c r="I18" s="60">
        <f>IFERROR(VLOOKUP($G18,'Bonds Universe'!$D:$H,3,FALSE), "")</f>
        <v>54753</v>
      </c>
      <c r="J18" s="42">
        <v>45593.0</v>
      </c>
      <c r="K18" s="42">
        <v>45595.0</v>
      </c>
      <c r="L18" s="62">
        <f t="shared" si="1"/>
        <v>0.1105533034</v>
      </c>
      <c r="M18" s="63">
        <v>83.7</v>
      </c>
      <c r="N18" s="63">
        <v>600000.0</v>
      </c>
      <c r="O18" s="15">
        <f t="shared" si="2"/>
        <v>525620.8333</v>
      </c>
      <c r="P18" s="15">
        <f t="shared" si="3"/>
        <v>502200</v>
      </c>
      <c r="Q18" s="15">
        <f t="shared" si="4"/>
        <v>23420.83333</v>
      </c>
      <c r="R18" s="15"/>
      <c r="S18" s="3"/>
      <c r="T18" s="3"/>
      <c r="U18" s="1"/>
      <c r="V18" s="1"/>
      <c r="W18" s="1"/>
      <c r="X18" s="1"/>
      <c r="Y18" s="1"/>
      <c r="Z18" s="1"/>
    </row>
    <row r="19" ht="13.5" customHeight="1">
      <c r="A19" s="1"/>
      <c r="B19" s="1" t="s">
        <v>57</v>
      </c>
      <c r="C19" s="56" t="s">
        <v>58</v>
      </c>
      <c r="D19" s="56" t="s">
        <v>59</v>
      </c>
      <c r="E19" s="57" t="s">
        <v>80</v>
      </c>
      <c r="F19" s="1" t="s">
        <v>12</v>
      </c>
      <c r="G19" s="1" t="s">
        <v>114</v>
      </c>
      <c r="H19" s="58">
        <f>IFERROR(VLOOKUP($G19,'Bonds Universe'!$D:$H,2,FALSE), "")</f>
        <v>0.09125</v>
      </c>
      <c r="I19" s="60">
        <f>IFERROR(VLOOKUP($G19,'Bonds Universe'!$D:$H,3,FALSE), "")</f>
        <v>54753</v>
      </c>
      <c r="J19" s="42">
        <v>45593.0</v>
      </c>
      <c r="K19" s="42">
        <v>45595.0</v>
      </c>
      <c r="L19" s="62">
        <f t="shared" si="1"/>
        <v>0.1102090802</v>
      </c>
      <c r="M19" s="63">
        <v>83.95</v>
      </c>
      <c r="N19" s="63">
        <v>400000.0</v>
      </c>
      <c r="O19" s="15">
        <f t="shared" si="2"/>
        <v>351413.8889</v>
      </c>
      <c r="P19" s="15">
        <f t="shared" si="3"/>
        <v>335800</v>
      </c>
      <c r="Q19" s="15">
        <f t="shared" si="4"/>
        <v>15613.88889</v>
      </c>
      <c r="R19" s="15"/>
      <c r="S19" s="3"/>
      <c r="T19" s="3"/>
      <c r="U19" s="1"/>
      <c r="V19" s="1"/>
      <c r="W19" s="1"/>
      <c r="X19" s="1"/>
      <c r="Y19" s="1"/>
      <c r="Z19" s="1"/>
    </row>
    <row r="20" ht="13.5" customHeight="1">
      <c r="A20" s="71" t="s">
        <v>116</v>
      </c>
      <c r="B20" s="1" t="s">
        <v>57</v>
      </c>
      <c r="C20" s="56" t="s">
        <v>58</v>
      </c>
      <c r="D20" s="56" t="s">
        <v>59</v>
      </c>
      <c r="E20" s="57" t="s">
        <v>80</v>
      </c>
      <c r="F20" s="1" t="s">
        <v>14</v>
      </c>
      <c r="G20" s="1" t="s">
        <v>117</v>
      </c>
      <c r="H20" s="78">
        <v>0.05</v>
      </c>
      <c r="I20" s="42">
        <v>47302.0</v>
      </c>
      <c r="J20" s="42">
        <v>45601.0</v>
      </c>
      <c r="K20" s="42">
        <v>45603.0</v>
      </c>
      <c r="L20" s="62">
        <f t="shared" si="1"/>
        <v>0.08976079819</v>
      </c>
      <c r="M20" s="63">
        <v>85.125</v>
      </c>
      <c r="N20" s="63">
        <v>411158.0</v>
      </c>
      <c r="O20" s="15">
        <f t="shared" si="2"/>
        <v>357079.3019</v>
      </c>
      <c r="P20" s="15">
        <f t="shared" si="3"/>
        <v>349998.2475</v>
      </c>
      <c r="Q20" s="15">
        <f t="shared" si="4"/>
        <v>7081.054444</v>
      </c>
      <c r="R20" s="15"/>
      <c r="S20" s="3"/>
      <c r="T20" s="3"/>
      <c r="U20" s="1"/>
      <c r="V20" s="1"/>
      <c r="W20" s="1"/>
      <c r="X20" s="1"/>
      <c r="Y20" s="1"/>
      <c r="Z20" s="1"/>
    </row>
    <row r="21" ht="13.5" customHeight="1">
      <c r="A21" s="71" t="s">
        <v>116</v>
      </c>
      <c r="B21" s="1" t="s">
        <v>57</v>
      </c>
      <c r="C21" s="56" t="s">
        <v>58</v>
      </c>
      <c r="D21" s="56" t="s">
        <v>59</v>
      </c>
      <c r="E21" s="57" t="s">
        <v>80</v>
      </c>
      <c r="F21" s="1" t="s">
        <v>14</v>
      </c>
      <c r="G21" s="1" t="s">
        <v>121</v>
      </c>
      <c r="H21" s="78">
        <v>0.05</v>
      </c>
      <c r="I21" s="42">
        <v>49493.0</v>
      </c>
      <c r="J21" s="42">
        <v>45601.0</v>
      </c>
      <c r="K21" s="42">
        <v>45603.0</v>
      </c>
      <c r="L21" s="62">
        <f t="shared" si="1"/>
        <v>0.09786108331</v>
      </c>
      <c r="M21" s="63">
        <v>68.75</v>
      </c>
      <c r="N21" s="63">
        <v>591252.0</v>
      </c>
      <c r="O21" s="15">
        <f t="shared" si="2"/>
        <v>416668.4233</v>
      </c>
      <c r="P21" s="15">
        <f t="shared" si="3"/>
        <v>406485.75</v>
      </c>
      <c r="Q21" s="15">
        <f t="shared" si="4"/>
        <v>10182.67333</v>
      </c>
      <c r="R21" s="15"/>
      <c r="S21" s="3"/>
      <c r="T21" s="3"/>
      <c r="U21" s="1"/>
      <c r="V21" s="1"/>
      <c r="W21" s="1"/>
      <c r="X21" s="1"/>
      <c r="Y21" s="1"/>
      <c r="Z21" s="1"/>
    </row>
    <row r="22" ht="13.5" customHeight="1">
      <c r="A22" s="71" t="s">
        <v>116</v>
      </c>
      <c r="B22" s="1" t="s">
        <v>57</v>
      </c>
      <c r="C22" s="56" t="s">
        <v>58</v>
      </c>
      <c r="D22" s="56" t="s">
        <v>59</v>
      </c>
      <c r="E22" s="57" t="s">
        <v>80</v>
      </c>
      <c r="F22" s="1" t="s">
        <v>14</v>
      </c>
      <c r="G22" s="1" t="s">
        <v>125</v>
      </c>
      <c r="H22" s="78">
        <v>0.0</v>
      </c>
      <c r="I22" s="42">
        <v>47486.0</v>
      </c>
      <c r="J22" s="42">
        <v>45601.0</v>
      </c>
      <c r="K22" s="42">
        <v>45603.0</v>
      </c>
      <c r="L22" s="62">
        <f t="shared" si="1"/>
        <v>0.05792068739</v>
      </c>
      <c r="M22" s="63">
        <v>74.5</v>
      </c>
      <c r="N22" s="63">
        <v>96188.35</v>
      </c>
      <c r="O22" s="15">
        <v>65690.78</v>
      </c>
      <c r="P22" s="15">
        <v>65690.78</v>
      </c>
      <c r="Q22" s="15" t="str">
        <f t="shared" si="4"/>
        <v/>
      </c>
      <c r="R22" s="15"/>
      <c r="S22" s="3"/>
      <c r="T22" s="3"/>
      <c r="U22" s="1"/>
      <c r="V22" s="1"/>
      <c r="W22" s="1"/>
      <c r="X22" s="1"/>
      <c r="Y22" s="1"/>
      <c r="Z22" s="1"/>
    </row>
    <row r="23" ht="13.5" customHeight="1">
      <c r="A23" s="1" t="s">
        <v>127</v>
      </c>
      <c r="B23" s="1" t="s">
        <v>57</v>
      </c>
      <c r="C23" s="56" t="s">
        <v>58</v>
      </c>
      <c r="D23" s="56" t="s">
        <v>59</v>
      </c>
      <c r="E23" s="57" t="s">
        <v>80</v>
      </c>
      <c r="F23" s="1" t="s">
        <v>14</v>
      </c>
      <c r="G23" s="1" t="s">
        <v>128</v>
      </c>
      <c r="H23" s="78">
        <v>0.0</v>
      </c>
      <c r="I23" s="42">
        <v>46206.0</v>
      </c>
      <c r="J23" s="42">
        <v>45602.0</v>
      </c>
      <c r="K23" s="42">
        <v>45604.0</v>
      </c>
      <c r="L23" s="62">
        <f t="shared" si="1"/>
        <v>0.05447530417</v>
      </c>
      <c r="M23" s="63">
        <v>91.5</v>
      </c>
      <c r="N23" s="63">
        <v>75720.0</v>
      </c>
      <c r="O23" s="15">
        <v>55427.04</v>
      </c>
      <c r="P23" s="15">
        <v>55427.04</v>
      </c>
      <c r="Q23" s="15" t="str">
        <f t="shared" si="4"/>
        <v/>
      </c>
      <c r="R23" s="15"/>
      <c r="S23" s="3"/>
      <c r="T23" s="3"/>
      <c r="U23" s="1"/>
      <c r="V23" s="1"/>
      <c r="W23" s="1"/>
      <c r="X23" s="1"/>
      <c r="Y23" s="1"/>
      <c r="Z23" s="1"/>
    </row>
    <row r="24" ht="13.5" customHeight="1">
      <c r="A24" s="1" t="s">
        <v>131</v>
      </c>
      <c r="B24" s="1" t="s">
        <v>57</v>
      </c>
      <c r="C24" s="56" t="s">
        <v>58</v>
      </c>
      <c r="D24" s="56" t="s">
        <v>59</v>
      </c>
      <c r="E24" s="57" t="s">
        <v>80</v>
      </c>
      <c r="F24" s="1" t="s">
        <v>14</v>
      </c>
      <c r="G24" s="1" t="s">
        <v>117</v>
      </c>
      <c r="H24" s="78">
        <v>0.05</v>
      </c>
      <c r="I24" s="42">
        <v>47302.0</v>
      </c>
      <c r="J24" s="42">
        <v>45602.0</v>
      </c>
      <c r="K24" s="42">
        <v>45604.0</v>
      </c>
      <c r="L24" s="62">
        <f t="shared" si="1"/>
        <v>0.09015100839</v>
      </c>
      <c r="M24" s="63">
        <v>85.0</v>
      </c>
      <c r="N24" s="63">
        <v>78408.0</v>
      </c>
      <c r="O24" s="15">
        <f t="shared" ref="O24:O25" si="5">IFERROR((N24*M24/100)+ACCRINT(COUPPCD(K24,I24,2,0),COUPNCD(K24,I24,2,0),K24,H24,N24,2,0),N24*M24/100)</f>
        <v>68008.05</v>
      </c>
      <c r="P24" s="15">
        <f t="shared" ref="P24:P92" si="6">N24*M24/100</f>
        <v>66646.8</v>
      </c>
      <c r="Q24" s="15">
        <f t="shared" si="4"/>
        <v>1361.25</v>
      </c>
      <c r="R24" s="15"/>
      <c r="S24" s="3"/>
      <c r="T24" s="3"/>
      <c r="U24" s="1"/>
      <c r="V24" s="1"/>
      <c r="W24" s="1"/>
      <c r="X24" s="1"/>
      <c r="Y24" s="1"/>
      <c r="Z24" s="1"/>
    </row>
    <row r="25" ht="13.5" customHeight="1">
      <c r="A25" s="1" t="s">
        <v>131</v>
      </c>
      <c r="B25" s="1" t="s">
        <v>57</v>
      </c>
      <c r="C25" s="56" t="s">
        <v>58</v>
      </c>
      <c r="D25" s="56" t="s">
        <v>59</v>
      </c>
      <c r="E25" s="57" t="s">
        <v>80</v>
      </c>
      <c r="F25" s="1" t="s">
        <v>14</v>
      </c>
      <c r="G25" s="1" t="s">
        <v>121</v>
      </c>
      <c r="H25" s="78">
        <v>0.05</v>
      </c>
      <c r="I25" s="42">
        <v>49493.0</v>
      </c>
      <c r="J25" s="42">
        <v>45602.0</v>
      </c>
      <c r="K25" s="42">
        <v>45604.0</v>
      </c>
      <c r="L25" s="62">
        <f t="shared" si="1"/>
        <v>0.09787047198</v>
      </c>
      <c r="M25" s="63">
        <v>68.75</v>
      </c>
      <c r="N25" s="63">
        <v>112752.0</v>
      </c>
      <c r="O25" s="15">
        <f t="shared" si="5"/>
        <v>79474.5</v>
      </c>
      <c r="P25" s="15">
        <f t="shared" si="6"/>
        <v>77517</v>
      </c>
      <c r="Q25" s="15">
        <f t="shared" si="4"/>
        <v>1957.5</v>
      </c>
      <c r="R25" s="15"/>
      <c r="S25" s="3"/>
      <c r="T25" s="3"/>
      <c r="U25" s="1"/>
      <c r="V25" s="1"/>
      <c r="W25" s="1"/>
      <c r="X25" s="1"/>
      <c r="Y25" s="1"/>
      <c r="Z25" s="1"/>
    </row>
    <row r="26" ht="13.5" customHeight="1">
      <c r="A26" s="1" t="s">
        <v>131</v>
      </c>
      <c r="B26" s="56" t="s">
        <v>104</v>
      </c>
      <c r="C26" s="57" t="s">
        <v>58</v>
      </c>
      <c r="D26" s="57" t="s">
        <v>59</v>
      </c>
      <c r="E26" s="57" t="s">
        <v>80</v>
      </c>
      <c r="F26" s="1" t="s">
        <v>14</v>
      </c>
      <c r="G26" s="1" t="s">
        <v>125</v>
      </c>
      <c r="H26" s="78">
        <v>0.0</v>
      </c>
      <c r="I26" s="42">
        <v>47486.0</v>
      </c>
      <c r="J26" s="42">
        <v>45603.0</v>
      </c>
      <c r="K26" s="42">
        <v>45608.0</v>
      </c>
      <c r="L26" s="62">
        <f t="shared" si="1"/>
        <v>0.0554125867</v>
      </c>
      <c r="M26" s="63">
        <v>75.5</v>
      </c>
      <c r="N26" s="63">
        <v>24093.0</v>
      </c>
      <c r="O26" s="15">
        <f>IFERROR((N26*M26/100)+ACCRINT(COUPPCD(K26,I26,2,0),COUPNCD(K26,I26,2,0),K26,H26,N26,2,0),N26*M26/100)*0.9167</f>
        <v>16674.97009</v>
      </c>
      <c r="P26" s="15">
        <f t="shared" si="6"/>
        <v>18190.215</v>
      </c>
      <c r="Q26" s="15" t="str">
        <f t="shared" si="4"/>
        <v/>
      </c>
      <c r="R26" s="15"/>
      <c r="S26" s="3"/>
      <c r="T26" s="3"/>
      <c r="U26" s="1"/>
      <c r="V26" s="1"/>
      <c r="W26" s="1"/>
      <c r="X26" s="1"/>
      <c r="Y26" s="1"/>
      <c r="Z26" s="1"/>
    </row>
    <row r="27" ht="13.5" customHeight="1">
      <c r="A27" s="1"/>
      <c r="B27" s="1" t="s">
        <v>57</v>
      </c>
      <c r="C27" s="57" t="s">
        <v>45</v>
      </c>
      <c r="D27" s="57" t="s">
        <v>74</v>
      </c>
      <c r="E27" s="57" t="s">
        <v>80</v>
      </c>
      <c r="F27" s="1" t="s">
        <v>14</v>
      </c>
      <c r="G27" s="1" t="s">
        <v>137</v>
      </c>
      <c r="H27" s="82">
        <f>IFERROR(VLOOKUP($G27,'Bonds Universe'!$D:$H,2,FALSE), "")</f>
        <v>0.0875</v>
      </c>
      <c r="I27" s="83">
        <f>IFERROR(VLOOKUP($G27,'Bonds Universe'!$D:$H,3,FALSE), "")</f>
        <v>48016</v>
      </c>
      <c r="J27" s="42">
        <v>45616.0</v>
      </c>
      <c r="K27" s="42">
        <v>45618.0</v>
      </c>
      <c r="L27" s="62">
        <f t="shared" si="1"/>
        <v>0.08952275202</v>
      </c>
      <c r="M27" s="63">
        <v>99.0</v>
      </c>
      <c r="N27" s="63">
        <v>5654000.0</v>
      </c>
      <c r="O27" s="15">
        <f t="shared" ref="O27:O28" si="7">IFERROR((N27*M27/100)+ACCRINT(COUPPCD(K27,I27,2,0),COUPNCD(K27,I27,2,0),K27,H27,N27,2,0),N27*M27/100)</f>
        <v>5810466.597</v>
      </c>
      <c r="P27" s="15">
        <f t="shared" si="6"/>
        <v>5597460</v>
      </c>
      <c r="Q27" s="15">
        <f t="shared" si="4"/>
        <v>213006.5972</v>
      </c>
      <c r="R27" s="15"/>
      <c r="S27" s="3"/>
      <c r="T27" s="3"/>
      <c r="U27" s="1"/>
      <c r="V27" s="1"/>
      <c r="W27" s="1"/>
      <c r="X27" s="1"/>
      <c r="Y27" s="1"/>
      <c r="Z27" s="1"/>
    </row>
    <row r="28" ht="13.5" customHeight="1">
      <c r="A28" s="1"/>
      <c r="B28" s="1" t="s">
        <v>57</v>
      </c>
      <c r="C28" s="57" t="s">
        <v>45</v>
      </c>
      <c r="D28" s="57" t="s">
        <v>74</v>
      </c>
      <c r="E28" s="57" t="s">
        <v>80</v>
      </c>
      <c r="F28" s="1" t="s">
        <v>12</v>
      </c>
      <c r="G28" s="1" t="s">
        <v>141</v>
      </c>
      <c r="H28" s="82">
        <f>IFERROR(VLOOKUP($G28,'Bonds Universe'!$D:$H,2,FALSE), "")</f>
        <v>0.085</v>
      </c>
      <c r="I28" s="83">
        <f>IFERROR(VLOOKUP($G28,'Bonds Universe'!$D:$H,3,FALSE), "")</f>
        <v>53723</v>
      </c>
      <c r="J28" s="42">
        <v>45616.0</v>
      </c>
      <c r="K28" s="42">
        <v>45621.0</v>
      </c>
      <c r="L28" s="62">
        <f t="shared" si="1"/>
        <v>0.1106041055</v>
      </c>
      <c r="M28" s="63">
        <v>78.95</v>
      </c>
      <c r="N28" s="63">
        <v>5315000.0</v>
      </c>
      <c r="O28" s="15">
        <f t="shared" si="7"/>
        <v>4340509.514</v>
      </c>
      <c r="P28" s="15">
        <f t="shared" si="6"/>
        <v>4196192.5</v>
      </c>
      <c r="Q28" s="15">
        <f t="shared" si="4"/>
        <v>144317.0139</v>
      </c>
      <c r="R28" s="15"/>
      <c r="S28" s="3"/>
      <c r="T28" s="3"/>
      <c r="U28" s="1"/>
      <c r="V28" s="1"/>
      <c r="W28" s="1"/>
      <c r="X28" s="1"/>
      <c r="Y28" s="1"/>
      <c r="Z28" s="1"/>
    </row>
    <row r="29" ht="13.5" customHeight="1">
      <c r="A29" s="1"/>
      <c r="B29" s="1" t="s">
        <v>57</v>
      </c>
      <c r="C29" s="57" t="s">
        <v>45</v>
      </c>
      <c r="D29" s="57" t="s">
        <v>74</v>
      </c>
      <c r="E29" s="57" t="s">
        <v>80</v>
      </c>
      <c r="F29" s="1" t="s">
        <v>12</v>
      </c>
      <c r="G29" s="1" t="s">
        <v>109</v>
      </c>
      <c r="H29" s="82">
        <f>IFERROR(VLOOKUP($G29,'Bonds Universe'!$D:$H,2,FALSE), "")</f>
        <v>0.09375</v>
      </c>
      <c r="I29" s="83">
        <f>IFERROR(VLOOKUP($G29,'Bonds Universe'!$D:$H,3,FALSE), "")</f>
        <v>54186</v>
      </c>
      <c r="J29" s="42">
        <v>45616.0</v>
      </c>
      <c r="K29" s="42">
        <v>45621.0</v>
      </c>
      <c r="L29" s="62">
        <f t="shared" si="1"/>
        <v>0.1139066689</v>
      </c>
      <c r="M29" s="63">
        <v>83.61</v>
      </c>
      <c r="N29" s="63">
        <v>1733000.0</v>
      </c>
      <c r="O29" s="15">
        <v>1521169.63</v>
      </c>
      <c r="P29" s="15">
        <f t="shared" si="6"/>
        <v>1448961.3</v>
      </c>
      <c r="Q29" s="15">
        <f t="shared" si="4"/>
        <v>7672.135417</v>
      </c>
      <c r="R29" s="15"/>
      <c r="S29" s="3"/>
      <c r="T29" s="3"/>
      <c r="U29" s="1"/>
      <c r="V29" s="1"/>
      <c r="W29" s="1"/>
      <c r="X29" s="1"/>
      <c r="Y29" s="1"/>
      <c r="Z29" s="1"/>
    </row>
    <row r="30" ht="13.5" customHeight="1">
      <c r="A30" s="1"/>
      <c r="B30" s="1" t="s">
        <v>57</v>
      </c>
      <c r="C30" s="57" t="s">
        <v>58</v>
      </c>
      <c r="D30" s="57" t="s">
        <v>59</v>
      </c>
      <c r="E30" s="57" t="s">
        <v>80</v>
      </c>
      <c r="F30" s="1" t="s">
        <v>12</v>
      </c>
      <c r="G30" s="1" t="s">
        <v>109</v>
      </c>
      <c r="H30" s="82">
        <f>IFERROR(VLOOKUP($G30,'Bonds Universe'!$D:$H,2,FALSE), "")</f>
        <v>0.09375</v>
      </c>
      <c r="I30" s="83">
        <f>IFERROR(VLOOKUP($G30,'Bonds Universe'!$D:$H,3,FALSE), "")</f>
        <v>54186</v>
      </c>
      <c r="J30" s="42">
        <v>45616.0</v>
      </c>
      <c r="K30" s="42">
        <v>45621.0</v>
      </c>
      <c r="L30" s="62">
        <f t="shared" si="1"/>
        <v>0.1139066689</v>
      </c>
      <c r="M30" s="63">
        <v>83.61</v>
      </c>
      <c r="N30" s="63">
        <v>545000.0</v>
      </c>
      <c r="O30" s="15">
        <v>478382.83</v>
      </c>
      <c r="P30" s="15">
        <f t="shared" si="6"/>
        <v>455674.5</v>
      </c>
      <c r="Q30" s="15">
        <f t="shared" si="4"/>
        <v>2412.760417</v>
      </c>
      <c r="R30" s="15"/>
      <c r="S30" s="3"/>
      <c r="T30" s="3"/>
      <c r="U30" s="1"/>
      <c r="V30" s="1"/>
      <c r="W30" s="1"/>
      <c r="X30" s="1"/>
      <c r="Y30" s="1"/>
      <c r="Z30" s="1"/>
    </row>
    <row r="31" ht="13.5" customHeight="1">
      <c r="A31" s="1"/>
      <c r="B31" s="56" t="s">
        <v>104</v>
      </c>
      <c r="C31" s="57" t="s">
        <v>58</v>
      </c>
      <c r="D31" s="57" t="s">
        <v>59</v>
      </c>
      <c r="E31" s="57" t="s">
        <v>80</v>
      </c>
      <c r="F31" s="1" t="s">
        <v>12</v>
      </c>
      <c r="G31" s="1" t="s">
        <v>109</v>
      </c>
      <c r="H31" s="82">
        <f>IFERROR(VLOOKUP($G31,'Bonds Universe'!$D:$H,2,FALSE), "")</f>
        <v>0.09375</v>
      </c>
      <c r="I31" s="83">
        <f>IFERROR(VLOOKUP($G31,'Bonds Universe'!$D:$H,3,FALSE), "")</f>
        <v>54186</v>
      </c>
      <c r="J31" s="42">
        <v>45625.0</v>
      </c>
      <c r="K31" s="42">
        <v>45629.0</v>
      </c>
      <c r="L31" s="62">
        <f t="shared" si="1"/>
        <v>0.1133485548</v>
      </c>
      <c r="M31" s="63">
        <v>84.0</v>
      </c>
      <c r="N31" s="63">
        <v>1135000.0</v>
      </c>
      <c r="O31" s="15">
        <v>1003056.25</v>
      </c>
      <c r="P31" s="15">
        <f t="shared" si="6"/>
        <v>953400</v>
      </c>
      <c r="Q31" s="15">
        <f t="shared" si="4"/>
        <v>7389.322917</v>
      </c>
      <c r="R31" s="15"/>
      <c r="S31" s="3"/>
      <c r="T31" s="3"/>
      <c r="U31" s="1"/>
      <c r="V31" s="1"/>
      <c r="W31" s="1"/>
      <c r="X31" s="1"/>
      <c r="Y31" s="1"/>
      <c r="Z31" s="1"/>
    </row>
    <row r="32" ht="13.5" customHeight="1">
      <c r="A32" s="1"/>
      <c r="B32" s="1" t="s">
        <v>57</v>
      </c>
      <c r="C32" s="57" t="s">
        <v>45</v>
      </c>
      <c r="D32" s="57" t="s">
        <v>74</v>
      </c>
      <c r="E32" s="57" t="s">
        <v>80</v>
      </c>
      <c r="F32" s="1" t="s">
        <v>14</v>
      </c>
      <c r="G32" s="1" t="s">
        <v>137</v>
      </c>
      <c r="H32" s="82">
        <f>IFERROR(VLOOKUP($G32,'Bonds Universe'!$D:$H,2,FALSE), "")</f>
        <v>0.0875</v>
      </c>
      <c r="I32" s="83">
        <f>IFERROR(VLOOKUP($G32,'Bonds Universe'!$D:$H,3,FALSE), "")</f>
        <v>48016</v>
      </c>
      <c r="J32" s="42">
        <v>45644.0</v>
      </c>
      <c r="K32" s="42">
        <v>45646.0</v>
      </c>
      <c r="L32" s="62">
        <f t="shared" si="1"/>
        <v>0.08966540423</v>
      </c>
      <c r="M32" s="63">
        <v>98.95</v>
      </c>
      <c r="N32" s="63">
        <v>750000.0</v>
      </c>
      <c r="O32" s="15">
        <f t="shared" ref="O32:O38" si="8">IFERROR((N32*M32/100)+ACCRINT(COUPPCD(K32,I32,2,0),COUPNCD(K32,I32,2,0),K32,H32,N32,2,0),N32*M32/100)</f>
        <v>742671.875</v>
      </c>
      <c r="P32" s="15">
        <f t="shared" si="6"/>
        <v>742125</v>
      </c>
      <c r="Q32" s="15">
        <f t="shared" si="4"/>
        <v>546.875</v>
      </c>
      <c r="R32" s="15"/>
      <c r="S32" s="3"/>
      <c r="T32" s="3"/>
      <c r="U32" s="1"/>
      <c r="V32" s="1"/>
      <c r="W32" s="1"/>
      <c r="X32" s="1"/>
      <c r="Y32" s="1"/>
      <c r="Z32" s="1"/>
    </row>
    <row r="33" ht="13.5" customHeight="1">
      <c r="A33" s="51"/>
      <c r="B33" s="51" t="s">
        <v>57</v>
      </c>
      <c r="C33" s="72" t="s">
        <v>45</v>
      </c>
      <c r="D33" s="72" t="s">
        <v>74</v>
      </c>
      <c r="E33" s="72" t="s">
        <v>148</v>
      </c>
      <c r="F33" s="51" t="s">
        <v>14</v>
      </c>
      <c r="G33" s="51" t="s">
        <v>149</v>
      </c>
      <c r="H33" s="85">
        <f>IFERROR(VLOOKUP($G33,'Bonds Universe'!$D:$H,2,FALSE), "")</f>
        <v>0.06125</v>
      </c>
      <c r="I33" s="86">
        <f>IFERROR(VLOOKUP($G33,'Bonds Universe'!$D:$H,3,FALSE), "")</f>
        <v>47024</v>
      </c>
      <c r="J33" s="75">
        <v>45694.0</v>
      </c>
      <c r="K33" s="75">
        <v>45695.0</v>
      </c>
      <c r="L33" s="76">
        <f t="shared" si="1"/>
        <v>0.08715293126</v>
      </c>
      <c r="M33" s="77">
        <v>92.05</v>
      </c>
      <c r="N33" s="77">
        <v>4070000.0</v>
      </c>
      <c r="O33" s="34">
        <f t="shared" si="8"/>
        <v>3835763.021</v>
      </c>
      <c r="P33" s="34">
        <f t="shared" si="6"/>
        <v>3746435</v>
      </c>
      <c r="Q33" s="34">
        <f t="shared" si="4"/>
        <v>89328.02083</v>
      </c>
      <c r="R33" s="34"/>
      <c r="S33" s="7"/>
      <c r="T33" s="7"/>
      <c r="U33" s="51"/>
      <c r="V33" s="51"/>
      <c r="W33" s="51"/>
      <c r="X33" s="51"/>
      <c r="Y33" s="51"/>
      <c r="Z33" s="51"/>
    </row>
    <row r="34" ht="13.5" customHeight="1">
      <c r="A34" s="1"/>
      <c r="B34" s="1" t="s">
        <v>57</v>
      </c>
      <c r="C34" s="57" t="s">
        <v>45</v>
      </c>
      <c r="D34" s="57" t="s">
        <v>74</v>
      </c>
      <c r="E34" s="57" t="s">
        <v>148</v>
      </c>
      <c r="F34" s="1" t="s">
        <v>14</v>
      </c>
      <c r="G34" s="1" t="s">
        <v>75</v>
      </c>
      <c r="H34" s="87">
        <v>0.10125</v>
      </c>
      <c r="I34" s="83">
        <v>47406.0</v>
      </c>
      <c r="J34" s="42">
        <v>45694.0</v>
      </c>
      <c r="K34" s="42">
        <v>45695.0</v>
      </c>
      <c r="L34" s="62">
        <f t="shared" si="1"/>
        <v>0.08819667628</v>
      </c>
      <c r="M34" s="63">
        <v>104.9</v>
      </c>
      <c r="N34" s="63">
        <v>4200000.0</v>
      </c>
      <c r="O34" s="15">
        <f t="shared" si="8"/>
        <v>4538100</v>
      </c>
      <c r="P34" s="15">
        <f t="shared" si="6"/>
        <v>4405800</v>
      </c>
      <c r="Q34" s="15">
        <f t="shared" si="4"/>
        <v>132300</v>
      </c>
      <c r="R34" s="15"/>
      <c r="S34" s="3"/>
      <c r="T34" s="3"/>
      <c r="U34" s="1"/>
      <c r="V34" s="1"/>
      <c r="W34" s="1"/>
      <c r="X34" s="1"/>
      <c r="Y34" s="1"/>
      <c r="Z34" s="1"/>
    </row>
    <row r="35" ht="13.5" customHeight="1">
      <c r="A35" s="1"/>
      <c r="B35" s="1" t="s">
        <v>57</v>
      </c>
      <c r="C35" s="57" t="s">
        <v>45</v>
      </c>
      <c r="D35" s="57" t="s">
        <v>74</v>
      </c>
      <c r="E35" s="57" t="s">
        <v>148</v>
      </c>
      <c r="F35" s="1" t="s">
        <v>14</v>
      </c>
      <c r="G35" s="1" t="s">
        <v>137</v>
      </c>
      <c r="H35" s="82">
        <f>IFERROR(VLOOKUP($G35,'Bonds Universe'!$D:$H,2,FALSE), "")</f>
        <v>0.0875</v>
      </c>
      <c r="I35" s="83">
        <f>IFERROR(VLOOKUP($G35,'Bonds Universe'!$D:$H,3,FALSE), "")</f>
        <v>48016</v>
      </c>
      <c r="J35" s="42">
        <v>45695.0</v>
      </c>
      <c r="K35" s="42">
        <v>45699.0</v>
      </c>
      <c r="L35" s="62">
        <f t="shared" si="1"/>
        <v>0.08908249586</v>
      </c>
      <c r="M35" s="63">
        <v>99.225</v>
      </c>
      <c r="N35" s="63">
        <v>4095000.0</v>
      </c>
      <c r="O35" s="15">
        <f t="shared" si="8"/>
        <v>4117010.625</v>
      </c>
      <c r="P35" s="15">
        <f t="shared" si="6"/>
        <v>4063263.75</v>
      </c>
      <c r="Q35" s="15">
        <f t="shared" si="4"/>
        <v>53746.875</v>
      </c>
      <c r="R35" s="15"/>
      <c r="S35" s="3"/>
      <c r="T35" s="3"/>
      <c r="U35" s="1"/>
      <c r="V35" s="1"/>
      <c r="W35" s="1"/>
      <c r="X35" s="1"/>
      <c r="Y35" s="1"/>
      <c r="Z35" s="1"/>
    </row>
    <row r="36" ht="13.5" customHeight="1">
      <c r="A36" s="88" t="s">
        <v>151</v>
      </c>
      <c r="B36" s="1" t="s">
        <v>73</v>
      </c>
      <c r="C36" s="57" t="s">
        <v>58</v>
      </c>
      <c r="D36" s="57" t="s">
        <v>152</v>
      </c>
      <c r="E36" s="57" t="s">
        <v>153</v>
      </c>
      <c r="F36" s="1" t="s">
        <v>12</v>
      </c>
      <c r="G36" s="1" t="s">
        <v>154</v>
      </c>
      <c r="H36" s="87">
        <v>0.07125</v>
      </c>
      <c r="I36" s="89">
        <v>46069.0</v>
      </c>
      <c r="J36" s="42">
        <v>45699.0</v>
      </c>
      <c r="K36" s="42">
        <v>45701.0</v>
      </c>
      <c r="L36" s="62">
        <f t="shared" si="1"/>
        <v>0.08177069705</v>
      </c>
      <c r="M36" s="63">
        <v>99.0</v>
      </c>
      <c r="N36" s="63">
        <v>394000.0</v>
      </c>
      <c r="O36" s="15">
        <f t="shared" si="8"/>
        <v>403862.3125</v>
      </c>
      <c r="P36" s="15">
        <f t="shared" si="6"/>
        <v>390060</v>
      </c>
      <c r="Q36" s="15">
        <f t="shared" si="4"/>
        <v>13802.3125</v>
      </c>
      <c r="R36" s="15"/>
      <c r="S36" s="3"/>
      <c r="T36" s="3"/>
      <c r="U36" s="1"/>
      <c r="V36" s="1"/>
      <c r="W36" s="1"/>
      <c r="X36" s="1"/>
      <c r="Y36" s="1"/>
      <c r="Z36" s="1"/>
    </row>
    <row r="37" ht="13.5" customHeight="1">
      <c r="A37" s="88" t="s">
        <v>151</v>
      </c>
      <c r="B37" s="1" t="s">
        <v>73</v>
      </c>
      <c r="C37" s="57" t="s">
        <v>58</v>
      </c>
      <c r="D37" s="57" t="s">
        <v>152</v>
      </c>
      <c r="E37" s="57" t="s">
        <v>153</v>
      </c>
      <c r="F37" s="1" t="s">
        <v>14</v>
      </c>
      <c r="G37" s="1" t="s">
        <v>154</v>
      </c>
      <c r="H37" s="87">
        <v>0.07125</v>
      </c>
      <c r="I37" s="89">
        <v>46069.0</v>
      </c>
      <c r="J37" s="42">
        <v>45699.0</v>
      </c>
      <c r="K37" s="42">
        <v>45701.0</v>
      </c>
      <c r="L37" s="62">
        <f t="shared" si="1"/>
        <v>0.08177069705</v>
      </c>
      <c r="M37" s="63">
        <v>99.0</v>
      </c>
      <c r="N37" s="63">
        <v>200000.0</v>
      </c>
      <c r="O37" s="15">
        <f t="shared" si="8"/>
        <v>205006.25</v>
      </c>
      <c r="P37" s="15">
        <f t="shared" si="6"/>
        <v>198000</v>
      </c>
      <c r="Q37" s="15">
        <f t="shared" si="4"/>
        <v>7006.25</v>
      </c>
      <c r="R37" s="15"/>
      <c r="S37" s="3"/>
      <c r="T37" s="3"/>
      <c r="U37" s="1"/>
      <c r="V37" s="1"/>
      <c r="W37" s="1"/>
      <c r="X37" s="1"/>
      <c r="Y37" s="1"/>
      <c r="Z37" s="1"/>
    </row>
    <row r="38" ht="13.5" customHeight="1">
      <c r="A38" s="1"/>
      <c r="B38" s="1" t="s">
        <v>57</v>
      </c>
      <c r="C38" s="57" t="s">
        <v>58</v>
      </c>
      <c r="D38" s="57" t="s">
        <v>59</v>
      </c>
      <c r="E38" s="57" t="s">
        <v>148</v>
      </c>
      <c r="F38" s="1" t="s">
        <v>14</v>
      </c>
      <c r="G38" s="1" t="s">
        <v>114</v>
      </c>
      <c r="H38" s="82">
        <f>IFERROR(VLOOKUP($G38,'Bonds Universe'!$D:$H,2,FALSE), "")</f>
        <v>0.09125</v>
      </c>
      <c r="I38" s="83">
        <f>IFERROR(VLOOKUP($G38,'Bonds Universe'!$D:$H,3,FALSE), "")</f>
        <v>54753</v>
      </c>
      <c r="J38" s="42">
        <v>45708.0</v>
      </c>
      <c r="K38" s="42">
        <v>45712.0</v>
      </c>
      <c r="L38" s="62">
        <f t="shared" si="1"/>
        <v>0.1139925603</v>
      </c>
      <c r="M38" s="63">
        <v>81.3</v>
      </c>
      <c r="N38" s="63">
        <v>1000000.0</v>
      </c>
      <c r="O38" s="15">
        <f t="shared" si="8"/>
        <v>835305.5556</v>
      </c>
      <c r="P38" s="15">
        <f t="shared" si="6"/>
        <v>813000</v>
      </c>
      <c r="Q38" s="15">
        <f t="shared" si="4"/>
        <v>22305.55556</v>
      </c>
      <c r="R38" s="15"/>
      <c r="S38" s="3"/>
      <c r="T38" s="3"/>
      <c r="U38" s="1"/>
      <c r="V38" s="1"/>
      <c r="W38" s="1"/>
      <c r="X38" s="1"/>
      <c r="Y38" s="1"/>
      <c r="Z38" s="1"/>
    </row>
    <row r="39" ht="13.5" customHeight="1">
      <c r="A39" s="1"/>
      <c r="B39" s="1" t="s">
        <v>73</v>
      </c>
      <c r="C39" s="57" t="s">
        <v>58</v>
      </c>
      <c r="D39" s="57" t="s">
        <v>59</v>
      </c>
      <c r="E39" s="57" t="s">
        <v>148</v>
      </c>
      <c r="F39" s="1" t="s">
        <v>14</v>
      </c>
      <c r="G39" s="1" t="s">
        <v>109</v>
      </c>
      <c r="H39" s="82">
        <f>IFERROR(VLOOKUP($G39,'Bonds Universe'!$D:$H,2,FALSE), "")</f>
        <v>0.09375</v>
      </c>
      <c r="I39" s="83">
        <f>IFERROR(VLOOKUP($G39,'Bonds Universe'!$D:$H,3,FALSE), "")</f>
        <v>54186</v>
      </c>
      <c r="J39" s="42">
        <v>45708.0</v>
      </c>
      <c r="K39" s="42">
        <v>45712.0</v>
      </c>
      <c r="L39" s="62">
        <f t="shared" si="1"/>
        <v>0.1146290313</v>
      </c>
      <c r="M39" s="63">
        <v>83.125</v>
      </c>
      <c r="N39" s="63">
        <v>2280000.0</v>
      </c>
      <c r="O39" s="15">
        <v>1936218.75</v>
      </c>
      <c r="P39" s="15">
        <f t="shared" si="6"/>
        <v>1895250</v>
      </c>
      <c r="Q39" s="15">
        <f t="shared" si="4"/>
        <v>62937.5</v>
      </c>
      <c r="R39" s="15"/>
      <c r="S39" s="3"/>
      <c r="T39" s="3"/>
      <c r="U39" s="1"/>
      <c r="V39" s="1"/>
      <c r="W39" s="1"/>
      <c r="X39" s="1"/>
      <c r="Y39" s="1"/>
      <c r="Z39" s="1"/>
    </row>
    <row r="40" ht="13.5" customHeight="1">
      <c r="A40" s="1"/>
      <c r="B40" s="1" t="s">
        <v>73</v>
      </c>
      <c r="C40" s="57" t="s">
        <v>58</v>
      </c>
      <c r="D40" s="57" t="s">
        <v>59</v>
      </c>
      <c r="E40" s="57" t="s">
        <v>148</v>
      </c>
      <c r="F40" s="1" t="s">
        <v>14</v>
      </c>
      <c r="G40" s="57" t="s">
        <v>155</v>
      </c>
      <c r="H40" s="82">
        <f>IFERROR(VLOOKUP($G40,'Bonds Universe'!$D:$H,2,FALSE), "")</f>
        <v>0.09125</v>
      </c>
      <c r="I40" s="83">
        <f>IFERROR(VLOOKUP($G40,'Bonds Universe'!$D:$H,3,FALSE), "")</f>
        <v>46210</v>
      </c>
      <c r="J40" s="42">
        <v>45708.0</v>
      </c>
      <c r="K40" s="42">
        <v>45712.0</v>
      </c>
      <c r="L40" s="62">
        <f t="shared" si="1"/>
        <v>0.08323205757</v>
      </c>
      <c r="M40" s="63">
        <v>101.0</v>
      </c>
      <c r="N40" s="63">
        <v>291000.0</v>
      </c>
      <c r="O40" s="15">
        <f t="shared" ref="O40:O41" si="9">IFERROR((N40*M40/100)+ACCRINT(COUPPCD(K40,I40,2,0),COUPNCD(K40,I40,2,0),K40,H40,N40,2,0),N40*M40/100)</f>
        <v>297376.7396</v>
      </c>
      <c r="P40" s="15">
        <f t="shared" si="6"/>
        <v>293910</v>
      </c>
      <c r="Q40" s="15">
        <f t="shared" si="4"/>
        <v>3466.739583</v>
      </c>
      <c r="R40" s="15"/>
      <c r="S40" s="3"/>
      <c r="T40" s="3"/>
      <c r="U40" s="1"/>
      <c r="V40" s="1"/>
      <c r="W40" s="1"/>
      <c r="X40" s="1"/>
      <c r="Y40" s="1"/>
      <c r="Z40" s="1"/>
    </row>
    <row r="41" ht="13.5" customHeight="1">
      <c r="A41" s="1"/>
      <c r="B41" s="1" t="s">
        <v>57</v>
      </c>
      <c r="C41" s="57" t="s">
        <v>45</v>
      </c>
      <c r="D41" s="57" t="s">
        <v>74</v>
      </c>
      <c r="E41" s="57" t="s">
        <v>148</v>
      </c>
      <c r="F41" s="1" t="s">
        <v>14</v>
      </c>
      <c r="G41" s="1" t="s">
        <v>156</v>
      </c>
      <c r="H41" s="82">
        <f>IFERROR(VLOOKUP($G41,'Bonds Universe'!$D:$H,2,FALSE), "")</f>
        <v>0.09248</v>
      </c>
      <c r="I41" s="83">
        <f>IFERROR(VLOOKUP($G41,'Bonds Universe'!$D:$H,3,FALSE), "")</f>
        <v>54444</v>
      </c>
      <c r="J41" s="42">
        <v>45719.0</v>
      </c>
      <c r="K41" s="42">
        <v>45721.0</v>
      </c>
      <c r="L41" s="62">
        <f t="shared" si="1"/>
        <v>0.09871052557</v>
      </c>
      <c r="M41" s="63">
        <v>94.3</v>
      </c>
      <c r="N41" s="63">
        <v>260000.0</v>
      </c>
      <c r="O41" s="15">
        <f t="shared" si="9"/>
        <v>248118.8089</v>
      </c>
      <c r="P41" s="15">
        <f t="shared" si="6"/>
        <v>245180</v>
      </c>
      <c r="Q41" s="15">
        <f t="shared" si="4"/>
        <v>2938.808889</v>
      </c>
      <c r="R41" s="15"/>
      <c r="S41" s="3"/>
      <c r="T41" s="3"/>
      <c r="U41" s="1"/>
      <c r="V41" s="1"/>
      <c r="W41" s="1"/>
      <c r="X41" s="1"/>
      <c r="Y41" s="1"/>
      <c r="Z41" s="1"/>
    </row>
    <row r="42" ht="13.5" customHeight="1">
      <c r="A42" s="1"/>
      <c r="B42" s="1" t="s">
        <v>73</v>
      </c>
      <c r="C42" s="57" t="s">
        <v>45</v>
      </c>
      <c r="D42" s="57" t="s">
        <v>74</v>
      </c>
      <c r="E42" s="57" t="s">
        <v>148</v>
      </c>
      <c r="F42" s="1" t="s">
        <v>14</v>
      </c>
      <c r="G42" s="1" t="s">
        <v>109</v>
      </c>
      <c r="H42" s="82">
        <f>IFERROR(VLOOKUP($G42,'Bonds Universe'!$D:$H,2,FALSE), "")</f>
        <v>0.09375</v>
      </c>
      <c r="I42" s="83">
        <f>IFERROR(VLOOKUP($G42,'Bonds Universe'!$D:$H,3,FALSE), "")</f>
        <v>54186</v>
      </c>
      <c r="J42" s="42">
        <v>45723.0</v>
      </c>
      <c r="K42" s="42">
        <v>45727.0</v>
      </c>
      <c r="L42" s="62">
        <f t="shared" si="1"/>
        <v>0.1191332049</v>
      </c>
      <c r="M42" s="63">
        <v>80.125</v>
      </c>
      <c r="N42" s="63">
        <v>2000000.0</v>
      </c>
      <c r="O42" s="15">
        <v>1647291.67</v>
      </c>
      <c r="P42" s="15">
        <f t="shared" si="6"/>
        <v>1602500</v>
      </c>
      <c r="Q42" s="15">
        <f t="shared" si="4"/>
        <v>64062.5</v>
      </c>
      <c r="R42" s="15"/>
      <c r="S42" s="3"/>
      <c r="T42" s="3"/>
      <c r="U42" s="1"/>
      <c r="V42" s="1"/>
      <c r="W42" s="1"/>
      <c r="X42" s="1"/>
      <c r="Y42" s="1"/>
      <c r="Z42" s="1"/>
    </row>
    <row r="43" ht="13.5" customHeight="1">
      <c r="A43" s="1"/>
      <c r="B43" s="1" t="s">
        <v>73</v>
      </c>
      <c r="C43" s="1" t="s">
        <v>45</v>
      </c>
      <c r="D43" s="1" t="s">
        <v>74</v>
      </c>
      <c r="E43" s="57" t="s">
        <v>148</v>
      </c>
      <c r="F43" s="1" t="s">
        <v>14</v>
      </c>
      <c r="G43" s="1" t="s">
        <v>141</v>
      </c>
      <c r="H43" s="82">
        <f>IFERROR(VLOOKUP($G43,'Bonds Universe'!$D:$H,2,FALSE), "")</f>
        <v>0.085</v>
      </c>
      <c r="I43" s="83">
        <f>IFERROR(VLOOKUP($G43,'Bonds Universe'!$D:$H,3,FALSE), "")</f>
        <v>53723</v>
      </c>
      <c r="J43" s="42">
        <v>45723.0</v>
      </c>
      <c r="K43" s="42">
        <v>45727.0</v>
      </c>
      <c r="L43" s="62">
        <f t="shared" si="1"/>
        <v>0.112329527</v>
      </c>
      <c r="M43" s="63">
        <v>77.875</v>
      </c>
      <c r="N43" s="63">
        <v>2000000.0</v>
      </c>
      <c r="O43" s="15">
        <f t="shared" ref="O43:O52" si="10">IFERROR((N43*M43/100)+ACCRINT(COUPPCD(K43,I43,2,0),COUPNCD(K43,I43,2,0),K43,H43,N43,2,0),N43*M43/100)</f>
        <v>1576861.111</v>
      </c>
      <c r="P43" s="15">
        <f t="shared" si="6"/>
        <v>1557500</v>
      </c>
      <c r="Q43" s="15">
        <f t="shared" si="4"/>
        <v>19361.11111</v>
      </c>
      <c r="R43" s="15"/>
      <c r="S43" s="3"/>
      <c r="T43" s="3"/>
      <c r="U43" s="1"/>
      <c r="V43" s="1"/>
      <c r="W43" s="1"/>
      <c r="X43" s="1"/>
      <c r="Y43" s="1"/>
      <c r="Z43" s="1"/>
    </row>
    <row r="44" ht="13.5" customHeight="1">
      <c r="A44" s="1"/>
      <c r="B44" s="1" t="s">
        <v>73</v>
      </c>
      <c r="C44" s="1" t="s">
        <v>45</v>
      </c>
      <c r="D44" s="1" t="s">
        <v>74</v>
      </c>
      <c r="E44" s="57" t="s">
        <v>148</v>
      </c>
      <c r="F44" s="1" t="s">
        <v>14</v>
      </c>
      <c r="G44" s="1" t="s">
        <v>106</v>
      </c>
      <c r="H44" s="82">
        <f>IFERROR(VLOOKUP($G44,'Bonds Universe'!$D:$H,2,FALSE), "")</f>
        <v>0.08875</v>
      </c>
      <c r="I44" s="83">
        <f>IFERROR(VLOOKUP($G44,'Bonds Universe'!$D:$H,3,FALSE), "")</f>
        <v>54937</v>
      </c>
      <c r="J44" s="42">
        <v>45723.0</v>
      </c>
      <c r="K44" s="42">
        <v>45727.0</v>
      </c>
      <c r="L44" s="62">
        <f t="shared" si="1"/>
        <v>0.1124205899</v>
      </c>
      <c r="M44" s="63">
        <v>80.25</v>
      </c>
      <c r="N44" s="63">
        <v>1000000.0</v>
      </c>
      <c r="O44" s="15">
        <f t="shared" si="10"/>
        <v>827645.8333</v>
      </c>
      <c r="P44" s="15">
        <f t="shared" si="6"/>
        <v>802500</v>
      </c>
      <c r="Q44" s="15">
        <f t="shared" si="4"/>
        <v>25145.83333</v>
      </c>
      <c r="R44" s="15"/>
      <c r="S44" s="3"/>
      <c r="T44" s="3"/>
      <c r="U44" s="1"/>
      <c r="V44" s="1"/>
      <c r="W44" s="1"/>
      <c r="X44" s="1"/>
      <c r="Y44" s="1"/>
      <c r="Z44" s="1"/>
    </row>
    <row r="45" ht="13.5" customHeight="1">
      <c r="A45" s="1"/>
      <c r="B45" s="1" t="s">
        <v>73</v>
      </c>
      <c r="C45" s="1" t="s">
        <v>45</v>
      </c>
      <c r="D45" s="1" t="s">
        <v>74</v>
      </c>
      <c r="E45" s="57" t="s">
        <v>148</v>
      </c>
      <c r="F45" s="1" t="s">
        <v>14</v>
      </c>
      <c r="G45" s="1" t="s">
        <v>114</v>
      </c>
      <c r="H45" s="82">
        <f>IFERROR(VLOOKUP($G45,'Bonds Universe'!$D:$H,2,FALSE), "")</f>
        <v>0.09125</v>
      </c>
      <c r="I45" s="83">
        <f>IFERROR(VLOOKUP($G45,'Bonds Universe'!$D:$H,3,FALSE), "")</f>
        <v>54753</v>
      </c>
      <c r="J45" s="42">
        <v>45723.0</v>
      </c>
      <c r="K45" s="42">
        <v>45727.0</v>
      </c>
      <c r="L45" s="62">
        <f t="shared" si="1"/>
        <v>0.1185929858</v>
      </c>
      <c r="M45" s="63">
        <v>78.25</v>
      </c>
      <c r="N45" s="63">
        <v>450000.0</v>
      </c>
      <c r="O45" s="15">
        <f t="shared" si="10"/>
        <v>364101.5625</v>
      </c>
      <c r="P45" s="15">
        <f t="shared" si="6"/>
        <v>352125</v>
      </c>
      <c r="Q45" s="15">
        <f t="shared" si="4"/>
        <v>11976.5625</v>
      </c>
      <c r="R45" s="15"/>
      <c r="S45" s="3"/>
      <c r="T45" s="3"/>
      <c r="U45" s="1"/>
      <c r="V45" s="1"/>
      <c r="W45" s="1"/>
      <c r="X45" s="1"/>
      <c r="Y45" s="1"/>
      <c r="Z45" s="1"/>
    </row>
    <row r="46" ht="13.5" customHeight="1">
      <c r="A46" s="1"/>
      <c r="B46" s="1" t="s">
        <v>73</v>
      </c>
      <c r="C46" s="1" t="s">
        <v>45</v>
      </c>
      <c r="D46" s="1" t="s">
        <v>74</v>
      </c>
      <c r="E46" s="57" t="s">
        <v>148</v>
      </c>
      <c r="F46" s="1" t="s">
        <v>14</v>
      </c>
      <c r="G46" s="1" t="s">
        <v>155</v>
      </c>
      <c r="H46" s="82">
        <f>IFERROR(VLOOKUP($G46,'Bonds Universe'!$D:$H,2,FALSE), "")</f>
        <v>0.09125</v>
      </c>
      <c r="I46" s="83">
        <f>IFERROR(VLOOKUP($G46,'Bonds Universe'!$D:$H,3,FALSE), "")</f>
        <v>46210</v>
      </c>
      <c r="J46" s="42">
        <v>45723.0</v>
      </c>
      <c r="K46" s="42">
        <v>45727.0</v>
      </c>
      <c r="L46" s="62">
        <f t="shared" si="1"/>
        <v>0.09105961853</v>
      </c>
      <c r="M46" s="63">
        <v>100.0</v>
      </c>
      <c r="N46" s="63">
        <v>1000000.0</v>
      </c>
      <c r="O46" s="15">
        <f t="shared" si="10"/>
        <v>1016222.222</v>
      </c>
      <c r="P46" s="15">
        <f t="shared" si="6"/>
        <v>1000000</v>
      </c>
      <c r="Q46" s="15">
        <f t="shared" si="4"/>
        <v>16222.22222</v>
      </c>
      <c r="R46" s="15"/>
      <c r="S46" s="3"/>
      <c r="T46" s="3"/>
      <c r="U46" s="1"/>
      <c r="V46" s="1"/>
      <c r="W46" s="1"/>
      <c r="X46" s="1"/>
      <c r="Y46" s="1"/>
      <c r="Z46" s="1"/>
    </row>
    <row r="47" ht="13.5" customHeight="1">
      <c r="A47" s="100" t="s">
        <v>157</v>
      </c>
      <c r="B47" s="1" t="s">
        <v>57</v>
      </c>
      <c r="C47" s="1" t="s">
        <v>45</v>
      </c>
      <c r="D47" s="1" t="s">
        <v>74</v>
      </c>
      <c r="E47" s="57" t="s">
        <v>148</v>
      </c>
      <c r="F47" s="1" t="s">
        <v>14</v>
      </c>
      <c r="G47" s="1" t="s">
        <v>158</v>
      </c>
      <c r="H47" s="82">
        <f>IFERROR(VLOOKUP($G47,'Bonds Universe'!$D:$H,2,FALSE), "")</f>
        <v>0.07875</v>
      </c>
      <c r="I47" s="83">
        <f>IFERROR(VLOOKUP($G47,'Bonds Universe'!$D:$H,3,FALSE), "")</f>
        <v>48260</v>
      </c>
      <c r="J47" s="42">
        <v>45723.0</v>
      </c>
      <c r="K47" s="42">
        <v>45727.0</v>
      </c>
      <c r="L47" s="62">
        <f t="shared" si="1"/>
        <v>0.09653676625</v>
      </c>
      <c r="M47" s="63">
        <v>91.15</v>
      </c>
      <c r="N47" s="63">
        <v>315000.0</v>
      </c>
      <c r="O47" s="15">
        <f t="shared" si="10"/>
        <v>288845.1563</v>
      </c>
      <c r="P47" s="15">
        <f t="shared" si="6"/>
        <v>287122.5</v>
      </c>
      <c r="Q47" s="15">
        <f t="shared" si="4"/>
        <v>1722.65625</v>
      </c>
      <c r="R47" s="15"/>
      <c r="S47" s="3"/>
      <c r="T47" s="3"/>
      <c r="U47" s="1"/>
      <c r="V47" s="1"/>
      <c r="W47" s="1"/>
      <c r="X47" s="1"/>
      <c r="Y47" s="1"/>
      <c r="Z47" s="1"/>
    </row>
    <row r="48" ht="13.5" customHeight="1">
      <c r="A48" s="100" t="s">
        <v>157</v>
      </c>
      <c r="B48" s="1" t="s">
        <v>57</v>
      </c>
      <c r="C48" s="1" t="s">
        <v>45</v>
      </c>
      <c r="D48" s="1" t="s">
        <v>74</v>
      </c>
      <c r="E48" s="57" t="s">
        <v>148</v>
      </c>
      <c r="F48" s="1" t="s">
        <v>12</v>
      </c>
      <c r="G48" s="1" t="s">
        <v>158</v>
      </c>
      <c r="H48" s="82">
        <f>IFERROR(VLOOKUP($G48,'Bonds Universe'!$D:$H,2,FALSE), "")</f>
        <v>0.07875</v>
      </c>
      <c r="I48" s="83">
        <f>IFERROR(VLOOKUP($G48,'Bonds Universe'!$D:$H,3,FALSE), "")</f>
        <v>48260</v>
      </c>
      <c r="J48" s="42">
        <v>45723.0</v>
      </c>
      <c r="K48" s="42">
        <v>45727.0</v>
      </c>
      <c r="L48" s="62">
        <f t="shared" si="1"/>
        <v>0.09653676625</v>
      </c>
      <c r="M48" s="63">
        <v>91.15</v>
      </c>
      <c r="N48" s="63">
        <v>200000.0</v>
      </c>
      <c r="O48" s="15">
        <f t="shared" si="10"/>
        <v>183393.75</v>
      </c>
      <c r="P48" s="15">
        <f t="shared" si="6"/>
        <v>182300</v>
      </c>
      <c r="Q48" s="15">
        <f t="shared" si="4"/>
        <v>1093.75</v>
      </c>
      <c r="R48" s="15"/>
      <c r="S48" s="3"/>
      <c r="T48" s="3"/>
      <c r="U48" s="1"/>
      <c r="V48" s="1"/>
      <c r="W48" s="1"/>
      <c r="X48" s="1"/>
      <c r="Y48" s="1"/>
      <c r="Z48" s="1"/>
    </row>
    <row r="49" ht="13.5" customHeight="1">
      <c r="A49" s="51"/>
      <c r="B49" s="51" t="s">
        <v>73</v>
      </c>
      <c r="C49" s="51" t="s">
        <v>45</v>
      </c>
      <c r="D49" s="51" t="s">
        <v>74</v>
      </c>
      <c r="E49" s="72" t="s">
        <v>148</v>
      </c>
      <c r="F49" s="51" t="s">
        <v>14</v>
      </c>
      <c r="G49" s="51" t="s">
        <v>137</v>
      </c>
      <c r="H49" s="104">
        <v>0.0875</v>
      </c>
      <c r="I49" s="86">
        <f>IFERROR(VLOOKUP($G49,'Bonds Universe'!$D:$H,3,FALSE), "")</f>
        <v>48016</v>
      </c>
      <c r="J49" s="75">
        <v>45726.0</v>
      </c>
      <c r="K49" s="75">
        <v>45728.0</v>
      </c>
      <c r="L49" s="76">
        <f t="shared" si="1"/>
        <v>0.08692523221</v>
      </c>
      <c r="M49" s="77">
        <v>100.25</v>
      </c>
      <c r="N49" s="77">
        <v>810000.0</v>
      </c>
      <c r="O49" s="105">
        <f t="shared" si="10"/>
        <v>828759.375</v>
      </c>
      <c r="P49" s="34">
        <f t="shared" si="6"/>
        <v>812025</v>
      </c>
      <c r="Q49" s="34">
        <f t="shared" si="4"/>
        <v>16734.375</v>
      </c>
      <c r="R49" s="34"/>
      <c r="S49" s="7"/>
      <c r="T49" s="7"/>
      <c r="U49" s="51"/>
      <c r="V49" s="51"/>
      <c r="W49" s="51"/>
      <c r="X49" s="51"/>
      <c r="Y49" s="51"/>
      <c r="Z49" s="51"/>
    </row>
    <row r="50" ht="13.5" customHeight="1">
      <c r="A50" s="51"/>
      <c r="B50" s="51" t="s">
        <v>73</v>
      </c>
      <c r="C50" s="51" t="s">
        <v>45</v>
      </c>
      <c r="D50" s="51" t="s">
        <v>74</v>
      </c>
      <c r="E50" s="72" t="s">
        <v>148</v>
      </c>
      <c r="F50" s="51" t="s">
        <v>14</v>
      </c>
      <c r="G50" s="51" t="s">
        <v>155</v>
      </c>
      <c r="H50" s="104">
        <v>0.09125</v>
      </c>
      <c r="I50" s="86">
        <f>IFERROR(VLOOKUP($G50,'Bonds Universe'!$D:$H,3,FALSE), "")</f>
        <v>46210</v>
      </c>
      <c r="J50" s="75">
        <v>45726.0</v>
      </c>
      <c r="K50" s="75">
        <v>45728.0</v>
      </c>
      <c r="L50" s="76">
        <f t="shared" si="1"/>
        <v>0.09413961596</v>
      </c>
      <c r="M50" s="77">
        <v>99.625</v>
      </c>
      <c r="N50" s="77">
        <v>1000000.0</v>
      </c>
      <c r="O50" s="105">
        <f t="shared" si="10"/>
        <v>1012725.694</v>
      </c>
      <c r="P50" s="34">
        <f t="shared" si="6"/>
        <v>996250</v>
      </c>
      <c r="Q50" s="34">
        <f t="shared" si="4"/>
        <v>16475.69444</v>
      </c>
      <c r="R50" s="34"/>
      <c r="S50" s="7"/>
      <c r="T50" s="7"/>
      <c r="U50" s="51"/>
      <c r="V50" s="51"/>
      <c r="W50" s="51"/>
      <c r="X50" s="51"/>
      <c r="Y50" s="51"/>
      <c r="Z50" s="51"/>
    </row>
    <row r="51" ht="13.5" customHeight="1">
      <c r="A51" s="51"/>
      <c r="B51" s="51" t="s">
        <v>73</v>
      </c>
      <c r="C51" s="51" t="s">
        <v>45</v>
      </c>
      <c r="D51" s="51" t="s">
        <v>74</v>
      </c>
      <c r="E51" s="72" t="s">
        <v>148</v>
      </c>
      <c r="F51" s="51" t="s">
        <v>14</v>
      </c>
      <c r="G51" s="51" t="s">
        <v>159</v>
      </c>
      <c r="H51" s="104">
        <v>0.0875</v>
      </c>
      <c r="I51" s="86">
        <v>48318.0</v>
      </c>
      <c r="J51" s="75">
        <v>45726.0</v>
      </c>
      <c r="K51" s="75">
        <v>45728.0</v>
      </c>
      <c r="L51" s="76">
        <f t="shared" si="1"/>
        <v>0.1150416404</v>
      </c>
      <c r="M51" s="77">
        <v>86.875</v>
      </c>
      <c r="N51" s="77">
        <v>600000.0</v>
      </c>
      <c r="O51" s="105">
        <f t="shared" si="10"/>
        <v>542833.3333</v>
      </c>
      <c r="P51" s="34">
        <f t="shared" si="6"/>
        <v>521250</v>
      </c>
      <c r="Q51" s="34">
        <f t="shared" si="4"/>
        <v>21583.33333</v>
      </c>
      <c r="R51" s="34"/>
      <c r="S51" s="7"/>
      <c r="T51" s="7"/>
      <c r="U51" s="51"/>
      <c r="V51" s="51"/>
      <c r="W51" s="51"/>
      <c r="X51" s="51"/>
      <c r="Y51" s="51"/>
      <c r="Z51" s="51"/>
    </row>
    <row r="52" ht="13.5" customHeight="1">
      <c r="A52" s="51"/>
      <c r="B52" s="51" t="s">
        <v>73</v>
      </c>
      <c r="C52" s="51" t="s">
        <v>45</v>
      </c>
      <c r="D52" s="51" t="s">
        <v>74</v>
      </c>
      <c r="E52" s="72" t="s">
        <v>148</v>
      </c>
      <c r="F52" s="51" t="s">
        <v>14</v>
      </c>
      <c r="G52" s="51" t="s">
        <v>141</v>
      </c>
      <c r="H52" s="104">
        <v>0.085</v>
      </c>
      <c r="I52" s="86">
        <v>53723.0</v>
      </c>
      <c r="J52" s="75">
        <v>45726.0</v>
      </c>
      <c r="K52" s="75">
        <v>45728.0</v>
      </c>
      <c r="L52" s="76">
        <f t="shared" si="1"/>
        <v>0.1132858597</v>
      </c>
      <c r="M52" s="77">
        <v>77.25</v>
      </c>
      <c r="N52" s="77">
        <v>1000000.0</v>
      </c>
      <c r="O52" s="105">
        <f t="shared" si="10"/>
        <v>782416.6667</v>
      </c>
      <c r="P52" s="34">
        <f t="shared" si="6"/>
        <v>772500</v>
      </c>
      <c r="Q52" s="34">
        <f t="shared" si="4"/>
        <v>9916.666667</v>
      </c>
      <c r="R52" s="34"/>
      <c r="S52" s="7"/>
      <c r="T52" s="7"/>
      <c r="U52" s="51"/>
      <c r="V52" s="51"/>
      <c r="W52" s="51"/>
      <c r="X52" s="51"/>
      <c r="Y52" s="51"/>
      <c r="Z52" s="51"/>
    </row>
    <row r="53" ht="13.5" customHeight="1">
      <c r="A53" s="51"/>
      <c r="B53" s="51" t="s">
        <v>73</v>
      </c>
      <c r="C53" s="51" t="s">
        <v>45</v>
      </c>
      <c r="D53" s="51" t="s">
        <v>74</v>
      </c>
      <c r="E53" s="72" t="s">
        <v>148</v>
      </c>
      <c r="F53" s="51" t="s">
        <v>14</v>
      </c>
      <c r="G53" s="51" t="s">
        <v>109</v>
      </c>
      <c r="H53" s="104">
        <v>0.09375</v>
      </c>
      <c r="I53" s="86">
        <v>54186.0</v>
      </c>
      <c r="J53" s="75">
        <v>45726.0</v>
      </c>
      <c r="K53" s="75">
        <v>45728.0</v>
      </c>
      <c r="L53" s="76">
        <f t="shared" si="1"/>
        <v>0.1203023069</v>
      </c>
      <c r="M53" s="77">
        <v>79.375</v>
      </c>
      <c r="N53" s="77">
        <v>1000000.0</v>
      </c>
      <c r="O53" s="105">
        <v>816406.25</v>
      </c>
      <c r="P53" s="34">
        <f t="shared" si="6"/>
        <v>793750</v>
      </c>
      <c r="Q53" s="34">
        <v>22656.25</v>
      </c>
      <c r="R53" s="34"/>
      <c r="S53" s="7"/>
      <c r="T53" s="7"/>
      <c r="U53" s="51"/>
      <c r="V53" s="51"/>
      <c r="W53" s="51"/>
      <c r="X53" s="51"/>
      <c r="Y53" s="51"/>
      <c r="Z53" s="51"/>
    </row>
    <row r="54" ht="13.5" customHeight="1">
      <c r="A54" s="51"/>
      <c r="B54" s="51" t="s">
        <v>73</v>
      </c>
      <c r="C54" s="51" t="s">
        <v>45</v>
      </c>
      <c r="D54" s="51" t="s">
        <v>74</v>
      </c>
      <c r="E54" s="72" t="s">
        <v>148</v>
      </c>
      <c r="F54" s="51" t="s">
        <v>14</v>
      </c>
      <c r="G54" s="51" t="s">
        <v>141</v>
      </c>
      <c r="H54" s="104">
        <v>0.085</v>
      </c>
      <c r="I54" s="86">
        <v>53723.0</v>
      </c>
      <c r="J54" s="75">
        <v>45726.0</v>
      </c>
      <c r="K54" s="75">
        <v>45728.0</v>
      </c>
      <c r="L54" s="76">
        <f t="shared" si="1"/>
        <v>0.1140599234</v>
      </c>
      <c r="M54" s="77">
        <v>76.75</v>
      </c>
      <c r="N54" s="77">
        <v>1000000.0</v>
      </c>
      <c r="O54" s="105">
        <f>IFERROR((N54*M54/100)+ACCRINT(COUPPCD(K54,I54,2,0),COUPNCD(K54,I54,2,0),K54,H54,N54,2,0),N54*M54/100)</f>
        <v>777416.6667</v>
      </c>
      <c r="P54" s="34">
        <f t="shared" si="6"/>
        <v>767500</v>
      </c>
      <c r="Q54" s="34">
        <f t="shared" ref="Q54:Q60" si="11">IFERROR(ACCRINT(COUPPCD(K54,I54,2,0),COUPNCD(K54,I54,2,0),K54,H54,N54,2,0),"")</f>
        <v>9916.666667</v>
      </c>
      <c r="R54" s="34"/>
      <c r="S54" s="7"/>
      <c r="T54" s="7"/>
      <c r="U54" s="51"/>
      <c r="V54" s="51"/>
      <c r="W54" s="51"/>
      <c r="X54" s="51"/>
      <c r="Y54" s="51"/>
      <c r="Z54" s="51"/>
    </row>
    <row r="55" ht="13.5" customHeight="1">
      <c r="A55" s="51"/>
      <c r="B55" s="51" t="s">
        <v>73</v>
      </c>
      <c r="C55" s="51" t="s">
        <v>45</v>
      </c>
      <c r="D55" s="51" t="s">
        <v>74</v>
      </c>
      <c r="E55" s="72" t="s">
        <v>148</v>
      </c>
      <c r="F55" s="51" t="s">
        <v>14</v>
      </c>
      <c r="G55" s="51" t="s">
        <v>109</v>
      </c>
      <c r="H55" s="104">
        <v>0.09375</v>
      </c>
      <c r="I55" s="86">
        <v>54186.0</v>
      </c>
      <c r="J55" s="75">
        <v>45726.0</v>
      </c>
      <c r="K55" s="75">
        <v>45728.0</v>
      </c>
      <c r="L55" s="76">
        <f t="shared" si="1"/>
        <v>0.1203023069</v>
      </c>
      <c r="M55" s="77">
        <v>79.375</v>
      </c>
      <c r="N55" s="77">
        <v>1000000.0</v>
      </c>
      <c r="O55" s="105">
        <v>816406.25</v>
      </c>
      <c r="P55" s="34">
        <f t="shared" si="6"/>
        <v>793750</v>
      </c>
      <c r="Q55" s="34">
        <f t="shared" si="11"/>
        <v>32291.66667</v>
      </c>
      <c r="R55" s="34"/>
      <c r="S55" s="7"/>
      <c r="T55" s="7"/>
      <c r="U55" s="51"/>
      <c r="V55" s="51"/>
      <c r="W55" s="51"/>
      <c r="X55" s="51"/>
      <c r="Y55" s="51"/>
      <c r="Z55" s="51"/>
    </row>
    <row r="56" ht="13.5" customHeight="1">
      <c r="A56" s="51"/>
      <c r="B56" s="51" t="s">
        <v>57</v>
      </c>
      <c r="C56" s="51" t="s">
        <v>45</v>
      </c>
      <c r="D56" s="51" t="s">
        <v>74</v>
      </c>
      <c r="E56" s="72" t="s">
        <v>148</v>
      </c>
      <c r="F56" s="51" t="s">
        <v>14</v>
      </c>
      <c r="G56" s="72" t="s">
        <v>61</v>
      </c>
      <c r="H56" s="85">
        <f>IFERROR(VLOOKUP($G56,'Bonds Universe'!$D:$H,2,FALSE), "")</f>
        <v>0.07696</v>
      </c>
      <c r="I56" s="86">
        <f>IFERROR(VLOOKUP($G56,'Bonds Universe'!$D:$H,3,FALSE), "")</f>
        <v>50459</v>
      </c>
      <c r="J56" s="75">
        <v>45726.0</v>
      </c>
      <c r="K56" s="75">
        <v>45728.0</v>
      </c>
      <c r="L56" s="76">
        <f t="shared" si="1"/>
        <v>0.1006575886</v>
      </c>
      <c r="M56" s="77">
        <v>83.05</v>
      </c>
      <c r="N56" s="77">
        <v>1000000.0</v>
      </c>
      <c r="O56" s="34">
        <f t="shared" ref="O56:O60" si="12">IFERROR((N56*M56/100)+ACCRINT(COUPPCD(K56,I56,2,0),COUPNCD(K56,I56,2,0),K56,H56,N56,2,0),N56*M56/100)</f>
        <v>834561.7778</v>
      </c>
      <c r="P56" s="34">
        <f t="shared" si="6"/>
        <v>830500</v>
      </c>
      <c r="Q56" s="34">
        <f t="shared" si="11"/>
        <v>4061.777778</v>
      </c>
      <c r="R56" s="34"/>
      <c r="S56" s="7"/>
      <c r="T56" s="7"/>
      <c r="U56" s="51"/>
      <c r="V56" s="51"/>
      <c r="W56" s="51"/>
      <c r="X56" s="51"/>
      <c r="Y56" s="51"/>
      <c r="Z56" s="51"/>
    </row>
    <row r="57" ht="13.5" customHeight="1">
      <c r="A57" s="51"/>
      <c r="B57" s="51" t="s">
        <v>57</v>
      </c>
      <c r="C57" s="51" t="s">
        <v>45</v>
      </c>
      <c r="D57" s="51" t="s">
        <v>74</v>
      </c>
      <c r="E57" s="72" t="s">
        <v>148</v>
      </c>
      <c r="F57" s="51" t="s">
        <v>14</v>
      </c>
      <c r="G57" s="72" t="s">
        <v>160</v>
      </c>
      <c r="H57" s="85">
        <f>IFERROR(VLOOKUP($G57,'Bonds Universe'!$D:$H,2,FALSE), "")</f>
        <v>0.08375</v>
      </c>
      <c r="I57" s="86">
        <f>IFERROR(VLOOKUP($G57,'Bonds Universe'!$D:$H,3,FALSE), "")</f>
        <v>47201</v>
      </c>
      <c r="J57" s="75">
        <v>45726.0</v>
      </c>
      <c r="K57" s="75">
        <v>45728.0</v>
      </c>
      <c r="L57" s="76">
        <f t="shared" si="1"/>
        <v>0.08853652199</v>
      </c>
      <c r="M57" s="77">
        <v>98.4</v>
      </c>
      <c r="N57" s="77">
        <v>2070000.0</v>
      </c>
      <c r="O57" s="105">
        <f t="shared" si="12"/>
        <v>2117782.5</v>
      </c>
      <c r="P57" s="34">
        <f t="shared" si="6"/>
        <v>2036880</v>
      </c>
      <c r="Q57" s="34">
        <f t="shared" si="11"/>
        <v>80902.5</v>
      </c>
      <c r="R57" s="34"/>
      <c r="S57" s="7"/>
      <c r="T57" s="7"/>
      <c r="U57" s="51"/>
      <c r="V57" s="51"/>
      <c r="W57" s="51"/>
      <c r="X57" s="51"/>
      <c r="Y57" s="51"/>
      <c r="Z57" s="51"/>
    </row>
    <row r="58" ht="13.5" customHeight="1">
      <c r="A58" s="1"/>
      <c r="B58" s="1" t="s">
        <v>73</v>
      </c>
      <c r="C58" s="1" t="s">
        <v>45</v>
      </c>
      <c r="D58" s="1" t="s">
        <v>74</v>
      </c>
      <c r="E58" s="57" t="s">
        <v>148</v>
      </c>
      <c r="F58" s="1" t="s">
        <v>14</v>
      </c>
      <c r="G58" s="1" t="s">
        <v>155</v>
      </c>
      <c r="H58" s="62">
        <v>0.09125</v>
      </c>
      <c r="I58" s="83">
        <f>IFERROR(VLOOKUP($G58,'Bonds Universe'!$D:$H,3,FALSE), "")</f>
        <v>46210</v>
      </c>
      <c r="J58" s="42">
        <v>45727.0</v>
      </c>
      <c r="K58" s="42">
        <v>45729.0</v>
      </c>
      <c r="L58" s="62">
        <f t="shared" si="1"/>
        <v>0.1003689197</v>
      </c>
      <c r="M58" s="63">
        <v>98.875</v>
      </c>
      <c r="N58" s="63">
        <v>1000000.0</v>
      </c>
      <c r="O58" s="109">
        <f t="shared" si="12"/>
        <v>1005479.167</v>
      </c>
      <c r="P58" s="15">
        <f t="shared" si="6"/>
        <v>988750</v>
      </c>
      <c r="Q58" s="15">
        <f t="shared" si="11"/>
        <v>16729.16667</v>
      </c>
      <c r="R58" s="15"/>
      <c r="S58" s="3"/>
      <c r="T58" s="3"/>
      <c r="U58" s="1"/>
      <c r="V58" s="1"/>
      <c r="W58" s="1"/>
      <c r="X58" s="1"/>
      <c r="Y58" s="1"/>
      <c r="Z58" s="1"/>
    </row>
    <row r="59" ht="13.5" customHeight="1">
      <c r="A59" s="1"/>
      <c r="B59" s="56" t="s">
        <v>104</v>
      </c>
      <c r="C59" s="1" t="s">
        <v>45</v>
      </c>
      <c r="D59" s="1" t="s">
        <v>74</v>
      </c>
      <c r="E59" s="57" t="s">
        <v>148</v>
      </c>
      <c r="F59" s="1" t="s">
        <v>14</v>
      </c>
      <c r="G59" s="57" t="s">
        <v>160</v>
      </c>
      <c r="H59" s="62">
        <v>0.08375</v>
      </c>
      <c r="I59" s="83">
        <f>IFERROR(VLOOKUP($G59,'Bonds Universe'!$D:$H,3,FALSE), "")</f>
        <v>47201</v>
      </c>
      <c r="J59" s="42">
        <v>45727.0</v>
      </c>
      <c r="K59" s="42">
        <v>45729.0</v>
      </c>
      <c r="L59" s="62">
        <f t="shared" si="1"/>
        <v>0.09044395657</v>
      </c>
      <c r="M59" s="63">
        <v>97.775</v>
      </c>
      <c r="N59" s="63">
        <v>1000000.0</v>
      </c>
      <c r="O59" s="109">
        <f t="shared" si="12"/>
        <v>1017065.972</v>
      </c>
      <c r="P59" s="15">
        <f t="shared" si="6"/>
        <v>977750</v>
      </c>
      <c r="Q59" s="15">
        <f t="shared" si="11"/>
        <v>39315.97222</v>
      </c>
      <c r="R59" s="15"/>
      <c r="S59" s="3"/>
      <c r="T59" s="3"/>
      <c r="U59" s="1"/>
      <c r="V59" s="1"/>
      <c r="W59" s="1"/>
      <c r="X59" s="1"/>
      <c r="Y59" s="1"/>
      <c r="Z59" s="1"/>
    </row>
    <row r="60" ht="13.5" customHeight="1">
      <c r="A60" s="1"/>
      <c r="B60" s="56" t="s">
        <v>104</v>
      </c>
      <c r="C60" s="1" t="s">
        <v>45</v>
      </c>
      <c r="D60" s="1" t="s">
        <v>74</v>
      </c>
      <c r="E60" s="57" t="s">
        <v>148</v>
      </c>
      <c r="F60" s="1" t="s">
        <v>14</v>
      </c>
      <c r="G60" s="57" t="s">
        <v>61</v>
      </c>
      <c r="H60" s="62">
        <v>0.07696</v>
      </c>
      <c r="I60" s="83">
        <f>IFERROR(VLOOKUP($G60,'Bonds Universe'!$D:$H,3,FALSE), "")</f>
        <v>50459</v>
      </c>
      <c r="J60" s="42">
        <v>45727.0</v>
      </c>
      <c r="K60" s="42">
        <v>45729.0</v>
      </c>
      <c r="L60" s="62">
        <f t="shared" si="1"/>
        <v>0.1019423902</v>
      </c>
      <c r="M60" s="63">
        <v>82.25</v>
      </c>
      <c r="N60" s="63">
        <v>1000000.0</v>
      </c>
      <c r="O60" s="109">
        <f t="shared" si="12"/>
        <v>826775.5556</v>
      </c>
      <c r="P60" s="15">
        <f t="shared" si="6"/>
        <v>822500</v>
      </c>
      <c r="Q60" s="15">
        <f t="shared" si="11"/>
        <v>4275.555556</v>
      </c>
      <c r="R60" s="15"/>
      <c r="S60" s="3"/>
      <c r="T60" s="3"/>
      <c r="U60" s="1"/>
      <c r="V60" s="1"/>
      <c r="W60" s="1"/>
      <c r="X60" s="1"/>
      <c r="Y60" s="1"/>
      <c r="Z60" s="1"/>
    </row>
    <row r="61" ht="13.5" customHeight="1">
      <c r="A61" s="1"/>
      <c r="B61" s="56" t="s">
        <v>104</v>
      </c>
      <c r="C61" s="1" t="s">
        <v>45</v>
      </c>
      <c r="D61" s="1" t="s">
        <v>74</v>
      </c>
      <c r="E61" s="57" t="s">
        <v>148</v>
      </c>
      <c r="F61" s="1" t="s">
        <v>14</v>
      </c>
      <c r="G61" s="1" t="s">
        <v>109</v>
      </c>
      <c r="H61" s="62">
        <v>0.09375</v>
      </c>
      <c r="I61" s="83">
        <f>IFERROR(VLOOKUP($G61,'Bonds Universe'!$D:$H,3,FALSE), "")</f>
        <v>54186</v>
      </c>
      <c r="J61" s="42">
        <v>45727.0</v>
      </c>
      <c r="K61" s="42">
        <v>45729.0</v>
      </c>
      <c r="L61" s="62">
        <f t="shared" si="1"/>
        <v>0.1205000414</v>
      </c>
      <c r="M61" s="63">
        <v>79.25</v>
      </c>
      <c r="N61" s="63">
        <v>1933000.0</v>
      </c>
      <c r="O61" s="109">
        <v>1576200.42</v>
      </c>
      <c r="P61" s="15">
        <f t="shared" si="6"/>
        <v>1531902.5</v>
      </c>
      <c r="Q61" s="15">
        <v>44297.92</v>
      </c>
      <c r="R61" s="15"/>
      <c r="S61" s="3"/>
      <c r="T61" s="3"/>
      <c r="U61" s="1"/>
      <c r="V61" s="1"/>
      <c r="W61" s="1"/>
      <c r="X61" s="1"/>
      <c r="Y61" s="1"/>
      <c r="Z61" s="1"/>
    </row>
    <row r="62" ht="13.5" customHeight="1">
      <c r="A62" s="1"/>
      <c r="B62" s="56" t="s">
        <v>104</v>
      </c>
      <c r="C62" s="1" t="s">
        <v>45</v>
      </c>
      <c r="D62" s="1" t="s">
        <v>74</v>
      </c>
      <c r="E62" s="57" t="s">
        <v>148</v>
      </c>
      <c r="F62" s="1" t="s">
        <v>14</v>
      </c>
      <c r="G62" s="1" t="s">
        <v>141</v>
      </c>
      <c r="H62" s="62">
        <v>0.085</v>
      </c>
      <c r="I62" s="83">
        <f>IFERROR(VLOOKUP($G62,'Bonds Universe'!$D:$H,3,FALSE), "")</f>
        <v>53723</v>
      </c>
      <c r="J62" s="42">
        <v>45727.0</v>
      </c>
      <c r="K62" s="42">
        <v>45729.0</v>
      </c>
      <c r="L62" s="62">
        <f t="shared" si="1"/>
        <v>0.113286386</v>
      </c>
      <c r="M62" s="63">
        <v>77.25</v>
      </c>
      <c r="N62" s="63">
        <v>1315000.0</v>
      </c>
      <c r="O62" s="109">
        <f t="shared" ref="O62:O74" si="13">IFERROR((N62*M62/100)+ACCRINT(COUPPCD(K62,I62,2,0),COUPNCD(K62,I62,2,0),K62,H62,N62,2,0),N62*M62/100)</f>
        <v>1029188.403</v>
      </c>
      <c r="P62" s="15">
        <f t="shared" si="6"/>
        <v>1015837.5</v>
      </c>
      <c r="Q62" s="15">
        <f t="shared" ref="Q62:Q126" si="14">IFERROR(ACCRINT(COUPPCD(K62,I62,2,0),COUPNCD(K62,I62,2,0),K62,H62,N62,2,0),"")</f>
        <v>13350.90278</v>
      </c>
      <c r="R62" s="15"/>
      <c r="S62" s="3"/>
      <c r="T62" s="3"/>
      <c r="U62" s="1"/>
      <c r="V62" s="1"/>
      <c r="W62" s="1"/>
      <c r="X62" s="1"/>
      <c r="Y62" s="1"/>
      <c r="Z62" s="1"/>
    </row>
    <row r="63" ht="13.5" customHeight="1">
      <c r="A63" s="1"/>
      <c r="B63" s="1" t="s">
        <v>57</v>
      </c>
      <c r="C63" s="1" t="s">
        <v>45</v>
      </c>
      <c r="D63" s="1" t="s">
        <v>74</v>
      </c>
      <c r="E63" s="57" t="s">
        <v>148</v>
      </c>
      <c r="F63" s="1" t="s">
        <v>14</v>
      </c>
      <c r="G63" s="1" t="s">
        <v>61</v>
      </c>
      <c r="H63" s="62">
        <v>0.07696</v>
      </c>
      <c r="I63" s="83">
        <f>IFERROR(VLOOKUP($G63,'Bonds Universe'!$D:$H,3,FALSE), "")</f>
        <v>50459</v>
      </c>
      <c r="J63" s="42">
        <v>45727.0</v>
      </c>
      <c r="K63" s="42">
        <v>45729.0</v>
      </c>
      <c r="L63" s="62">
        <f t="shared" si="1"/>
        <v>0.1017005765</v>
      </c>
      <c r="M63" s="63">
        <v>82.4</v>
      </c>
      <c r="N63" s="63">
        <v>820000.0</v>
      </c>
      <c r="O63" s="109">
        <f t="shared" si="13"/>
        <v>679185.9556</v>
      </c>
      <c r="P63" s="15">
        <f t="shared" si="6"/>
        <v>675680</v>
      </c>
      <c r="Q63" s="15">
        <f t="shared" si="14"/>
        <v>3505.955556</v>
      </c>
      <c r="R63" s="15"/>
      <c r="S63" s="3"/>
      <c r="T63" s="3"/>
      <c r="U63" s="1"/>
      <c r="V63" s="1"/>
      <c r="W63" s="1"/>
      <c r="X63" s="1"/>
      <c r="Y63" s="1"/>
      <c r="Z63" s="1"/>
    </row>
    <row r="64" ht="13.5" customHeight="1">
      <c r="A64" s="57"/>
      <c r="B64" s="57" t="s">
        <v>57</v>
      </c>
      <c r="C64" s="57" t="s">
        <v>45</v>
      </c>
      <c r="D64" s="57" t="s">
        <v>74</v>
      </c>
      <c r="E64" s="57" t="s">
        <v>148</v>
      </c>
      <c r="F64" s="57" t="s">
        <v>14</v>
      </c>
      <c r="G64" s="57" t="s">
        <v>160</v>
      </c>
      <c r="H64" s="87">
        <v>0.08375</v>
      </c>
      <c r="I64" s="83">
        <f>IFERROR(VLOOKUP($G64,'Bonds Universe'!$D:$H,3,FALSE), "")</f>
        <v>47201</v>
      </c>
      <c r="J64" s="89">
        <v>45727.0</v>
      </c>
      <c r="K64" s="89">
        <v>45729.0</v>
      </c>
      <c r="L64" s="87">
        <f t="shared" si="1"/>
        <v>0.09044395657</v>
      </c>
      <c r="M64" s="63">
        <v>97.775</v>
      </c>
      <c r="N64" s="63">
        <v>1000000.0</v>
      </c>
      <c r="O64" s="109">
        <f t="shared" si="13"/>
        <v>1017065.972</v>
      </c>
      <c r="P64" s="27">
        <f t="shared" si="6"/>
        <v>977750</v>
      </c>
      <c r="Q64" s="27">
        <f t="shared" si="14"/>
        <v>39315.97222</v>
      </c>
      <c r="R64" s="27"/>
      <c r="S64" s="110"/>
      <c r="T64" s="110"/>
      <c r="U64" s="57"/>
      <c r="V64" s="57"/>
      <c r="W64" s="57"/>
      <c r="X64" s="57"/>
      <c r="Y64" s="57"/>
      <c r="Z64" s="57"/>
    </row>
    <row r="65" ht="13.5" customHeight="1">
      <c r="A65" s="57"/>
      <c r="B65" s="57" t="s">
        <v>73</v>
      </c>
      <c r="C65" s="57" t="s">
        <v>45</v>
      </c>
      <c r="D65" s="57" t="s">
        <v>74</v>
      </c>
      <c r="E65" s="57" t="s">
        <v>148</v>
      </c>
      <c r="F65" s="57" t="s">
        <v>14</v>
      </c>
      <c r="G65" s="57" t="s">
        <v>155</v>
      </c>
      <c r="H65" s="87">
        <v>0.09125</v>
      </c>
      <c r="I65" s="83">
        <f>IFERROR(VLOOKUP($G65,'Bonds Universe'!$D:$H,3,FALSE), "")</f>
        <v>46210</v>
      </c>
      <c r="J65" s="89">
        <v>45729.0</v>
      </c>
      <c r="K65" s="89">
        <v>45733.0</v>
      </c>
      <c r="L65" s="87">
        <f t="shared" si="1"/>
        <v>0.1071870432</v>
      </c>
      <c r="M65" s="111">
        <v>98.077</v>
      </c>
      <c r="N65" s="111">
        <v>1000000.0</v>
      </c>
      <c r="O65" s="27">
        <f t="shared" si="13"/>
        <v>998513.0556</v>
      </c>
      <c r="P65" s="27">
        <f t="shared" si="6"/>
        <v>980770</v>
      </c>
      <c r="Q65" s="27">
        <f t="shared" si="14"/>
        <v>17743.05556</v>
      </c>
      <c r="R65" s="27"/>
      <c r="S65" s="110"/>
      <c r="T65" s="110"/>
      <c r="U65" s="57"/>
      <c r="V65" s="57"/>
      <c r="W65" s="57"/>
      <c r="X65" s="57"/>
      <c r="Y65" s="57"/>
      <c r="Z65" s="57"/>
    </row>
    <row r="66" ht="13.5" customHeight="1">
      <c r="A66" s="57"/>
      <c r="B66" s="57" t="s">
        <v>73</v>
      </c>
      <c r="C66" s="57" t="s">
        <v>45</v>
      </c>
      <c r="D66" s="57" t="s">
        <v>74</v>
      </c>
      <c r="E66" s="57" t="s">
        <v>148</v>
      </c>
      <c r="F66" s="57" t="s">
        <v>14</v>
      </c>
      <c r="G66" s="57" t="s">
        <v>155</v>
      </c>
      <c r="H66" s="87">
        <v>0.09125</v>
      </c>
      <c r="I66" s="83">
        <v>46210.0</v>
      </c>
      <c r="J66" s="89">
        <v>45728.0</v>
      </c>
      <c r="K66" s="89">
        <v>45730.0</v>
      </c>
      <c r="L66" s="87">
        <f t="shared" si="1"/>
        <v>0.1088064043</v>
      </c>
      <c r="M66" s="111">
        <v>97.875</v>
      </c>
      <c r="N66" s="111">
        <v>1000000.0</v>
      </c>
      <c r="O66" s="27">
        <f t="shared" si="13"/>
        <v>995732.6389</v>
      </c>
      <c r="P66" s="27">
        <f t="shared" si="6"/>
        <v>978750</v>
      </c>
      <c r="Q66" s="27">
        <f t="shared" si="14"/>
        <v>16982.63889</v>
      </c>
      <c r="R66" s="27"/>
      <c r="S66" s="110"/>
      <c r="T66" s="110"/>
      <c r="U66" s="57"/>
      <c r="V66" s="57"/>
      <c r="W66" s="57"/>
      <c r="X66" s="57"/>
      <c r="Y66" s="57"/>
      <c r="Z66" s="57"/>
    </row>
    <row r="67" ht="13.5" customHeight="1">
      <c r="A67" s="57"/>
      <c r="B67" s="72" t="s">
        <v>57</v>
      </c>
      <c r="C67" s="57" t="s">
        <v>45</v>
      </c>
      <c r="D67" s="57" t="s">
        <v>74</v>
      </c>
      <c r="E67" s="57" t="s">
        <v>148</v>
      </c>
      <c r="F67" s="57" t="s">
        <v>14</v>
      </c>
      <c r="G67" s="57" t="s">
        <v>155</v>
      </c>
      <c r="H67" s="87">
        <v>0.09125</v>
      </c>
      <c r="I67" s="83">
        <v>46210.0</v>
      </c>
      <c r="J67" s="89">
        <v>45730.0</v>
      </c>
      <c r="K67" s="89">
        <v>45734.0</v>
      </c>
      <c r="L67" s="87">
        <f t="shared" si="1"/>
        <v>0.1100119422</v>
      </c>
      <c r="M67" s="111">
        <v>97.75</v>
      </c>
      <c r="N67" s="111">
        <v>1600000.0</v>
      </c>
      <c r="O67" s="27">
        <f t="shared" si="13"/>
        <v>1592794.444</v>
      </c>
      <c r="P67" s="27">
        <f t="shared" si="6"/>
        <v>1564000</v>
      </c>
      <c r="Q67" s="27">
        <f t="shared" si="14"/>
        <v>28794.44444</v>
      </c>
      <c r="R67" s="27"/>
      <c r="S67" s="110"/>
      <c r="T67" s="110"/>
      <c r="U67" s="57"/>
      <c r="V67" s="57"/>
      <c r="W67" s="57"/>
      <c r="X67" s="57"/>
      <c r="Y67" s="57"/>
      <c r="Z67" s="57"/>
    </row>
    <row r="68" ht="13.5" customHeight="1">
      <c r="A68" s="112" t="s">
        <v>157</v>
      </c>
      <c r="B68" s="51" t="s">
        <v>57</v>
      </c>
      <c r="C68" s="57" t="s">
        <v>58</v>
      </c>
      <c r="D68" s="57" t="s">
        <v>152</v>
      </c>
      <c r="E68" s="57" t="s">
        <v>153</v>
      </c>
      <c r="F68" s="1" t="s">
        <v>12</v>
      </c>
      <c r="G68" s="1" t="s">
        <v>162</v>
      </c>
      <c r="H68" s="62">
        <v>0.10375</v>
      </c>
      <c r="I68" s="42">
        <v>49287.0</v>
      </c>
      <c r="J68" s="42">
        <v>45742.0</v>
      </c>
      <c r="K68" s="42">
        <v>45744.0</v>
      </c>
      <c r="L68" s="62">
        <f t="shared" si="1"/>
        <v>0.0997011529</v>
      </c>
      <c r="M68" s="63">
        <v>102.45</v>
      </c>
      <c r="N68" s="63">
        <v>388000.0</v>
      </c>
      <c r="O68" s="15">
        <f t="shared" si="13"/>
        <v>409694.3194</v>
      </c>
      <c r="P68" s="15">
        <f t="shared" si="6"/>
        <v>397506</v>
      </c>
      <c r="Q68" s="15">
        <f t="shared" si="14"/>
        <v>12188.31944</v>
      </c>
      <c r="R68" s="15"/>
      <c r="S68" s="3"/>
      <c r="T68" s="3"/>
      <c r="U68" s="1"/>
      <c r="V68" s="1"/>
      <c r="W68" s="1"/>
      <c r="X68" s="1"/>
      <c r="Y68" s="1"/>
      <c r="Z68" s="1"/>
    </row>
    <row r="69" ht="13.5" customHeight="1">
      <c r="A69" s="112" t="s">
        <v>157</v>
      </c>
      <c r="B69" s="51" t="s">
        <v>57</v>
      </c>
      <c r="C69" s="57" t="s">
        <v>58</v>
      </c>
      <c r="D69" s="57" t="s">
        <v>152</v>
      </c>
      <c r="E69" s="57" t="s">
        <v>153</v>
      </c>
      <c r="F69" s="1" t="s">
        <v>14</v>
      </c>
      <c r="G69" s="1" t="s">
        <v>162</v>
      </c>
      <c r="H69" s="62">
        <v>0.10375</v>
      </c>
      <c r="I69" s="42">
        <v>49287.0</v>
      </c>
      <c r="J69" s="42">
        <v>45742.0</v>
      </c>
      <c r="K69" s="42">
        <v>45744.0</v>
      </c>
      <c r="L69" s="62">
        <f t="shared" si="1"/>
        <v>0.0997011529</v>
      </c>
      <c r="M69" s="63">
        <v>102.45</v>
      </c>
      <c r="N69" s="63">
        <v>200000.0</v>
      </c>
      <c r="O69" s="15">
        <f t="shared" si="13"/>
        <v>211182.6389</v>
      </c>
      <c r="P69" s="15">
        <f t="shared" si="6"/>
        <v>204900</v>
      </c>
      <c r="Q69" s="15">
        <f t="shared" si="14"/>
        <v>6282.638889</v>
      </c>
      <c r="R69" s="15"/>
      <c r="S69" s="3"/>
      <c r="T69" s="3"/>
      <c r="U69" s="1"/>
      <c r="V69" s="1"/>
      <c r="W69" s="1"/>
      <c r="X69" s="1"/>
      <c r="Y69" s="1"/>
      <c r="Z69" s="1"/>
    </row>
    <row r="70" ht="13.5" customHeight="1">
      <c r="A70" s="113"/>
      <c r="B70" s="113" t="s">
        <v>57</v>
      </c>
      <c r="C70" s="113" t="s">
        <v>58</v>
      </c>
      <c r="D70" s="113" t="s">
        <v>74</v>
      </c>
      <c r="E70" s="113" t="s">
        <v>163</v>
      </c>
      <c r="F70" s="113" t="s">
        <v>12</v>
      </c>
      <c r="G70" s="113" t="s">
        <v>164</v>
      </c>
      <c r="H70" s="114">
        <v>0.08747</v>
      </c>
      <c r="I70" s="115">
        <v>47869.0</v>
      </c>
      <c r="J70" s="115">
        <v>45744.0</v>
      </c>
      <c r="K70" s="115">
        <v>45748.0</v>
      </c>
      <c r="L70" s="114">
        <f t="shared" si="1"/>
        <v>0.09581434765</v>
      </c>
      <c r="M70" s="116">
        <v>96.325</v>
      </c>
      <c r="N70" s="116">
        <v>1100000.0</v>
      </c>
      <c r="O70" s="109">
        <f t="shared" si="13"/>
        <v>1078283.861</v>
      </c>
      <c r="P70" s="109">
        <f t="shared" si="6"/>
        <v>1059575</v>
      </c>
      <c r="Q70" s="109">
        <f t="shared" si="14"/>
        <v>18708.86111</v>
      </c>
      <c r="R70" s="109"/>
      <c r="S70" s="117"/>
      <c r="T70" s="117"/>
      <c r="U70" s="113"/>
      <c r="V70" s="113"/>
      <c r="W70" s="113"/>
      <c r="X70" s="113"/>
      <c r="Y70" s="113"/>
      <c r="Z70" s="113"/>
    </row>
    <row r="71" ht="13.5" customHeight="1">
      <c r="A71" s="1"/>
      <c r="B71" s="1" t="s">
        <v>104</v>
      </c>
      <c r="C71" s="57" t="s">
        <v>58</v>
      </c>
      <c r="D71" s="1" t="s">
        <v>74</v>
      </c>
      <c r="E71" s="57" t="s">
        <v>163</v>
      </c>
      <c r="F71" s="1" t="s">
        <v>12</v>
      </c>
      <c r="G71" s="1" t="s">
        <v>160</v>
      </c>
      <c r="H71" s="62">
        <v>0.08375</v>
      </c>
      <c r="I71" s="42">
        <v>47201.0</v>
      </c>
      <c r="J71" s="42">
        <v>45744.0</v>
      </c>
      <c r="K71" s="42">
        <v>45749.0</v>
      </c>
      <c r="L71" s="62">
        <f t="shared" si="1"/>
        <v>0.09168551444</v>
      </c>
      <c r="M71" s="63">
        <v>97.4</v>
      </c>
      <c r="N71" s="63">
        <v>1100000.0</v>
      </c>
      <c r="O71" s="15">
        <f t="shared" si="13"/>
        <v>1073447.222</v>
      </c>
      <c r="P71" s="15">
        <f t="shared" si="6"/>
        <v>1071400</v>
      </c>
      <c r="Q71" s="15">
        <f t="shared" si="14"/>
        <v>2047.222222</v>
      </c>
      <c r="R71" s="15"/>
      <c r="S71" s="3"/>
      <c r="T71" s="3"/>
      <c r="U71" s="1"/>
      <c r="V71" s="1"/>
      <c r="W71" s="1"/>
      <c r="X71" s="1"/>
      <c r="Y71" s="1"/>
      <c r="Z71" s="1"/>
    </row>
    <row r="72" ht="13.5" customHeight="1">
      <c r="A72" s="1"/>
      <c r="B72" s="1" t="s">
        <v>73</v>
      </c>
      <c r="C72" s="57" t="s">
        <v>58</v>
      </c>
      <c r="D72" s="57" t="s">
        <v>152</v>
      </c>
      <c r="E72" s="57" t="s">
        <v>153</v>
      </c>
      <c r="F72" s="1" t="s">
        <v>12</v>
      </c>
      <c r="G72" s="118" t="s">
        <v>165</v>
      </c>
      <c r="H72" s="62">
        <v>0.09125</v>
      </c>
      <c r="I72" s="42">
        <v>47563.0</v>
      </c>
      <c r="J72" s="42">
        <v>45751.0</v>
      </c>
      <c r="K72" s="42">
        <v>45755.0</v>
      </c>
      <c r="L72" s="62">
        <f t="shared" si="1"/>
        <v>0.09347459451</v>
      </c>
      <c r="M72" s="63">
        <v>99.125</v>
      </c>
      <c r="N72" s="63">
        <v>475000.0</v>
      </c>
      <c r="O72" s="15">
        <f t="shared" si="13"/>
        <v>472890.5382</v>
      </c>
      <c r="P72" s="15">
        <f t="shared" si="6"/>
        <v>470843.75</v>
      </c>
      <c r="Q72" s="15">
        <f t="shared" si="14"/>
        <v>2046.788194</v>
      </c>
      <c r="R72" s="15"/>
      <c r="S72" s="3"/>
      <c r="T72" s="3"/>
      <c r="U72" s="1"/>
      <c r="V72" s="1"/>
      <c r="W72" s="1"/>
      <c r="X72" s="1"/>
      <c r="Y72" s="1"/>
      <c r="Z72" s="1"/>
    </row>
    <row r="73" ht="13.5" customHeight="1">
      <c r="A73" s="1"/>
      <c r="B73" s="1" t="s">
        <v>73</v>
      </c>
      <c r="C73" s="57" t="s">
        <v>58</v>
      </c>
      <c r="D73" s="57" t="s">
        <v>152</v>
      </c>
      <c r="E73" s="57" t="s">
        <v>153</v>
      </c>
      <c r="F73" s="1" t="s">
        <v>12</v>
      </c>
      <c r="G73" s="118" t="s">
        <v>165</v>
      </c>
      <c r="H73" s="62">
        <v>0.09125</v>
      </c>
      <c r="I73" s="42">
        <v>47563.0</v>
      </c>
      <c r="J73" s="42">
        <v>45751.0</v>
      </c>
      <c r="K73" s="42">
        <v>45755.0</v>
      </c>
      <c r="L73" s="62">
        <f t="shared" si="1"/>
        <v>0.09283017311</v>
      </c>
      <c r="M73" s="63">
        <v>99.375</v>
      </c>
      <c r="N73" s="63">
        <v>335000.0</v>
      </c>
      <c r="O73" s="15">
        <f t="shared" si="13"/>
        <v>334349.7743</v>
      </c>
      <c r="P73" s="15">
        <f t="shared" si="6"/>
        <v>332906.25</v>
      </c>
      <c r="Q73" s="15">
        <f t="shared" si="14"/>
        <v>1443.524306</v>
      </c>
      <c r="R73" s="15"/>
      <c r="S73" s="3"/>
      <c r="T73" s="3"/>
      <c r="U73" s="1"/>
      <c r="V73" s="1"/>
      <c r="W73" s="1"/>
      <c r="X73" s="1"/>
      <c r="Y73" s="1"/>
      <c r="Z73" s="1"/>
    </row>
    <row r="74" ht="13.5" customHeight="1">
      <c r="A74" s="1"/>
      <c r="B74" s="1" t="s">
        <v>57</v>
      </c>
      <c r="C74" s="57" t="s">
        <v>58</v>
      </c>
      <c r="D74" s="1" t="s">
        <v>74</v>
      </c>
      <c r="E74" s="57" t="s">
        <v>163</v>
      </c>
      <c r="F74" s="1" t="s">
        <v>12</v>
      </c>
      <c r="G74" s="1" t="s">
        <v>160</v>
      </c>
      <c r="H74" s="62">
        <v>0.08375</v>
      </c>
      <c r="I74" s="42">
        <v>47201.0</v>
      </c>
      <c r="J74" s="42">
        <v>45744.0</v>
      </c>
      <c r="K74" s="42">
        <v>45748.0</v>
      </c>
      <c r="L74" s="62">
        <f t="shared" si="1"/>
        <v>0.09183758666</v>
      </c>
      <c r="M74" s="63">
        <v>97.35</v>
      </c>
      <c r="N74" s="63">
        <v>3000000.0</v>
      </c>
      <c r="O74" s="15">
        <f t="shared" si="13"/>
        <v>2925385.417</v>
      </c>
      <c r="P74" s="15">
        <f t="shared" si="6"/>
        <v>2920500</v>
      </c>
      <c r="Q74" s="15">
        <f t="shared" si="14"/>
        <v>4885.416667</v>
      </c>
      <c r="R74" s="15"/>
      <c r="S74" s="3"/>
      <c r="T74" s="3"/>
      <c r="U74" s="1"/>
      <c r="V74" s="1"/>
      <c r="W74" s="1"/>
      <c r="X74" s="1"/>
      <c r="Y74" s="1"/>
      <c r="Z74" s="1"/>
    </row>
    <row r="75" ht="13.5" customHeight="1">
      <c r="A75" s="100"/>
      <c r="B75" s="57" t="s">
        <v>57</v>
      </c>
      <c r="C75" s="57" t="s">
        <v>58</v>
      </c>
      <c r="D75" s="57" t="s">
        <v>74</v>
      </c>
      <c r="E75" s="57" t="s">
        <v>163</v>
      </c>
      <c r="F75" s="57" t="s">
        <v>12</v>
      </c>
      <c r="G75" s="57" t="s">
        <v>101</v>
      </c>
      <c r="H75" s="119">
        <v>0.0875</v>
      </c>
      <c r="I75" s="83">
        <f>IFERROR(VLOOKUP($G75,'Bonds Universe'!$D:$H,3,FALSE), "")</f>
        <v>48318</v>
      </c>
      <c r="J75" s="89">
        <v>45754.0</v>
      </c>
      <c r="K75" s="89">
        <v>45756.0</v>
      </c>
      <c r="L75" s="87">
        <f t="shared" si="1"/>
        <v>0.1400319993</v>
      </c>
      <c r="M75" s="63">
        <v>77.0</v>
      </c>
      <c r="N75" s="63">
        <v>1000000.0</v>
      </c>
      <c r="O75" s="120">
        <v>812534.72</v>
      </c>
      <c r="P75" s="15">
        <f t="shared" si="6"/>
        <v>770000</v>
      </c>
      <c r="Q75" s="15">
        <f t="shared" si="14"/>
        <v>42534.72222</v>
      </c>
      <c r="R75" s="15"/>
      <c r="S75" s="3"/>
      <c r="T75" s="3"/>
      <c r="U75" s="1"/>
      <c r="V75" s="1"/>
      <c r="W75" s="1"/>
      <c r="X75" s="1"/>
      <c r="Y75" s="1"/>
      <c r="Z75" s="1"/>
    </row>
    <row r="76" ht="13.5" customHeight="1">
      <c r="A76" s="100"/>
      <c r="B76" s="57" t="s">
        <v>130</v>
      </c>
      <c r="C76" s="57" t="s">
        <v>58</v>
      </c>
      <c r="D76" s="57" t="s">
        <v>74</v>
      </c>
      <c r="E76" s="57" t="s">
        <v>163</v>
      </c>
      <c r="F76" s="57" t="s">
        <v>12</v>
      </c>
      <c r="G76" s="57" t="s">
        <v>158</v>
      </c>
      <c r="H76" s="87">
        <v>0.07875</v>
      </c>
      <c r="I76" s="89">
        <v>48260.0</v>
      </c>
      <c r="J76" s="89">
        <v>45754.0</v>
      </c>
      <c r="K76" s="89">
        <v>45756.0</v>
      </c>
      <c r="L76" s="87">
        <f t="shared" si="1"/>
        <v>0.1180628661</v>
      </c>
      <c r="M76" s="63">
        <v>81.85</v>
      </c>
      <c r="N76" s="63">
        <v>1000000.0</v>
      </c>
      <c r="O76" s="120">
        <f>IFERROR((N76*M76/100)+ACCRINT(COUPPCD(K76,I76,2,0),COUPNCD(K76,I76,2,0),K76,H76,N76,2,0),N76*M76/100)</f>
        <v>830093.75</v>
      </c>
      <c r="P76" s="15">
        <f t="shared" si="6"/>
        <v>818500</v>
      </c>
      <c r="Q76" s="15">
        <f t="shared" si="14"/>
        <v>11593.75</v>
      </c>
      <c r="R76" s="15"/>
      <c r="S76" s="3"/>
      <c r="T76" s="3"/>
      <c r="U76" s="1"/>
      <c r="V76" s="1"/>
      <c r="W76" s="1"/>
      <c r="X76" s="1"/>
      <c r="Y76" s="1"/>
      <c r="Z76" s="1"/>
    </row>
    <row r="77" ht="13.5" customHeight="1">
      <c r="A77" s="100"/>
      <c r="B77" s="57" t="s">
        <v>130</v>
      </c>
      <c r="C77" s="57" t="s">
        <v>58</v>
      </c>
      <c r="D77" s="57" t="s">
        <v>74</v>
      </c>
      <c r="E77" s="57" t="s">
        <v>163</v>
      </c>
      <c r="F77" s="57" t="s">
        <v>12</v>
      </c>
      <c r="G77" s="57" t="s">
        <v>166</v>
      </c>
      <c r="H77" s="87">
        <v>0.0825</v>
      </c>
      <c r="I77" s="83">
        <f>IFERROR(VLOOKUP($G77,'Bonds Universe'!$D:$H,3,FALSE), "")</f>
        <v>46882</v>
      </c>
      <c r="J77" s="89">
        <v>45754.0</v>
      </c>
      <c r="K77" s="89">
        <v>45756.0</v>
      </c>
      <c r="L77" s="87">
        <f t="shared" si="1"/>
        <v>0.1478556544</v>
      </c>
      <c r="M77" s="63">
        <v>84.25</v>
      </c>
      <c r="N77" s="63">
        <v>1000000.0</v>
      </c>
      <c r="O77" s="120">
        <v>868625.0</v>
      </c>
      <c r="P77" s="15">
        <f t="shared" si="6"/>
        <v>842500</v>
      </c>
      <c r="Q77" s="15">
        <f t="shared" si="14"/>
        <v>34375</v>
      </c>
      <c r="R77" s="15"/>
      <c r="S77" s="3"/>
      <c r="T77" s="3"/>
      <c r="U77" s="1"/>
      <c r="V77" s="1"/>
      <c r="W77" s="1"/>
      <c r="X77" s="1"/>
      <c r="Y77" s="1"/>
      <c r="Z77" s="1"/>
    </row>
    <row r="78" ht="13.5" customHeight="1">
      <c r="A78" s="100"/>
      <c r="B78" s="57" t="s">
        <v>73</v>
      </c>
      <c r="C78" s="57" t="s">
        <v>58</v>
      </c>
      <c r="D78" s="57" t="s">
        <v>74</v>
      </c>
      <c r="E78" s="57" t="s">
        <v>163</v>
      </c>
      <c r="F78" s="57" t="s">
        <v>12</v>
      </c>
      <c r="G78" s="57" t="s">
        <v>168</v>
      </c>
      <c r="H78" s="82">
        <f>IFERROR(VLOOKUP($G78,'Bonds Universe'!$D:$H,2,FALSE), "")</f>
        <v>0.095</v>
      </c>
      <c r="I78" s="83">
        <f>IFERROR(VLOOKUP($G78,'Bonds Universe'!$D:$H,3,FALSE), "")</f>
        <v>45973</v>
      </c>
      <c r="J78" s="89">
        <v>45755.0</v>
      </c>
      <c r="K78" s="89">
        <v>45757.0</v>
      </c>
      <c r="L78" s="87">
        <f t="shared" si="1"/>
        <v>0.1543579573</v>
      </c>
      <c r="M78" s="63">
        <v>96.75</v>
      </c>
      <c r="N78" s="63">
        <v>1000000.0</v>
      </c>
      <c r="O78" s="120">
        <f t="shared" ref="O78:O79" si="15">IFERROR((N78*M78/100)+ACCRINT(COUPPCD(K78,I78,2,0),COUPNCD(K78,I78,2,0),K78,H78,N78,2,0),N78*M78/100)</f>
        <v>1006555.556</v>
      </c>
      <c r="P78" s="15">
        <f t="shared" si="6"/>
        <v>967500</v>
      </c>
      <c r="Q78" s="15">
        <f t="shared" si="14"/>
        <v>39055.55556</v>
      </c>
      <c r="R78" s="15"/>
      <c r="S78" s="3"/>
      <c r="T78" s="3"/>
      <c r="U78" s="1"/>
      <c r="V78" s="1"/>
      <c r="W78" s="1"/>
      <c r="X78" s="1"/>
      <c r="Y78" s="1"/>
      <c r="Z78" s="1"/>
    </row>
    <row r="79" ht="13.5" customHeight="1">
      <c r="A79" s="100"/>
      <c r="B79" s="57" t="s">
        <v>73</v>
      </c>
      <c r="C79" s="57" t="s">
        <v>58</v>
      </c>
      <c r="D79" s="57" t="s">
        <v>74</v>
      </c>
      <c r="E79" s="57" t="s">
        <v>163</v>
      </c>
      <c r="F79" s="57" t="s">
        <v>12</v>
      </c>
      <c r="G79" s="57" t="s">
        <v>169</v>
      </c>
      <c r="H79" s="87">
        <v>0.095</v>
      </c>
      <c r="I79" s="89">
        <v>49739.0</v>
      </c>
      <c r="J79" s="89">
        <v>45755.0</v>
      </c>
      <c r="K79" s="89">
        <v>45757.0</v>
      </c>
      <c r="L79" s="87">
        <f t="shared" si="1"/>
        <v>0.1199857012</v>
      </c>
      <c r="M79" s="63">
        <v>85.0</v>
      </c>
      <c r="N79" s="63">
        <v>1000000.0</v>
      </c>
      <c r="O79" s="27">
        <f t="shared" si="15"/>
        <v>859236.1111</v>
      </c>
      <c r="P79" s="15">
        <f t="shared" si="6"/>
        <v>850000</v>
      </c>
      <c r="Q79" s="15">
        <f t="shared" si="14"/>
        <v>9236.111111</v>
      </c>
      <c r="R79" s="15"/>
      <c r="S79" s="3"/>
      <c r="T79" s="3"/>
      <c r="U79" s="1"/>
      <c r="V79" s="1"/>
      <c r="W79" s="1"/>
      <c r="X79" s="1"/>
      <c r="Y79" s="1"/>
      <c r="Z79" s="1"/>
    </row>
    <row r="80" ht="13.5" customHeight="1">
      <c r="A80" s="100"/>
      <c r="B80" s="57" t="s">
        <v>73</v>
      </c>
      <c r="C80" s="57" t="s">
        <v>58</v>
      </c>
      <c r="D80" s="57" t="s">
        <v>74</v>
      </c>
      <c r="E80" s="57" t="s">
        <v>163</v>
      </c>
      <c r="F80" s="57" t="s">
        <v>12</v>
      </c>
      <c r="G80" s="57" t="s">
        <v>166</v>
      </c>
      <c r="H80" s="87">
        <v>0.0825</v>
      </c>
      <c r="I80" s="83">
        <f>IFERROR(VLOOKUP($G80,'Bonds Universe'!$D:$H,3,FALSE), "")</f>
        <v>46882</v>
      </c>
      <c r="J80" s="89">
        <v>45755.0</v>
      </c>
      <c r="K80" s="89">
        <v>45757.0</v>
      </c>
      <c r="L80" s="87">
        <f t="shared" si="1"/>
        <v>0.1421763454</v>
      </c>
      <c r="M80" s="63">
        <v>85.5</v>
      </c>
      <c r="N80" s="63">
        <v>1000000.0</v>
      </c>
      <c r="O80" s="120">
        <v>881354.17</v>
      </c>
      <c r="P80" s="15">
        <f t="shared" si="6"/>
        <v>855000</v>
      </c>
      <c r="Q80" s="15">
        <f t="shared" si="14"/>
        <v>34604.16667</v>
      </c>
      <c r="R80" s="15"/>
      <c r="S80" s="3"/>
      <c r="T80" s="3"/>
      <c r="U80" s="1"/>
      <c r="V80" s="1"/>
      <c r="W80" s="1"/>
      <c r="X80" s="1"/>
      <c r="Y80" s="1"/>
      <c r="Z80" s="1"/>
    </row>
    <row r="81" ht="13.5" customHeight="1">
      <c r="A81" s="100"/>
      <c r="B81" s="57" t="s">
        <v>73</v>
      </c>
      <c r="C81" s="57" t="s">
        <v>58</v>
      </c>
      <c r="D81" s="57" t="s">
        <v>74</v>
      </c>
      <c r="E81" s="57" t="s">
        <v>163</v>
      </c>
      <c r="F81" s="57" t="s">
        <v>12</v>
      </c>
      <c r="G81" s="57" t="s">
        <v>169</v>
      </c>
      <c r="H81" s="87">
        <v>0.095</v>
      </c>
      <c r="I81" s="89">
        <v>49739.0</v>
      </c>
      <c r="J81" s="89">
        <v>45755.0</v>
      </c>
      <c r="K81" s="89">
        <v>45757.0</v>
      </c>
      <c r="L81" s="87">
        <f t="shared" si="1"/>
        <v>0.1199857012</v>
      </c>
      <c r="M81" s="63">
        <v>85.0</v>
      </c>
      <c r="N81" s="63">
        <v>1000000.0</v>
      </c>
      <c r="O81" s="27">
        <f t="shared" ref="O81:O83" si="16">IFERROR((N81*M81/100)+ACCRINT(COUPPCD(K81,I81,2,0),COUPNCD(K81,I81,2,0),K81,H81,N81,2,0),N81*M81/100)</f>
        <v>859236.1111</v>
      </c>
      <c r="P81" s="15">
        <f t="shared" si="6"/>
        <v>850000</v>
      </c>
      <c r="Q81" s="15">
        <f t="shared" si="14"/>
        <v>9236.111111</v>
      </c>
      <c r="R81" s="15"/>
      <c r="S81" s="3"/>
      <c r="T81" s="3"/>
      <c r="U81" s="1"/>
      <c r="V81" s="1"/>
      <c r="W81" s="1"/>
      <c r="X81" s="1"/>
      <c r="Y81" s="1"/>
      <c r="Z81" s="1"/>
    </row>
    <row r="82" ht="13.5" customHeight="1">
      <c r="A82" s="100"/>
      <c r="B82" s="57" t="s">
        <v>73</v>
      </c>
      <c r="C82" s="57" t="s">
        <v>58</v>
      </c>
      <c r="D82" s="57" t="s">
        <v>74</v>
      </c>
      <c r="E82" s="57" t="s">
        <v>163</v>
      </c>
      <c r="F82" s="57" t="s">
        <v>12</v>
      </c>
      <c r="G82" s="57" t="s">
        <v>169</v>
      </c>
      <c r="H82" s="87">
        <v>0.095</v>
      </c>
      <c r="I82" s="89">
        <v>49739.0</v>
      </c>
      <c r="J82" s="89">
        <v>45755.0</v>
      </c>
      <c r="K82" s="89">
        <v>45757.0</v>
      </c>
      <c r="L82" s="87">
        <f t="shared" si="1"/>
        <v>0.118361783</v>
      </c>
      <c r="M82" s="63">
        <v>85.875</v>
      </c>
      <c r="N82" s="63">
        <v>1100000.0</v>
      </c>
      <c r="O82" s="120">
        <f t="shared" si="16"/>
        <v>954784.7222</v>
      </c>
      <c r="P82" s="15">
        <f t="shared" si="6"/>
        <v>944625</v>
      </c>
      <c r="Q82" s="15">
        <f t="shared" si="14"/>
        <v>10159.72222</v>
      </c>
      <c r="R82" s="15"/>
      <c r="S82" s="3"/>
      <c r="T82" s="3"/>
      <c r="U82" s="1"/>
      <c r="V82" s="1"/>
      <c r="W82" s="1"/>
      <c r="X82" s="1"/>
      <c r="Y82" s="1"/>
      <c r="Z82" s="1"/>
    </row>
    <row r="83" ht="13.5" customHeight="1">
      <c r="A83" s="1"/>
      <c r="B83" s="57" t="s">
        <v>73</v>
      </c>
      <c r="C83" s="57" t="s">
        <v>58</v>
      </c>
      <c r="D83" s="57" t="s">
        <v>74</v>
      </c>
      <c r="E83" s="57" t="s">
        <v>163</v>
      </c>
      <c r="F83" s="57" t="s">
        <v>12</v>
      </c>
      <c r="G83" s="57" t="s">
        <v>170</v>
      </c>
      <c r="H83" s="87">
        <v>0.0825</v>
      </c>
      <c r="I83" s="89">
        <v>55424.0</v>
      </c>
      <c r="J83" s="89">
        <v>45755.0</v>
      </c>
      <c r="K83" s="89">
        <v>45757.0</v>
      </c>
      <c r="L83" s="87">
        <f t="shared" si="1"/>
        <v>0.1137346918</v>
      </c>
      <c r="M83" s="63">
        <v>74.0</v>
      </c>
      <c r="N83" s="63">
        <v>2600000.0</v>
      </c>
      <c r="O83" s="120">
        <f t="shared" si="16"/>
        <v>1931150</v>
      </c>
      <c r="P83" s="15">
        <f t="shared" si="6"/>
        <v>1924000</v>
      </c>
      <c r="Q83" s="15">
        <f t="shared" si="14"/>
        <v>7150</v>
      </c>
      <c r="R83" s="15"/>
      <c r="S83" s="3"/>
      <c r="T83" s="3"/>
      <c r="U83" s="1"/>
      <c r="V83" s="1"/>
      <c r="W83" s="1"/>
      <c r="X83" s="1"/>
      <c r="Y83" s="1"/>
      <c r="Z83" s="1"/>
    </row>
    <row r="84" ht="13.5" customHeight="1">
      <c r="A84" s="71"/>
      <c r="B84" s="57" t="s">
        <v>104</v>
      </c>
      <c r="C84" s="57" t="s">
        <v>58</v>
      </c>
      <c r="D84" s="57" t="s">
        <v>74</v>
      </c>
      <c r="E84" s="57" t="s">
        <v>163</v>
      </c>
      <c r="F84" s="57" t="s">
        <v>12</v>
      </c>
      <c r="G84" s="57" t="s">
        <v>166</v>
      </c>
      <c r="H84" s="87">
        <v>0.0825</v>
      </c>
      <c r="I84" s="89">
        <v>46882.0</v>
      </c>
      <c r="J84" s="89">
        <v>45755.0</v>
      </c>
      <c r="K84" s="89">
        <v>45757.0</v>
      </c>
      <c r="L84" s="87">
        <f t="shared" si="1"/>
        <v>0.1415860178</v>
      </c>
      <c r="M84" s="63">
        <v>85.63</v>
      </c>
      <c r="N84" s="63">
        <v>1900000.0</v>
      </c>
      <c r="O84" s="120">
        <v>1677042.92</v>
      </c>
      <c r="P84" s="15">
        <f t="shared" si="6"/>
        <v>1626970</v>
      </c>
      <c r="Q84" s="15">
        <f t="shared" si="14"/>
        <v>65747.91667</v>
      </c>
      <c r="R84" s="15"/>
      <c r="S84" s="3"/>
      <c r="T84" s="3"/>
      <c r="U84" s="1"/>
      <c r="V84" s="1"/>
      <c r="W84" s="1"/>
      <c r="X84" s="1"/>
      <c r="Y84" s="1"/>
      <c r="Z84" s="1"/>
    </row>
    <row r="85" ht="13.5" customHeight="1">
      <c r="A85" s="71"/>
      <c r="B85" s="57" t="s">
        <v>130</v>
      </c>
      <c r="C85" s="57" t="s">
        <v>58</v>
      </c>
      <c r="D85" s="57" t="s">
        <v>74</v>
      </c>
      <c r="E85" s="57" t="s">
        <v>163</v>
      </c>
      <c r="F85" s="57" t="s">
        <v>12</v>
      </c>
      <c r="G85" s="57" t="s">
        <v>166</v>
      </c>
      <c r="H85" s="87">
        <v>0.0825</v>
      </c>
      <c r="I85" s="89">
        <v>46882.0</v>
      </c>
      <c r="J85" s="89">
        <v>45755.0</v>
      </c>
      <c r="K85" s="89">
        <v>45757.0</v>
      </c>
      <c r="L85" s="87">
        <f t="shared" si="1"/>
        <v>0.1433147492</v>
      </c>
      <c r="M85" s="63">
        <v>85.25</v>
      </c>
      <c r="N85" s="63">
        <v>2000000.0</v>
      </c>
      <c r="O85" s="120">
        <v>1757708.33</v>
      </c>
      <c r="P85" s="15">
        <f t="shared" si="6"/>
        <v>1705000</v>
      </c>
      <c r="Q85" s="15">
        <f t="shared" si="14"/>
        <v>69208.33333</v>
      </c>
      <c r="R85" s="15"/>
      <c r="S85" s="3"/>
      <c r="T85" s="3"/>
      <c r="U85" s="1"/>
      <c r="V85" s="1"/>
      <c r="W85" s="1"/>
      <c r="X85" s="1"/>
      <c r="Y85" s="1"/>
      <c r="Z85" s="1"/>
    </row>
    <row r="86" ht="13.5" customHeight="1">
      <c r="A86" s="71"/>
      <c r="B86" s="57" t="s">
        <v>73</v>
      </c>
      <c r="C86" s="57" t="s">
        <v>58</v>
      </c>
      <c r="D86" s="57" t="s">
        <v>74</v>
      </c>
      <c r="E86" s="57" t="s">
        <v>163</v>
      </c>
      <c r="F86" s="57" t="s">
        <v>12</v>
      </c>
      <c r="G86" s="57" t="s">
        <v>155</v>
      </c>
      <c r="H86" s="87">
        <v>0.09125</v>
      </c>
      <c r="I86" s="83">
        <f>IFERROR(VLOOKUP($G86,'Bonds Universe'!$D:$H,3,FALSE), "")</f>
        <v>46210</v>
      </c>
      <c r="J86" s="89">
        <v>45757.0</v>
      </c>
      <c r="K86" s="89">
        <v>45761.0</v>
      </c>
      <c r="L86" s="87">
        <f t="shared" si="1"/>
        <v>0.1317235052</v>
      </c>
      <c r="M86" s="63">
        <v>95.5</v>
      </c>
      <c r="N86" s="63">
        <v>500000.0</v>
      </c>
      <c r="O86" s="120">
        <f t="shared" ref="O86:O87" si="17">IFERROR((N86*M86/100)+ACCRINT(COUPPCD(K86,I86,2,0),COUPNCD(K86,I86,2,0),K86,H86,N86,2,0),N86*M86/100)</f>
        <v>489793.4028</v>
      </c>
      <c r="P86" s="15">
        <f t="shared" si="6"/>
        <v>477500</v>
      </c>
      <c r="Q86" s="15">
        <f t="shared" si="14"/>
        <v>12293.40278</v>
      </c>
      <c r="R86" s="15"/>
      <c r="S86" s="3"/>
      <c r="T86" s="3"/>
      <c r="U86" s="1"/>
      <c r="V86" s="1"/>
      <c r="W86" s="1"/>
      <c r="X86" s="1"/>
      <c r="Y86" s="1"/>
      <c r="Z86" s="1"/>
    </row>
    <row r="87" ht="13.5" customHeight="1">
      <c r="A87" s="71"/>
      <c r="B87" s="57" t="s">
        <v>73</v>
      </c>
      <c r="C87" s="57" t="s">
        <v>58</v>
      </c>
      <c r="D87" s="57" t="s">
        <v>74</v>
      </c>
      <c r="E87" s="57" t="s">
        <v>163</v>
      </c>
      <c r="F87" s="57" t="s">
        <v>12</v>
      </c>
      <c r="G87" s="57" t="s">
        <v>169</v>
      </c>
      <c r="H87" s="87">
        <v>0.095</v>
      </c>
      <c r="I87" s="89">
        <v>49739.0</v>
      </c>
      <c r="J87" s="89">
        <v>45755.0</v>
      </c>
      <c r="K87" s="89">
        <v>45757.0</v>
      </c>
      <c r="L87" s="62">
        <f t="shared" si="1"/>
        <v>0.1199857012</v>
      </c>
      <c r="M87" s="63">
        <v>85.0</v>
      </c>
      <c r="N87" s="63">
        <v>1000000.0</v>
      </c>
      <c r="O87" s="27">
        <f t="shared" si="17"/>
        <v>859236.1111</v>
      </c>
      <c r="P87" s="15">
        <f t="shared" si="6"/>
        <v>850000</v>
      </c>
      <c r="Q87" s="15">
        <f t="shared" si="14"/>
        <v>9236.111111</v>
      </c>
      <c r="R87" s="15"/>
      <c r="S87" s="3"/>
      <c r="T87" s="3"/>
      <c r="U87" s="1"/>
      <c r="V87" s="1"/>
      <c r="W87" s="1"/>
      <c r="X87" s="1"/>
      <c r="Y87" s="1"/>
      <c r="Z87" s="1"/>
    </row>
    <row r="88" ht="13.5" customHeight="1">
      <c r="A88" s="71"/>
      <c r="B88" s="57" t="s">
        <v>73</v>
      </c>
      <c r="C88" s="57" t="s">
        <v>58</v>
      </c>
      <c r="D88" s="57" t="s">
        <v>74</v>
      </c>
      <c r="E88" s="57" t="s">
        <v>163</v>
      </c>
      <c r="F88" s="57" t="s">
        <v>12</v>
      </c>
      <c r="G88" s="57" t="s">
        <v>166</v>
      </c>
      <c r="H88" s="87">
        <v>0.0825</v>
      </c>
      <c r="I88" s="89">
        <v>46882.0</v>
      </c>
      <c r="J88" s="89">
        <v>45755.0</v>
      </c>
      <c r="K88" s="89">
        <v>45757.0</v>
      </c>
      <c r="L88" s="62">
        <f t="shared" si="1"/>
        <v>0.141608702</v>
      </c>
      <c r="M88" s="63">
        <v>85.625</v>
      </c>
      <c r="N88" s="63">
        <v>2000000.0</v>
      </c>
      <c r="O88" s="27">
        <v>1765208.33</v>
      </c>
      <c r="P88" s="15">
        <f t="shared" si="6"/>
        <v>1712500</v>
      </c>
      <c r="Q88" s="15">
        <f t="shared" si="14"/>
        <v>69208.33333</v>
      </c>
      <c r="R88" s="15"/>
      <c r="S88" s="3"/>
      <c r="T88" s="3"/>
      <c r="U88" s="1"/>
      <c r="V88" s="1"/>
      <c r="W88" s="1"/>
      <c r="X88" s="1"/>
      <c r="Y88" s="1"/>
      <c r="Z88" s="1"/>
    </row>
    <row r="89" ht="13.5" customHeight="1">
      <c r="A89" s="51"/>
      <c r="B89" s="72" t="s">
        <v>73</v>
      </c>
      <c r="C89" s="72" t="s">
        <v>45</v>
      </c>
      <c r="D89" s="72" t="s">
        <v>74</v>
      </c>
      <c r="E89" s="72" t="s">
        <v>163</v>
      </c>
      <c r="F89" s="72" t="s">
        <v>12</v>
      </c>
      <c r="G89" s="72" t="s">
        <v>101</v>
      </c>
      <c r="H89" s="76">
        <v>0.0875</v>
      </c>
      <c r="I89" s="75">
        <v>48318.0</v>
      </c>
      <c r="J89" s="75">
        <v>45771.0</v>
      </c>
      <c r="K89" s="75">
        <v>45775.0</v>
      </c>
      <c r="L89" s="76">
        <f t="shared" si="1"/>
        <v>0.1332981138</v>
      </c>
      <c r="M89" s="77">
        <v>79.625</v>
      </c>
      <c r="N89" s="77">
        <v>1000000.0</v>
      </c>
      <c r="O89" s="121">
        <f t="shared" ref="O89:O92" si="18">IFERROR((N89*M89/100)+ACCRINT(COUPPCD(K89,I89,2,0),COUPNCD(K89,I89,2,0),K89,H89,N89,2,0),N89*M89/100)</f>
        <v>799652.7778</v>
      </c>
      <c r="P89" s="34">
        <f t="shared" si="6"/>
        <v>796250</v>
      </c>
      <c r="Q89" s="34">
        <f t="shared" si="14"/>
        <v>3402.777778</v>
      </c>
      <c r="R89" s="34"/>
      <c r="S89" s="7"/>
      <c r="T89" s="7"/>
      <c r="U89" s="51"/>
      <c r="V89" s="51"/>
      <c r="W89" s="51"/>
      <c r="X89" s="51"/>
      <c r="Y89" s="51"/>
      <c r="Z89" s="51"/>
    </row>
    <row r="90" ht="13.5" customHeight="1">
      <c r="A90" s="51"/>
      <c r="B90" s="72" t="s">
        <v>73</v>
      </c>
      <c r="C90" s="72" t="s">
        <v>58</v>
      </c>
      <c r="D90" s="72" t="s">
        <v>74</v>
      </c>
      <c r="E90" s="72" t="s">
        <v>163</v>
      </c>
      <c r="F90" s="72" t="s">
        <v>12</v>
      </c>
      <c r="G90" s="72" t="s">
        <v>101</v>
      </c>
      <c r="H90" s="76">
        <v>0.0875</v>
      </c>
      <c r="I90" s="75">
        <v>48318.0</v>
      </c>
      <c r="J90" s="75">
        <v>45771.0</v>
      </c>
      <c r="K90" s="75">
        <v>45775.0</v>
      </c>
      <c r="L90" s="76">
        <f t="shared" si="1"/>
        <v>0.1336245785</v>
      </c>
      <c r="M90" s="77">
        <v>79.5</v>
      </c>
      <c r="N90" s="77">
        <v>1000000.0</v>
      </c>
      <c r="O90" s="121">
        <f t="shared" si="18"/>
        <v>798402.7778</v>
      </c>
      <c r="P90" s="34">
        <f t="shared" si="6"/>
        <v>795000</v>
      </c>
      <c r="Q90" s="34">
        <f t="shared" si="14"/>
        <v>3402.777778</v>
      </c>
      <c r="R90" s="34"/>
      <c r="S90" s="7"/>
      <c r="T90" s="7"/>
      <c r="U90" s="51"/>
      <c r="V90" s="51"/>
      <c r="W90" s="51"/>
      <c r="X90" s="51"/>
      <c r="Y90" s="51"/>
      <c r="Z90" s="51"/>
    </row>
    <row r="91" ht="13.5" customHeight="1">
      <c r="A91" s="51"/>
      <c r="B91" s="72" t="s">
        <v>130</v>
      </c>
      <c r="C91" s="72" t="s">
        <v>45</v>
      </c>
      <c r="D91" s="72" t="s">
        <v>74</v>
      </c>
      <c r="E91" s="72" t="s">
        <v>163</v>
      </c>
      <c r="F91" s="72" t="s">
        <v>12</v>
      </c>
      <c r="G91" s="72" t="s">
        <v>101</v>
      </c>
      <c r="H91" s="76">
        <v>0.0875</v>
      </c>
      <c r="I91" s="75">
        <v>48318.0</v>
      </c>
      <c r="J91" s="75">
        <v>45771.0</v>
      </c>
      <c r="K91" s="75">
        <v>45775.0</v>
      </c>
      <c r="L91" s="76">
        <f t="shared" si="1"/>
        <v>0.1342795168</v>
      </c>
      <c r="M91" s="77">
        <v>79.25</v>
      </c>
      <c r="N91" s="77">
        <v>1000000.0</v>
      </c>
      <c r="O91" s="34">
        <f t="shared" si="18"/>
        <v>795902.7778</v>
      </c>
      <c r="P91" s="34">
        <f t="shared" si="6"/>
        <v>792500</v>
      </c>
      <c r="Q91" s="34">
        <f t="shared" si="14"/>
        <v>3402.777778</v>
      </c>
      <c r="R91" s="34"/>
      <c r="S91" s="7"/>
      <c r="T91" s="7"/>
      <c r="U91" s="51"/>
      <c r="V91" s="51"/>
      <c r="W91" s="51"/>
      <c r="X91" s="51"/>
      <c r="Y91" s="51"/>
      <c r="Z91" s="51"/>
    </row>
    <row r="92" ht="13.5" customHeight="1">
      <c r="A92" s="51"/>
      <c r="B92" s="72" t="s">
        <v>172</v>
      </c>
      <c r="C92" s="72" t="s">
        <v>58</v>
      </c>
      <c r="D92" s="72" t="s">
        <v>74</v>
      </c>
      <c r="E92" s="72" t="s">
        <v>163</v>
      </c>
      <c r="F92" s="72" t="s">
        <v>12</v>
      </c>
      <c r="G92" s="72" t="s">
        <v>101</v>
      </c>
      <c r="H92" s="76">
        <v>0.0875</v>
      </c>
      <c r="I92" s="75">
        <v>48318.0</v>
      </c>
      <c r="J92" s="75">
        <v>45771.0</v>
      </c>
      <c r="K92" s="75">
        <v>45775.0</v>
      </c>
      <c r="L92" s="76">
        <f t="shared" si="1"/>
        <v>0.1349371506</v>
      </c>
      <c r="M92" s="77">
        <v>79.0</v>
      </c>
      <c r="N92" s="77">
        <v>1000000.0</v>
      </c>
      <c r="O92" s="34">
        <f t="shared" si="18"/>
        <v>793402.7778</v>
      </c>
      <c r="P92" s="34">
        <f t="shared" si="6"/>
        <v>790000</v>
      </c>
      <c r="Q92" s="34">
        <f t="shared" si="14"/>
        <v>3402.777778</v>
      </c>
      <c r="R92" s="34"/>
      <c r="S92" s="7"/>
      <c r="T92" s="7"/>
      <c r="U92" s="51"/>
      <c r="V92" s="51"/>
      <c r="W92" s="51"/>
      <c r="X92" s="51"/>
      <c r="Y92" s="51"/>
      <c r="Z92" s="51"/>
    </row>
    <row r="93" ht="13.5" customHeight="1">
      <c r="A93" s="1" t="s">
        <v>174</v>
      </c>
      <c r="B93" s="57" t="s">
        <v>118</v>
      </c>
      <c r="C93" s="57" t="s">
        <v>58</v>
      </c>
      <c r="D93" s="57" t="s">
        <v>74</v>
      </c>
      <c r="E93" s="57" t="s">
        <v>163</v>
      </c>
      <c r="F93" s="57" t="s">
        <v>14</v>
      </c>
      <c r="G93" s="57" t="s">
        <v>158</v>
      </c>
      <c r="H93" s="87">
        <v>0.07875</v>
      </c>
      <c r="I93" s="89">
        <v>48260.0</v>
      </c>
      <c r="J93" s="42">
        <v>45782.0</v>
      </c>
      <c r="K93" s="42">
        <v>45783.0</v>
      </c>
      <c r="L93" s="62">
        <f t="shared" si="1"/>
        <v>0.1060751274</v>
      </c>
      <c r="M93" s="63">
        <v>87.0</v>
      </c>
      <c r="N93" s="63">
        <v>200000.0</v>
      </c>
      <c r="O93" s="15">
        <v>139203.2</v>
      </c>
      <c r="P93" s="15"/>
      <c r="Q93" s="15">
        <f t="shared" si="14"/>
        <v>3500</v>
      </c>
      <c r="R93" s="15"/>
      <c r="S93" s="3"/>
      <c r="T93" s="3"/>
      <c r="U93" s="1"/>
      <c r="V93" s="1"/>
      <c r="W93" s="1"/>
      <c r="X93" s="1"/>
      <c r="Y93" s="1"/>
      <c r="Z93" s="1"/>
    </row>
    <row r="94" ht="13.5" customHeight="1">
      <c r="A94" s="1" t="s">
        <v>174</v>
      </c>
      <c r="B94" s="57" t="s">
        <v>118</v>
      </c>
      <c r="C94" s="57" t="s">
        <v>58</v>
      </c>
      <c r="D94" s="57" t="s">
        <v>74</v>
      </c>
      <c r="E94" s="57" t="s">
        <v>163</v>
      </c>
      <c r="F94" s="57" t="s">
        <v>12</v>
      </c>
      <c r="G94" s="57" t="s">
        <v>158</v>
      </c>
      <c r="H94" s="87">
        <v>0.07875</v>
      </c>
      <c r="I94" s="89">
        <v>48260.0</v>
      </c>
      <c r="J94" s="42">
        <v>45782.0</v>
      </c>
      <c r="K94" s="42">
        <v>45784.0</v>
      </c>
      <c r="L94" s="62">
        <f t="shared" si="1"/>
        <v>0.1060834261</v>
      </c>
      <c r="M94" s="63">
        <v>87.0</v>
      </c>
      <c r="N94" s="63">
        <v>200000.0</v>
      </c>
      <c r="O94" s="15">
        <v>139207.07</v>
      </c>
      <c r="P94" s="15"/>
      <c r="Q94" s="15">
        <f t="shared" si="14"/>
        <v>3543.75</v>
      </c>
      <c r="R94" s="15"/>
      <c r="S94" s="3"/>
      <c r="T94" s="3"/>
      <c r="U94" s="1"/>
      <c r="V94" s="1"/>
      <c r="W94" s="1"/>
      <c r="X94" s="1"/>
      <c r="Y94" s="1"/>
      <c r="Z94" s="1"/>
    </row>
    <row r="95" ht="13.5" customHeight="1">
      <c r="A95" s="1"/>
      <c r="B95" s="57" t="s">
        <v>130</v>
      </c>
      <c r="C95" s="57" t="s">
        <v>58</v>
      </c>
      <c r="D95" s="57" t="s">
        <v>74</v>
      </c>
      <c r="E95" s="57" t="s">
        <v>163</v>
      </c>
      <c r="F95" s="57" t="s">
        <v>12</v>
      </c>
      <c r="G95" s="1" t="s">
        <v>162</v>
      </c>
      <c r="H95" s="87">
        <v>0.10375</v>
      </c>
      <c r="I95" s="42">
        <v>49287.0</v>
      </c>
      <c r="J95" s="42">
        <v>45785.0</v>
      </c>
      <c r="K95" s="42">
        <v>45789.0</v>
      </c>
      <c r="L95" s="62">
        <f t="shared" si="1"/>
        <v>0.1105965695</v>
      </c>
      <c r="M95" s="63">
        <v>96.0</v>
      </c>
      <c r="N95" s="63">
        <v>750000.0</v>
      </c>
      <c r="O95" s="15">
        <f t="shared" ref="O95:O100" si="19">IFERROR((N95*M95/100)+ACCRINT(COUPPCD(K95,I95,2,0),COUPNCD(K95,I95,2,0),K95,H95,N95,2,0),N95*M95/100)</f>
        <v>753070.3125</v>
      </c>
      <c r="P95" s="15">
        <f t="shared" ref="P95:P126" si="20">N95*M95/100</f>
        <v>720000</v>
      </c>
      <c r="Q95" s="15">
        <f t="shared" si="14"/>
        <v>33070.3125</v>
      </c>
      <c r="R95" s="15"/>
      <c r="S95" s="3"/>
      <c r="T95" s="3"/>
      <c r="U95" s="1"/>
      <c r="V95" s="1"/>
      <c r="W95" s="1"/>
      <c r="X95" s="1"/>
      <c r="Y95" s="1"/>
      <c r="Z95" s="1"/>
    </row>
    <row r="96" ht="13.5" customHeight="1">
      <c r="A96" s="113"/>
      <c r="B96" s="113" t="s">
        <v>105</v>
      </c>
      <c r="C96" s="113" t="s">
        <v>58</v>
      </c>
      <c r="D96" s="113" t="s">
        <v>74</v>
      </c>
      <c r="E96" s="113" t="s">
        <v>163</v>
      </c>
      <c r="F96" s="113" t="s">
        <v>12</v>
      </c>
      <c r="G96" s="113" t="s">
        <v>101</v>
      </c>
      <c r="H96" s="114">
        <v>0.0875</v>
      </c>
      <c r="I96" s="115">
        <v>48318.0</v>
      </c>
      <c r="J96" s="115">
        <v>45789.0</v>
      </c>
      <c r="K96" s="115">
        <v>45791.0</v>
      </c>
      <c r="L96" s="114">
        <f t="shared" si="1"/>
        <v>0.1289636397</v>
      </c>
      <c r="M96" s="116">
        <v>81.375</v>
      </c>
      <c r="N96" s="116">
        <v>4300000.0</v>
      </c>
      <c r="O96" s="109">
        <f t="shared" si="19"/>
        <v>3530479.167</v>
      </c>
      <c r="P96" s="109">
        <f t="shared" si="20"/>
        <v>3499125</v>
      </c>
      <c r="Q96" s="109">
        <f t="shared" si="14"/>
        <v>31354.16667</v>
      </c>
      <c r="R96" s="109"/>
      <c r="S96" s="117"/>
      <c r="T96" s="117"/>
      <c r="U96" s="113"/>
      <c r="V96" s="113"/>
      <c r="W96" s="113"/>
      <c r="X96" s="113"/>
      <c r="Y96" s="113"/>
      <c r="Z96" s="113"/>
    </row>
    <row r="97" ht="13.5" customHeight="1">
      <c r="A97" s="113"/>
      <c r="B97" s="113" t="s">
        <v>105</v>
      </c>
      <c r="C97" s="113" t="s">
        <v>58</v>
      </c>
      <c r="D97" s="113" t="s">
        <v>74</v>
      </c>
      <c r="E97" s="113" t="s">
        <v>163</v>
      </c>
      <c r="F97" s="113" t="s">
        <v>12</v>
      </c>
      <c r="G97" s="113" t="s">
        <v>169</v>
      </c>
      <c r="H97" s="114">
        <v>0.095</v>
      </c>
      <c r="I97" s="115">
        <v>49739.0</v>
      </c>
      <c r="J97" s="115">
        <v>45789.0</v>
      </c>
      <c r="K97" s="115">
        <v>45791.0</v>
      </c>
      <c r="L97" s="114">
        <f t="shared" si="1"/>
        <v>0.109349047</v>
      </c>
      <c r="M97" s="116">
        <v>91.0</v>
      </c>
      <c r="N97" s="116">
        <v>3500000.0</v>
      </c>
      <c r="O97" s="109">
        <f t="shared" si="19"/>
        <v>3248729.167</v>
      </c>
      <c r="P97" s="109">
        <f t="shared" si="20"/>
        <v>3185000</v>
      </c>
      <c r="Q97" s="109">
        <f t="shared" si="14"/>
        <v>63729.16667</v>
      </c>
      <c r="R97" s="109"/>
      <c r="S97" s="117"/>
      <c r="T97" s="117"/>
      <c r="U97" s="113"/>
      <c r="V97" s="113"/>
      <c r="W97" s="113"/>
      <c r="X97" s="113"/>
      <c r="Y97" s="113"/>
      <c r="Z97" s="113"/>
    </row>
    <row r="98" ht="13.5" customHeight="1">
      <c r="A98" s="113"/>
      <c r="B98" s="113" t="s">
        <v>105</v>
      </c>
      <c r="C98" s="113" t="s">
        <v>58</v>
      </c>
      <c r="D98" s="113" t="s">
        <v>74</v>
      </c>
      <c r="E98" s="113" t="s">
        <v>163</v>
      </c>
      <c r="F98" s="113" t="s">
        <v>12</v>
      </c>
      <c r="G98" s="113" t="s">
        <v>101</v>
      </c>
      <c r="H98" s="114">
        <v>0.0875</v>
      </c>
      <c r="I98" s="115">
        <v>48318.0</v>
      </c>
      <c r="J98" s="115">
        <v>45789.0</v>
      </c>
      <c r="K98" s="115">
        <v>45791.0</v>
      </c>
      <c r="L98" s="114">
        <f t="shared" si="1"/>
        <v>0.1289636397</v>
      </c>
      <c r="M98" s="116">
        <v>81.375</v>
      </c>
      <c r="N98" s="116">
        <v>3000000.0</v>
      </c>
      <c r="O98" s="109">
        <f t="shared" si="19"/>
        <v>2463125</v>
      </c>
      <c r="P98" s="109">
        <f t="shared" si="20"/>
        <v>2441250</v>
      </c>
      <c r="Q98" s="109">
        <f t="shared" si="14"/>
        <v>21875</v>
      </c>
      <c r="R98" s="109"/>
      <c r="S98" s="117"/>
      <c r="T98" s="117"/>
      <c r="U98" s="113"/>
      <c r="V98" s="113"/>
      <c r="W98" s="113"/>
      <c r="X98" s="113"/>
      <c r="Y98" s="113"/>
      <c r="Z98" s="113"/>
    </row>
    <row r="99" ht="13.5" customHeight="1">
      <c r="A99" s="113"/>
      <c r="B99" s="113" t="s">
        <v>105</v>
      </c>
      <c r="C99" s="113" t="s">
        <v>58</v>
      </c>
      <c r="D99" s="113" t="s">
        <v>74</v>
      </c>
      <c r="E99" s="113" t="s">
        <v>163</v>
      </c>
      <c r="F99" s="113" t="s">
        <v>12</v>
      </c>
      <c r="G99" s="113" t="s">
        <v>169</v>
      </c>
      <c r="H99" s="114">
        <v>0.095</v>
      </c>
      <c r="I99" s="115">
        <v>49739.0</v>
      </c>
      <c r="J99" s="115">
        <v>45789.0</v>
      </c>
      <c r="K99" s="115">
        <v>45791.0</v>
      </c>
      <c r="L99" s="114">
        <f t="shared" si="1"/>
        <v>0.1097765391</v>
      </c>
      <c r="M99" s="116">
        <v>90.75</v>
      </c>
      <c r="N99" s="116">
        <v>3700000.0</v>
      </c>
      <c r="O99" s="109">
        <f t="shared" si="19"/>
        <v>3425120.833</v>
      </c>
      <c r="P99" s="109">
        <f t="shared" si="20"/>
        <v>3357750</v>
      </c>
      <c r="Q99" s="109">
        <f t="shared" si="14"/>
        <v>67370.83333</v>
      </c>
      <c r="R99" s="109"/>
      <c r="S99" s="117"/>
      <c r="T99" s="117"/>
      <c r="U99" s="113"/>
      <c r="V99" s="113"/>
      <c r="W99" s="113"/>
      <c r="X99" s="113"/>
      <c r="Y99" s="113"/>
      <c r="Z99" s="113"/>
    </row>
    <row r="100" ht="13.5" customHeight="1">
      <c r="A100" s="113"/>
      <c r="B100" s="113" t="s">
        <v>57</v>
      </c>
      <c r="C100" s="113" t="s">
        <v>58</v>
      </c>
      <c r="D100" s="113" t="s">
        <v>74</v>
      </c>
      <c r="E100" s="113" t="s">
        <v>163</v>
      </c>
      <c r="F100" s="113" t="s">
        <v>12</v>
      </c>
      <c r="G100" s="113" t="s">
        <v>101</v>
      </c>
      <c r="H100" s="114">
        <v>0.0875</v>
      </c>
      <c r="I100" s="115">
        <v>48318.0</v>
      </c>
      <c r="J100" s="115">
        <v>45786.0</v>
      </c>
      <c r="K100" s="115">
        <v>45791.0</v>
      </c>
      <c r="L100" s="114">
        <f t="shared" si="1"/>
        <v>0.1372615881</v>
      </c>
      <c r="M100" s="116">
        <v>78.2</v>
      </c>
      <c r="N100" s="116">
        <v>1000000.0</v>
      </c>
      <c r="O100" s="109">
        <f t="shared" si="19"/>
        <v>789291.6667</v>
      </c>
      <c r="P100" s="109">
        <f t="shared" si="20"/>
        <v>782000</v>
      </c>
      <c r="Q100" s="109">
        <f t="shared" si="14"/>
        <v>7291.666667</v>
      </c>
      <c r="R100" s="109"/>
      <c r="S100" s="117"/>
      <c r="T100" s="117"/>
      <c r="U100" s="113"/>
      <c r="V100" s="113"/>
      <c r="W100" s="113"/>
      <c r="X100" s="113"/>
      <c r="Y100" s="113"/>
      <c r="Z100" s="113"/>
    </row>
    <row r="101" ht="13.5" customHeight="1">
      <c r="A101" s="1" t="s">
        <v>174</v>
      </c>
      <c r="B101" s="57" t="s">
        <v>118</v>
      </c>
      <c r="C101" s="1" t="s">
        <v>58</v>
      </c>
      <c r="D101" s="1" t="s">
        <v>74</v>
      </c>
      <c r="E101" s="57" t="s">
        <v>163</v>
      </c>
      <c r="F101" s="57" t="s">
        <v>14</v>
      </c>
      <c r="G101" s="118" t="s">
        <v>155</v>
      </c>
      <c r="H101" s="62">
        <v>0.09125</v>
      </c>
      <c r="I101" s="42">
        <f>IFERROR(VLOOKUP($G101,'Bonds Universe'!$D:$H,3,FALSE), "")</f>
        <v>46210</v>
      </c>
      <c r="J101" s="42">
        <v>45790.0</v>
      </c>
      <c r="K101" s="42">
        <v>45791.0</v>
      </c>
      <c r="L101" s="62">
        <f t="shared" si="1"/>
        <v>0.1503790735</v>
      </c>
      <c r="M101" s="63">
        <v>93.94</v>
      </c>
      <c r="N101" s="63">
        <v>500000.0</v>
      </c>
      <c r="O101" s="27">
        <f t="shared" ref="O101:O102" si="21">IFERROR((N101*M101/100)+ACCRINT(COUPPCD(K101,I101,2,0),COUPNCD(K101,I101,2,0),K101,H101,N101,2,0),N101*M101/100)*0.65</f>
        <v>315767.066</v>
      </c>
      <c r="P101" s="15">
        <f t="shared" si="20"/>
        <v>469700</v>
      </c>
      <c r="Q101" s="15">
        <f t="shared" si="14"/>
        <v>16095.48611</v>
      </c>
      <c r="R101" s="15"/>
      <c r="S101" s="3"/>
      <c r="T101" s="3"/>
      <c r="U101" s="1"/>
      <c r="V101" s="1"/>
      <c r="W101" s="1"/>
      <c r="X101" s="1"/>
      <c r="Y101" s="1"/>
      <c r="Z101" s="1"/>
    </row>
    <row r="102" ht="13.5" customHeight="1">
      <c r="A102" s="1" t="s">
        <v>174</v>
      </c>
      <c r="B102" s="57" t="s">
        <v>118</v>
      </c>
      <c r="C102" s="1" t="s">
        <v>45</v>
      </c>
      <c r="D102" s="1" t="s">
        <v>74</v>
      </c>
      <c r="E102" s="57" t="s">
        <v>163</v>
      </c>
      <c r="F102" s="57" t="s">
        <v>14</v>
      </c>
      <c r="G102" s="118" t="s">
        <v>155</v>
      </c>
      <c r="H102" s="62">
        <v>0.09125</v>
      </c>
      <c r="I102" s="42">
        <f>IFERROR(VLOOKUP($G102,'Bonds Universe'!$D:$H,3,FALSE), "")</f>
        <v>46210</v>
      </c>
      <c r="J102" s="42">
        <v>45790.0</v>
      </c>
      <c r="K102" s="42">
        <v>45791.0</v>
      </c>
      <c r="L102" s="62">
        <f t="shared" si="1"/>
        <v>0.1503790735</v>
      </c>
      <c r="M102" s="63">
        <v>93.94</v>
      </c>
      <c r="N102" s="63">
        <v>2000000.0</v>
      </c>
      <c r="O102" s="27">
        <f t="shared" si="21"/>
        <v>1263068.264</v>
      </c>
      <c r="P102" s="15">
        <f t="shared" si="20"/>
        <v>1878800</v>
      </c>
      <c r="Q102" s="15">
        <f t="shared" si="14"/>
        <v>64381.94444</v>
      </c>
      <c r="R102" s="15"/>
      <c r="S102" s="3"/>
      <c r="T102" s="3"/>
      <c r="U102" s="1"/>
      <c r="V102" s="1"/>
      <c r="W102" s="1"/>
      <c r="X102" s="1"/>
      <c r="Y102" s="1"/>
      <c r="Z102" s="1"/>
    </row>
    <row r="103" ht="13.5" customHeight="1">
      <c r="A103" s="1" t="s">
        <v>174</v>
      </c>
      <c r="B103" s="57" t="s">
        <v>118</v>
      </c>
      <c r="C103" s="1" t="s">
        <v>58</v>
      </c>
      <c r="D103" s="1" t="s">
        <v>74</v>
      </c>
      <c r="E103" s="57" t="s">
        <v>163</v>
      </c>
      <c r="F103" s="57" t="s">
        <v>14</v>
      </c>
      <c r="G103" s="1" t="s">
        <v>164</v>
      </c>
      <c r="H103" s="62">
        <v>0.08747</v>
      </c>
      <c r="I103" s="89">
        <v>47869.0</v>
      </c>
      <c r="J103" s="42">
        <v>45790.0</v>
      </c>
      <c r="K103" s="42">
        <v>45791.0</v>
      </c>
      <c r="L103" s="62">
        <f t="shared" si="1"/>
        <v>0.1008306667</v>
      </c>
      <c r="M103" s="63">
        <v>94.298</v>
      </c>
      <c r="N103" s="63">
        <v>1100000.0</v>
      </c>
      <c r="O103" s="27">
        <f t="shared" ref="O103:O105" si="22">IFERROR((N103*M103/100)+ACCRINT(COUPPCD(K103,I103,2,0),COUPNCD(K103,I103,2,0),K103,H103,N103,2,0),N103*M103/100)*0.8</f>
        <v>853983.5578</v>
      </c>
      <c r="P103" s="15">
        <f t="shared" si="20"/>
        <v>1037278</v>
      </c>
      <c r="Q103" s="15">
        <f t="shared" si="14"/>
        <v>30201.44722</v>
      </c>
      <c r="R103" s="15"/>
      <c r="S103" s="9"/>
      <c r="T103" s="3"/>
      <c r="U103" s="1"/>
      <c r="V103" s="1"/>
      <c r="W103" s="1"/>
      <c r="X103" s="1"/>
      <c r="Y103" s="1"/>
      <c r="Z103" s="1"/>
    </row>
    <row r="104" ht="13.5" customHeight="1">
      <c r="A104" s="1" t="s">
        <v>174</v>
      </c>
      <c r="B104" s="57" t="s">
        <v>118</v>
      </c>
      <c r="C104" s="1" t="s">
        <v>58</v>
      </c>
      <c r="D104" s="1" t="s">
        <v>74</v>
      </c>
      <c r="E104" s="57" t="s">
        <v>163</v>
      </c>
      <c r="F104" s="57" t="s">
        <v>14</v>
      </c>
      <c r="G104" s="1" t="s">
        <v>160</v>
      </c>
      <c r="H104" s="123">
        <v>0.08375</v>
      </c>
      <c r="I104" s="42">
        <v>47201.0</v>
      </c>
      <c r="J104" s="42">
        <v>45790.0</v>
      </c>
      <c r="K104" s="42">
        <v>45791.0</v>
      </c>
      <c r="L104" s="62">
        <f t="shared" si="1"/>
        <v>0.09499350193</v>
      </c>
      <c r="M104" s="63">
        <v>96.416</v>
      </c>
      <c r="N104" s="63">
        <v>4100000.0</v>
      </c>
      <c r="O104" s="27">
        <f t="shared" si="22"/>
        <v>3200597.578</v>
      </c>
      <c r="P104" s="15">
        <f t="shared" si="20"/>
        <v>3953056</v>
      </c>
      <c r="Q104" s="15">
        <f t="shared" si="14"/>
        <v>47690.97222</v>
      </c>
      <c r="R104" s="15"/>
      <c r="S104" s="3"/>
      <c r="T104" s="3"/>
      <c r="U104" s="1"/>
      <c r="V104" s="1"/>
      <c r="W104" s="1"/>
      <c r="X104" s="1"/>
      <c r="Y104" s="1"/>
      <c r="Z104" s="1"/>
    </row>
    <row r="105" ht="13.5" customHeight="1">
      <c r="A105" s="1" t="s">
        <v>174</v>
      </c>
      <c r="B105" s="57" t="s">
        <v>118</v>
      </c>
      <c r="C105" s="1" t="s">
        <v>58</v>
      </c>
      <c r="D105" s="1" t="s">
        <v>74</v>
      </c>
      <c r="E105" s="57" t="s">
        <v>163</v>
      </c>
      <c r="F105" s="57" t="s">
        <v>14</v>
      </c>
      <c r="G105" s="118" t="s">
        <v>176</v>
      </c>
      <c r="H105" s="62">
        <v>0.0825</v>
      </c>
      <c r="I105" s="42">
        <v>55424.0</v>
      </c>
      <c r="J105" s="42">
        <v>45790.0</v>
      </c>
      <c r="K105" s="42">
        <v>45791.0</v>
      </c>
      <c r="L105" s="62">
        <f t="shared" si="1"/>
        <v>0.108194544</v>
      </c>
      <c r="M105" s="63">
        <v>77.706</v>
      </c>
      <c r="N105" s="63">
        <v>2600000.0</v>
      </c>
      <c r="O105" s="27">
        <f t="shared" si="22"/>
        <v>1638211.467</v>
      </c>
      <c r="P105" s="15">
        <f t="shared" si="20"/>
        <v>2020356</v>
      </c>
      <c r="Q105" s="15">
        <f t="shared" si="14"/>
        <v>27408.33333</v>
      </c>
      <c r="R105" s="15"/>
      <c r="S105" s="3"/>
      <c r="T105" s="3"/>
      <c r="U105" s="1"/>
      <c r="V105" s="1"/>
      <c r="W105" s="1"/>
      <c r="X105" s="1"/>
      <c r="Y105" s="1"/>
      <c r="Z105" s="1"/>
    </row>
    <row r="106" ht="13.5" customHeight="1">
      <c r="A106" s="1" t="s">
        <v>174</v>
      </c>
      <c r="B106" s="57" t="s">
        <v>118</v>
      </c>
      <c r="C106" s="1" t="s">
        <v>58</v>
      </c>
      <c r="D106" s="1" t="s">
        <v>74</v>
      </c>
      <c r="E106" s="57" t="s">
        <v>163</v>
      </c>
      <c r="F106" s="57" t="s">
        <v>14</v>
      </c>
      <c r="G106" s="1" t="s">
        <v>166</v>
      </c>
      <c r="H106" s="62">
        <v>0.0825</v>
      </c>
      <c r="I106" s="42">
        <v>46882.0</v>
      </c>
      <c r="J106" s="42">
        <v>45790.0</v>
      </c>
      <c r="K106" s="42">
        <v>45791.0</v>
      </c>
      <c r="L106" s="62">
        <f t="shared" si="1"/>
        <v>0.1256561257</v>
      </c>
      <c r="M106" s="63">
        <v>89.52</v>
      </c>
      <c r="N106" s="63">
        <v>7900000.0</v>
      </c>
      <c r="O106" s="27">
        <v>5873465.66</v>
      </c>
      <c r="P106" s="15">
        <f t="shared" si="20"/>
        <v>7072080</v>
      </c>
      <c r="Q106" s="15">
        <f t="shared" si="14"/>
        <v>9052.083333</v>
      </c>
      <c r="R106" s="15"/>
      <c r="S106" s="3"/>
      <c r="T106" s="3"/>
      <c r="U106" s="1"/>
      <c r="V106" s="1"/>
      <c r="W106" s="1"/>
      <c r="X106" s="1"/>
      <c r="Y106" s="1"/>
      <c r="Z106" s="1"/>
    </row>
    <row r="107" ht="13.5" customHeight="1">
      <c r="A107" s="1" t="s">
        <v>174</v>
      </c>
      <c r="B107" s="57" t="s">
        <v>118</v>
      </c>
      <c r="C107" s="1" t="s">
        <v>58</v>
      </c>
      <c r="D107" s="1" t="s">
        <v>74</v>
      </c>
      <c r="E107" s="57" t="s">
        <v>163</v>
      </c>
      <c r="F107" s="57" t="s">
        <v>14</v>
      </c>
      <c r="G107" s="1" t="s">
        <v>158</v>
      </c>
      <c r="H107" s="62">
        <v>0.07875</v>
      </c>
      <c r="I107" s="42">
        <v>48260.0</v>
      </c>
      <c r="J107" s="42">
        <v>45790.0</v>
      </c>
      <c r="K107" s="42">
        <v>45791.0</v>
      </c>
      <c r="L107" s="62">
        <f t="shared" si="1"/>
        <v>0.1019421659</v>
      </c>
      <c r="M107" s="63">
        <v>88.847</v>
      </c>
      <c r="N107" s="63">
        <v>1000000.0</v>
      </c>
      <c r="O107" s="27">
        <f>IFERROR((N107*M107/100)+ACCRINT(COUPPCD(K107,I107,2,0),COUPNCD(K107,I107,2,0),K107,H107,N107,2,0),N107*M107/100)*0.8</f>
        <v>726176</v>
      </c>
      <c r="P107" s="15">
        <f t="shared" si="20"/>
        <v>888470</v>
      </c>
      <c r="Q107" s="15">
        <f t="shared" si="14"/>
        <v>19250</v>
      </c>
      <c r="R107" s="15"/>
      <c r="S107" s="3"/>
      <c r="T107" s="3"/>
      <c r="U107" s="1"/>
      <c r="V107" s="1"/>
      <c r="W107" s="1"/>
      <c r="X107" s="1"/>
      <c r="Y107" s="1"/>
      <c r="Z107" s="1"/>
    </row>
    <row r="108" ht="13.5" customHeight="1">
      <c r="A108" s="1" t="s">
        <v>174</v>
      </c>
      <c r="B108" s="57" t="s">
        <v>118</v>
      </c>
      <c r="C108" s="1" t="s">
        <v>58</v>
      </c>
      <c r="D108" s="1" t="s">
        <v>74</v>
      </c>
      <c r="E108" s="57" t="s">
        <v>163</v>
      </c>
      <c r="F108" s="57" t="s">
        <v>14</v>
      </c>
      <c r="G108" s="1" t="s">
        <v>168</v>
      </c>
      <c r="H108" s="62">
        <v>0.095</v>
      </c>
      <c r="I108" s="42">
        <v>45973.0</v>
      </c>
      <c r="J108" s="42">
        <v>45790.0</v>
      </c>
      <c r="K108" s="42">
        <v>45791.0</v>
      </c>
      <c r="L108" s="62">
        <f t="shared" si="1"/>
        <v>0.1099971777</v>
      </c>
      <c r="M108" s="63">
        <v>99.294</v>
      </c>
      <c r="N108" s="63">
        <v>1000000.0</v>
      </c>
      <c r="O108" s="124">
        <v>794774.0</v>
      </c>
      <c r="P108" s="15">
        <f t="shared" si="20"/>
        <v>992940</v>
      </c>
      <c r="Q108" s="15">
        <f t="shared" si="14"/>
        <v>527.7777778</v>
      </c>
      <c r="R108" s="15"/>
      <c r="S108" s="3"/>
      <c r="T108" s="3"/>
      <c r="U108" s="1"/>
      <c r="V108" s="1"/>
      <c r="W108" s="1"/>
      <c r="X108" s="1"/>
      <c r="Y108" s="1"/>
      <c r="Z108" s="1"/>
    </row>
    <row r="109" ht="13.5" customHeight="1">
      <c r="A109" s="1" t="s">
        <v>174</v>
      </c>
      <c r="B109" s="57" t="s">
        <v>118</v>
      </c>
      <c r="C109" s="1" t="s">
        <v>58</v>
      </c>
      <c r="D109" s="1" t="s">
        <v>74</v>
      </c>
      <c r="E109" s="57" t="s">
        <v>163</v>
      </c>
      <c r="F109" s="57" t="s">
        <v>14</v>
      </c>
      <c r="G109" s="1" t="s">
        <v>169</v>
      </c>
      <c r="H109" s="62">
        <v>0.095</v>
      </c>
      <c r="I109" s="42">
        <v>49739.0</v>
      </c>
      <c r="J109" s="42">
        <v>45790.0</v>
      </c>
      <c r="K109" s="42">
        <v>45791.0</v>
      </c>
      <c r="L109" s="62">
        <f t="shared" si="1"/>
        <v>0.1100956559</v>
      </c>
      <c r="M109" s="63">
        <v>90.564</v>
      </c>
      <c r="N109" s="63">
        <v>4100000.0</v>
      </c>
      <c r="O109" s="27">
        <f t="shared" ref="O109:O111" si="23">IFERROR((N109*M109/100)+ACCRINT(COUPPCD(K109,I109,2,0),COUPNCD(K109,I109,2,0),K109,H109,N109,2,0),N109*M109/100)*0.8</f>
        <v>3030222.533</v>
      </c>
      <c r="P109" s="15">
        <f t="shared" si="20"/>
        <v>3713124</v>
      </c>
      <c r="Q109" s="15">
        <f t="shared" si="14"/>
        <v>74654.16667</v>
      </c>
      <c r="R109" s="15"/>
      <c r="S109" s="3"/>
      <c r="T109" s="3"/>
      <c r="U109" s="1"/>
      <c r="V109" s="1"/>
      <c r="W109" s="1"/>
      <c r="X109" s="1"/>
      <c r="Y109" s="1"/>
      <c r="Z109" s="1"/>
    </row>
    <row r="110" ht="13.5" customHeight="1">
      <c r="A110" s="1" t="s">
        <v>174</v>
      </c>
      <c r="B110" s="57" t="s">
        <v>118</v>
      </c>
      <c r="C110" s="1" t="s">
        <v>45</v>
      </c>
      <c r="D110" s="1" t="s">
        <v>74</v>
      </c>
      <c r="E110" s="57" t="s">
        <v>163</v>
      </c>
      <c r="F110" s="57" t="s">
        <v>14</v>
      </c>
      <c r="G110" s="57" t="s">
        <v>101</v>
      </c>
      <c r="H110" s="62">
        <v>0.0875</v>
      </c>
      <c r="I110" s="42">
        <v>48318.0</v>
      </c>
      <c r="J110" s="42">
        <v>45790.0</v>
      </c>
      <c r="K110" s="42">
        <v>45791.0</v>
      </c>
      <c r="L110" s="62">
        <f t="shared" si="1"/>
        <v>0.1257786817</v>
      </c>
      <c r="M110" s="63">
        <v>82.638</v>
      </c>
      <c r="N110" s="63">
        <v>2000000.0</v>
      </c>
      <c r="O110" s="27">
        <f t="shared" si="23"/>
        <v>1333874.667</v>
      </c>
      <c r="P110" s="15">
        <f t="shared" si="20"/>
        <v>1652760</v>
      </c>
      <c r="Q110" s="15">
        <f t="shared" si="14"/>
        <v>14583.33333</v>
      </c>
      <c r="R110" s="15"/>
      <c r="S110" s="3"/>
      <c r="T110" s="3"/>
      <c r="U110" s="1"/>
      <c r="V110" s="1"/>
      <c r="W110" s="1"/>
      <c r="X110" s="1"/>
      <c r="Y110" s="1"/>
      <c r="Z110" s="1"/>
    </row>
    <row r="111">
      <c r="A111" s="1" t="s">
        <v>174</v>
      </c>
      <c r="B111" s="57" t="s">
        <v>118</v>
      </c>
      <c r="C111" s="1" t="s">
        <v>58</v>
      </c>
      <c r="D111" s="1" t="s">
        <v>74</v>
      </c>
      <c r="E111" s="57" t="s">
        <v>163</v>
      </c>
      <c r="F111" s="57" t="s">
        <v>14</v>
      </c>
      <c r="G111" s="57" t="s">
        <v>101</v>
      </c>
      <c r="H111" s="62">
        <v>0.0875</v>
      </c>
      <c r="I111" s="42">
        <v>48318.0</v>
      </c>
      <c r="J111" s="42">
        <v>45790.0</v>
      </c>
      <c r="K111" s="42">
        <v>45791.0</v>
      </c>
      <c r="L111" s="62">
        <f t="shared" si="1"/>
        <v>0.125776185</v>
      </c>
      <c r="M111" s="63">
        <v>82.639</v>
      </c>
      <c r="N111" s="63">
        <v>3000000.0</v>
      </c>
      <c r="O111" s="27">
        <f t="shared" si="23"/>
        <v>2000836</v>
      </c>
      <c r="P111" s="15">
        <f t="shared" si="20"/>
        <v>2479170</v>
      </c>
      <c r="Q111" s="15">
        <f t="shared" si="14"/>
        <v>21875</v>
      </c>
      <c r="R111" s="15"/>
      <c r="S111" s="3"/>
      <c r="T111" s="3"/>
      <c r="U111" s="1"/>
      <c r="V111" s="1"/>
      <c r="W111" s="1"/>
      <c r="X111" s="1"/>
      <c r="Y111" s="1"/>
      <c r="Z111" s="1"/>
    </row>
    <row r="112" ht="13.5" customHeight="1">
      <c r="A112" s="1" t="s">
        <v>179</v>
      </c>
      <c r="B112" s="57" t="s">
        <v>118</v>
      </c>
      <c r="C112" s="1" t="s">
        <v>58</v>
      </c>
      <c r="D112" s="1" t="s">
        <v>74</v>
      </c>
      <c r="E112" s="57" t="s">
        <v>163</v>
      </c>
      <c r="F112" s="57" t="s">
        <v>12</v>
      </c>
      <c r="G112" s="1" t="s">
        <v>168</v>
      </c>
      <c r="H112" s="62">
        <v>0.095</v>
      </c>
      <c r="I112" s="42">
        <v>45973.0</v>
      </c>
      <c r="J112" s="42">
        <v>45791.0</v>
      </c>
      <c r="K112" s="42">
        <v>45792.0</v>
      </c>
      <c r="L112" s="62">
        <f t="shared" si="1"/>
        <v>0.1100491468</v>
      </c>
      <c r="M112" s="63">
        <v>99.294</v>
      </c>
      <c r="N112" s="63">
        <v>1000000.0</v>
      </c>
      <c r="O112" s="124">
        <v>794906.68</v>
      </c>
      <c r="P112" s="15">
        <f t="shared" si="20"/>
        <v>992940</v>
      </c>
      <c r="Q112" s="15">
        <f t="shared" si="14"/>
        <v>791.6666667</v>
      </c>
      <c r="R112" s="15"/>
      <c r="S112" s="3"/>
      <c r="T112" s="3"/>
      <c r="U112" s="1"/>
      <c r="V112" s="1"/>
      <c r="W112" s="1"/>
      <c r="X112" s="1"/>
      <c r="Y112" s="1"/>
      <c r="Z112" s="1"/>
    </row>
    <row r="113" ht="13.5" customHeight="1">
      <c r="A113" s="125"/>
      <c r="B113" s="125" t="s">
        <v>73</v>
      </c>
      <c r="C113" s="125" t="s">
        <v>58</v>
      </c>
      <c r="D113" s="125" t="s">
        <v>74</v>
      </c>
      <c r="E113" s="125" t="s">
        <v>153</v>
      </c>
      <c r="F113" s="125" t="s">
        <v>14</v>
      </c>
      <c r="G113" s="125" t="s">
        <v>168</v>
      </c>
      <c r="H113" s="126">
        <v>0.095</v>
      </c>
      <c r="I113" s="127">
        <v>45973.0</v>
      </c>
      <c r="J113" s="127">
        <v>45791.0</v>
      </c>
      <c r="K113" s="127">
        <v>45793.0</v>
      </c>
      <c r="L113" s="126">
        <f t="shared" si="1"/>
        <v>0.1029478418</v>
      </c>
      <c r="M113" s="129">
        <v>99.625</v>
      </c>
      <c r="N113" s="129">
        <v>1000000.0</v>
      </c>
      <c r="O113" s="124">
        <f t="shared" ref="O113:O116" si="24">IFERROR((N113*M113/100)+ACCRINT(COUPPCD(K113,I113,2,0),COUPNCD(K113,I113,2,0),K113,H113,N113,2,0),N113*M113/100)</f>
        <v>997305.5556</v>
      </c>
      <c r="P113" s="124">
        <f t="shared" si="20"/>
        <v>996250</v>
      </c>
      <c r="Q113" s="124">
        <f t="shared" si="14"/>
        <v>1055.555556</v>
      </c>
      <c r="R113" s="124"/>
      <c r="S113" s="130"/>
      <c r="T113" s="130"/>
      <c r="U113" s="125"/>
      <c r="V113" s="125"/>
      <c r="W113" s="125"/>
      <c r="X113" s="125"/>
      <c r="Y113" s="125"/>
      <c r="Z113" s="125"/>
    </row>
    <row r="114" ht="13.5" customHeight="1">
      <c r="A114" s="113"/>
      <c r="B114" s="113" t="s">
        <v>73</v>
      </c>
      <c r="C114" s="113" t="s">
        <v>58</v>
      </c>
      <c r="D114" s="113" t="s">
        <v>74</v>
      </c>
      <c r="E114" s="113" t="s">
        <v>153</v>
      </c>
      <c r="F114" s="113" t="s">
        <v>12</v>
      </c>
      <c r="G114" s="113" t="s">
        <v>162</v>
      </c>
      <c r="H114" s="114">
        <v>0.10375</v>
      </c>
      <c r="I114" s="115">
        <v>49287.0</v>
      </c>
      <c r="J114" s="115">
        <v>45791.0</v>
      </c>
      <c r="K114" s="115">
        <v>45793.0</v>
      </c>
      <c r="L114" s="114">
        <f t="shared" si="1"/>
        <v>0.1047754021</v>
      </c>
      <c r="M114" s="116">
        <v>99.375</v>
      </c>
      <c r="N114" s="116">
        <v>3750000.0</v>
      </c>
      <c r="O114" s="109">
        <f t="shared" si="24"/>
        <v>3896236.979</v>
      </c>
      <c r="P114" s="109">
        <f t="shared" si="20"/>
        <v>3726562.5</v>
      </c>
      <c r="Q114" s="109">
        <f t="shared" si="14"/>
        <v>169674.4792</v>
      </c>
      <c r="R114" s="109"/>
      <c r="S114" s="117"/>
      <c r="T114" s="117"/>
      <c r="U114" s="113"/>
      <c r="V114" s="113"/>
      <c r="W114" s="113"/>
      <c r="X114" s="113"/>
      <c r="Y114" s="113"/>
      <c r="Z114" s="113"/>
    </row>
    <row r="115" ht="13.5" customHeight="1">
      <c r="A115" s="113"/>
      <c r="B115" s="113" t="s">
        <v>73</v>
      </c>
      <c r="C115" s="113" t="s">
        <v>58</v>
      </c>
      <c r="D115" s="113" t="s">
        <v>74</v>
      </c>
      <c r="E115" s="113" t="s">
        <v>153</v>
      </c>
      <c r="F115" s="113" t="s">
        <v>12</v>
      </c>
      <c r="G115" s="113" t="s">
        <v>169</v>
      </c>
      <c r="H115" s="114">
        <v>0.095</v>
      </c>
      <c r="I115" s="115">
        <v>49739.0</v>
      </c>
      <c r="J115" s="115">
        <v>45791.0</v>
      </c>
      <c r="K115" s="115">
        <v>45793.0</v>
      </c>
      <c r="L115" s="114">
        <f t="shared" si="1"/>
        <v>0.10850235</v>
      </c>
      <c r="M115" s="116">
        <v>91.5</v>
      </c>
      <c r="N115" s="116">
        <v>2750000.0</v>
      </c>
      <c r="O115" s="109">
        <f t="shared" si="24"/>
        <v>2567774.306</v>
      </c>
      <c r="P115" s="109">
        <f t="shared" si="20"/>
        <v>2516250</v>
      </c>
      <c r="Q115" s="109">
        <f t="shared" si="14"/>
        <v>51524.30556</v>
      </c>
      <c r="R115" s="109"/>
      <c r="S115" s="117"/>
      <c r="T115" s="117"/>
      <c r="U115" s="113"/>
      <c r="V115" s="113"/>
      <c r="W115" s="113"/>
      <c r="X115" s="113"/>
      <c r="Y115" s="113"/>
      <c r="Z115" s="113"/>
    </row>
    <row r="116" ht="13.5" customHeight="1">
      <c r="A116" s="113"/>
      <c r="B116" s="113" t="s">
        <v>73</v>
      </c>
      <c r="C116" s="113" t="s">
        <v>58</v>
      </c>
      <c r="D116" s="113" t="s">
        <v>74</v>
      </c>
      <c r="E116" s="113" t="s">
        <v>153</v>
      </c>
      <c r="F116" s="113" t="s">
        <v>12</v>
      </c>
      <c r="G116" s="113" t="s">
        <v>101</v>
      </c>
      <c r="H116" s="114">
        <v>0.0875</v>
      </c>
      <c r="I116" s="115">
        <v>48318.0</v>
      </c>
      <c r="J116" s="115">
        <v>45791.0</v>
      </c>
      <c r="K116" s="115">
        <v>45793.0</v>
      </c>
      <c r="L116" s="114">
        <f t="shared" si="1"/>
        <v>0.1236594697</v>
      </c>
      <c r="M116" s="116">
        <v>83.5</v>
      </c>
      <c r="N116" s="116">
        <v>3400000.0</v>
      </c>
      <c r="O116" s="109">
        <f t="shared" si="24"/>
        <v>2865444.444</v>
      </c>
      <c r="P116" s="109">
        <f t="shared" si="20"/>
        <v>2839000</v>
      </c>
      <c r="Q116" s="109">
        <f t="shared" si="14"/>
        <v>26444.44444</v>
      </c>
      <c r="R116" s="109"/>
      <c r="S116" s="117"/>
      <c r="T116" s="117"/>
      <c r="U116" s="113"/>
      <c r="V116" s="113"/>
      <c r="W116" s="113"/>
      <c r="X116" s="113"/>
      <c r="Y116" s="113"/>
      <c r="Z116" s="113"/>
    </row>
    <row r="117" ht="13.5" customHeight="1">
      <c r="A117" s="1" t="s">
        <v>174</v>
      </c>
      <c r="B117" s="57" t="s">
        <v>118</v>
      </c>
      <c r="C117" s="1" t="s">
        <v>58</v>
      </c>
      <c r="D117" s="1" t="s">
        <v>74</v>
      </c>
      <c r="E117" s="57" t="s">
        <v>163</v>
      </c>
      <c r="F117" s="57" t="s">
        <v>14</v>
      </c>
      <c r="G117" s="1" t="s">
        <v>162</v>
      </c>
      <c r="H117" s="62">
        <v>0.10375</v>
      </c>
      <c r="I117" s="42">
        <v>49287.0</v>
      </c>
      <c r="J117" s="42">
        <v>45792.0</v>
      </c>
      <c r="K117" s="42">
        <v>45793.0</v>
      </c>
      <c r="L117" s="62">
        <f t="shared" si="1"/>
        <v>0.1069352744</v>
      </c>
      <c r="M117" s="63">
        <v>98.106</v>
      </c>
      <c r="N117" s="63">
        <v>750000.0</v>
      </c>
      <c r="O117" s="27">
        <v>615750.0</v>
      </c>
      <c r="P117" s="15">
        <f t="shared" si="20"/>
        <v>735795</v>
      </c>
      <c r="Q117" s="15">
        <f t="shared" si="14"/>
        <v>33934.89583</v>
      </c>
      <c r="R117" s="15"/>
      <c r="S117" s="3"/>
      <c r="T117" s="3"/>
      <c r="U117" s="1"/>
      <c r="V117" s="1"/>
      <c r="W117" s="1"/>
      <c r="X117" s="1"/>
      <c r="Y117" s="1"/>
      <c r="Z117" s="1"/>
    </row>
    <row r="118" ht="13.5" customHeight="1">
      <c r="A118" s="56" t="s">
        <v>180</v>
      </c>
      <c r="B118" s="56" t="s">
        <v>118</v>
      </c>
      <c r="C118" s="56" t="s">
        <v>58</v>
      </c>
      <c r="D118" s="56" t="s">
        <v>74</v>
      </c>
      <c r="E118" s="56" t="s">
        <v>163</v>
      </c>
      <c r="F118" s="56" t="s">
        <v>14</v>
      </c>
      <c r="G118" s="131" t="s">
        <v>165</v>
      </c>
      <c r="H118" s="132">
        <v>0.09125</v>
      </c>
      <c r="I118" s="133">
        <v>47563.0</v>
      </c>
      <c r="J118" s="133">
        <v>45792.0</v>
      </c>
      <c r="K118" s="133">
        <v>45793.0</v>
      </c>
      <c r="L118" s="132">
        <f t="shared" si="1"/>
        <v>0.1050393537</v>
      </c>
      <c r="M118" s="134">
        <v>94.84</v>
      </c>
      <c r="N118" s="134">
        <v>810000.0</v>
      </c>
      <c r="O118" s="135">
        <v>623700.0</v>
      </c>
      <c r="P118" s="135">
        <f t="shared" si="20"/>
        <v>768204</v>
      </c>
      <c r="Q118" s="135">
        <f t="shared" si="14"/>
        <v>11292.1875</v>
      </c>
      <c r="R118" s="135"/>
      <c r="S118" s="136"/>
      <c r="T118" s="136"/>
      <c r="U118" s="56"/>
      <c r="V118" s="56"/>
      <c r="W118" s="56"/>
      <c r="X118" s="56"/>
      <c r="Y118" s="56"/>
      <c r="Z118" s="56"/>
    </row>
    <row r="119" ht="13.5" customHeight="1">
      <c r="A119" s="1" t="s">
        <v>180</v>
      </c>
      <c r="B119" s="57" t="s">
        <v>118</v>
      </c>
      <c r="C119" s="1" t="s">
        <v>58</v>
      </c>
      <c r="D119" s="1" t="s">
        <v>74</v>
      </c>
      <c r="E119" s="57" t="s">
        <v>163</v>
      </c>
      <c r="F119" s="57" t="s">
        <v>14</v>
      </c>
      <c r="G119" s="1" t="s">
        <v>181</v>
      </c>
      <c r="H119" s="62">
        <v>0.06125</v>
      </c>
      <c r="I119" s="42">
        <v>46286.0</v>
      </c>
      <c r="J119" s="42">
        <v>45792.0</v>
      </c>
      <c r="K119" s="42">
        <v>45793.0</v>
      </c>
      <c r="L119" s="62">
        <f t="shared" si="1"/>
        <v>0.08924319732</v>
      </c>
      <c r="M119" s="63">
        <v>96.505</v>
      </c>
      <c r="N119" s="63">
        <v>445000.0</v>
      </c>
      <c r="O119" s="27">
        <v>282018.75</v>
      </c>
      <c r="P119" s="15">
        <f t="shared" si="20"/>
        <v>429447.25</v>
      </c>
      <c r="Q119" s="15">
        <f t="shared" si="14"/>
        <v>4164.149306</v>
      </c>
      <c r="R119" s="15"/>
      <c r="S119" s="3"/>
      <c r="T119" s="3"/>
      <c r="U119" s="1"/>
      <c r="V119" s="1"/>
      <c r="W119" s="1"/>
      <c r="X119" s="1"/>
      <c r="Y119" s="1"/>
      <c r="Z119" s="1"/>
    </row>
    <row r="120" ht="13.5" customHeight="1">
      <c r="A120" s="1" t="s">
        <v>180</v>
      </c>
      <c r="B120" s="57" t="s">
        <v>118</v>
      </c>
      <c r="C120" s="1" t="s">
        <v>58</v>
      </c>
      <c r="D120" s="1" t="s">
        <v>74</v>
      </c>
      <c r="E120" s="57" t="s">
        <v>163</v>
      </c>
      <c r="F120" s="57" t="s">
        <v>14</v>
      </c>
      <c r="G120" s="1" t="s">
        <v>182</v>
      </c>
      <c r="H120" s="62">
        <v>0.065</v>
      </c>
      <c r="I120" s="42">
        <v>46719.0</v>
      </c>
      <c r="J120" s="42">
        <v>45792.0</v>
      </c>
      <c r="K120" s="42">
        <v>45793.0</v>
      </c>
      <c r="L120" s="62">
        <f t="shared" si="1"/>
        <v>0.08583393126</v>
      </c>
      <c r="M120" s="63">
        <v>95.341</v>
      </c>
      <c r="N120" s="63">
        <v>564000.0</v>
      </c>
      <c r="O120" s="137">
        <v>443868.0</v>
      </c>
      <c r="P120" s="15">
        <f t="shared" si="20"/>
        <v>537723.24</v>
      </c>
      <c r="Q120" s="15">
        <f t="shared" si="14"/>
        <v>17108</v>
      </c>
      <c r="R120" s="15"/>
      <c r="S120" s="3"/>
      <c r="T120" s="3"/>
      <c r="U120" s="1"/>
      <c r="V120" s="1"/>
      <c r="W120" s="1"/>
      <c r="X120" s="1"/>
      <c r="Y120" s="1"/>
      <c r="Z120" s="1"/>
    </row>
    <row r="121" ht="13.5" customHeight="1">
      <c r="A121" s="1" t="s">
        <v>180</v>
      </c>
      <c r="B121" s="57" t="s">
        <v>118</v>
      </c>
      <c r="C121" s="1" t="s">
        <v>58</v>
      </c>
      <c r="D121" s="1" t="s">
        <v>74</v>
      </c>
      <c r="E121" s="57" t="s">
        <v>163</v>
      </c>
      <c r="F121" s="57" t="s">
        <v>14</v>
      </c>
      <c r="G121" s="1" t="s">
        <v>137</v>
      </c>
      <c r="H121" s="62">
        <v>0.0875</v>
      </c>
      <c r="I121" s="42">
        <v>48016.0</v>
      </c>
      <c r="J121" s="42">
        <v>45792.0</v>
      </c>
      <c r="K121" s="42">
        <v>45793.0</v>
      </c>
      <c r="L121" s="62">
        <f t="shared" si="1"/>
        <v>0.0913335744</v>
      </c>
      <c r="M121" s="63">
        <v>98.226</v>
      </c>
      <c r="N121" s="63">
        <v>358000.0</v>
      </c>
      <c r="O121" s="138">
        <v>237063.13</v>
      </c>
      <c r="P121" s="15">
        <f t="shared" si="20"/>
        <v>351649.08</v>
      </c>
      <c r="Q121" s="15">
        <f t="shared" si="14"/>
        <v>12965.06944</v>
      </c>
      <c r="R121" s="15"/>
      <c r="S121" s="3"/>
      <c r="T121" s="3"/>
      <c r="U121" s="1"/>
      <c r="V121" s="1"/>
      <c r="W121" s="1"/>
      <c r="X121" s="1"/>
      <c r="Y121" s="1"/>
      <c r="Z121" s="1"/>
    </row>
    <row r="122" ht="13.5" customHeight="1">
      <c r="A122" s="1" t="s">
        <v>180</v>
      </c>
      <c r="B122" s="57" t="s">
        <v>118</v>
      </c>
      <c r="C122" s="1" t="s">
        <v>58</v>
      </c>
      <c r="D122" s="1" t="s">
        <v>74</v>
      </c>
      <c r="E122" s="57" t="s">
        <v>163</v>
      </c>
      <c r="F122" s="57" t="s">
        <v>14</v>
      </c>
      <c r="G122" s="1" t="s">
        <v>155</v>
      </c>
      <c r="H122" s="62">
        <v>0.09125</v>
      </c>
      <c r="I122" s="42">
        <f>IFERROR(VLOOKUP($G122,'Bonds Universe'!$D:$H,3,FALSE), "")</f>
        <v>46210</v>
      </c>
      <c r="J122" s="42">
        <v>45792.0</v>
      </c>
      <c r="K122" s="42">
        <v>45793.0</v>
      </c>
      <c r="L122" s="62">
        <f t="shared" si="1"/>
        <v>0.1516524461</v>
      </c>
      <c r="M122" s="63">
        <v>93.844</v>
      </c>
      <c r="N122" s="63">
        <v>313000.0</v>
      </c>
      <c r="O122" s="139">
        <v>197600.81</v>
      </c>
      <c r="P122" s="15">
        <f t="shared" si="20"/>
        <v>293731.72</v>
      </c>
      <c r="Q122" s="15">
        <f t="shared" si="14"/>
        <v>10234.44792</v>
      </c>
      <c r="R122" s="15"/>
      <c r="S122" s="3"/>
      <c r="T122" s="3"/>
      <c r="U122" s="1"/>
      <c r="V122" s="1"/>
      <c r="W122" s="1"/>
      <c r="X122" s="1"/>
      <c r="Y122" s="1"/>
      <c r="Z122" s="1"/>
    </row>
    <row r="123" ht="13.5" customHeight="1">
      <c r="A123" s="1" t="s">
        <v>180</v>
      </c>
      <c r="B123" s="57" t="s">
        <v>118</v>
      </c>
      <c r="C123" s="1" t="s">
        <v>58</v>
      </c>
      <c r="D123" s="1" t="s">
        <v>74</v>
      </c>
      <c r="E123" s="57" t="s">
        <v>163</v>
      </c>
      <c r="F123" s="57" t="s">
        <v>14</v>
      </c>
      <c r="G123" s="1" t="s">
        <v>101</v>
      </c>
      <c r="H123" s="62">
        <v>0.0875</v>
      </c>
      <c r="I123" s="42">
        <v>48318.0</v>
      </c>
      <c r="J123" s="42">
        <v>45792.0</v>
      </c>
      <c r="K123" s="42">
        <v>45793.0</v>
      </c>
      <c r="L123" s="62">
        <f t="shared" si="1"/>
        <v>0.1276426312</v>
      </c>
      <c r="M123" s="63">
        <v>81.904</v>
      </c>
      <c r="N123" s="63">
        <v>200000.0</v>
      </c>
      <c r="O123" s="139">
        <v>132200.0</v>
      </c>
      <c r="P123" s="15">
        <f t="shared" si="20"/>
        <v>163808</v>
      </c>
      <c r="Q123" s="15">
        <f t="shared" si="14"/>
        <v>1555.555556</v>
      </c>
      <c r="R123" s="15"/>
      <c r="S123" s="3"/>
      <c r="T123" s="3"/>
      <c r="U123" s="1"/>
      <c r="V123" s="1"/>
      <c r="W123" s="1"/>
      <c r="X123" s="1"/>
      <c r="Y123" s="1"/>
      <c r="Z123" s="1"/>
    </row>
    <row r="124" ht="13.5" customHeight="1">
      <c r="A124" s="1" t="s">
        <v>180</v>
      </c>
      <c r="B124" s="57" t="s">
        <v>118</v>
      </c>
      <c r="C124" s="1" t="s">
        <v>45</v>
      </c>
      <c r="D124" s="1" t="s">
        <v>74</v>
      </c>
      <c r="E124" s="57" t="s">
        <v>163</v>
      </c>
      <c r="F124" s="57" t="s">
        <v>14</v>
      </c>
      <c r="G124" s="1" t="s">
        <v>183</v>
      </c>
      <c r="H124" s="62">
        <v>0.0675</v>
      </c>
      <c r="I124" s="42">
        <v>46345.0</v>
      </c>
      <c r="J124" s="42">
        <v>45792.0</v>
      </c>
      <c r="K124" s="42">
        <v>45793.0</v>
      </c>
      <c r="L124" s="62">
        <f t="shared" si="1"/>
        <v>0.07325572412</v>
      </c>
      <c r="M124" s="63">
        <v>99.191</v>
      </c>
      <c r="N124" s="63">
        <v>200000.0</v>
      </c>
      <c r="O124" s="138">
        <v>164000.0</v>
      </c>
      <c r="P124" s="15">
        <f t="shared" si="20"/>
        <v>198382</v>
      </c>
      <c r="Q124" s="15">
        <f t="shared" si="14"/>
        <v>6637.5</v>
      </c>
      <c r="R124" s="15"/>
      <c r="S124" s="3"/>
      <c r="T124" s="3"/>
      <c r="U124" s="1"/>
      <c r="V124" s="1"/>
      <c r="W124" s="1"/>
      <c r="X124" s="1"/>
      <c r="Y124" s="1"/>
      <c r="Z124" s="1"/>
    </row>
    <row r="125" ht="13.5" customHeight="1">
      <c r="A125" s="1" t="s">
        <v>180</v>
      </c>
      <c r="B125" s="57" t="s">
        <v>118</v>
      </c>
      <c r="C125" s="1" t="s">
        <v>58</v>
      </c>
      <c r="D125" s="1" t="s">
        <v>74</v>
      </c>
      <c r="E125" s="57" t="s">
        <v>163</v>
      </c>
      <c r="F125" s="57" t="s">
        <v>14</v>
      </c>
      <c r="G125" s="1" t="s">
        <v>184</v>
      </c>
      <c r="H125" s="62">
        <v>0.07375</v>
      </c>
      <c r="I125" s="42">
        <v>48850.0</v>
      </c>
      <c r="J125" s="42">
        <v>45792.0</v>
      </c>
      <c r="K125" s="42">
        <v>45793.0</v>
      </c>
      <c r="L125" s="62">
        <f t="shared" si="1"/>
        <v>0.1037464634</v>
      </c>
      <c r="M125" s="63">
        <v>83.473</v>
      </c>
      <c r="N125" s="63">
        <v>285000.0</v>
      </c>
      <c r="O125" s="15">
        <v>192660.0</v>
      </c>
      <c r="P125" s="15">
        <f t="shared" si="20"/>
        <v>237898.05</v>
      </c>
      <c r="Q125" s="15">
        <f t="shared" si="14"/>
        <v>2802.5</v>
      </c>
      <c r="R125" s="15"/>
      <c r="S125" s="3"/>
      <c r="T125" s="3"/>
      <c r="U125" s="1"/>
      <c r="V125" s="1"/>
      <c r="W125" s="1"/>
      <c r="X125" s="1"/>
      <c r="Y125" s="1"/>
      <c r="Z125" s="1"/>
    </row>
    <row r="126" ht="13.5" customHeight="1">
      <c r="A126" s="1" t="s">
        <v>180</v>
      </c>
      <c r="B126" s="57" t="s">
        <v>118</v>
      </c>
      <c r="C126" s="1" t="s">
        <v>45</v>
      </c>
      <c r="D126" s="1" t="s">
        <v>74</v>
      </c>
      <c r="E126" s="57" t="s">
        <v>163</v>
      </c>
      <c r="F126" s="57" t="s">
        <v>14</v>
      </c>
      <c r="G126" s="1" t="s">
        <v>185</v>
      </c>
      <c r="H126" s="62">
        <v>0.07625</v>
      </c>
      <c r="I126" s="42">
        <v>45982.0</v>
      </c>
      <c r="J126" s="42">
        <v>45792.0</v>
      </c>
      <c r="K126" s="42">
        <v>45793.0</v>
      </c>
      <c r="L126" s="62">
        <f t="shared" si="1"/>
        <v>0.077828197</v>
      </c>
      <c r="M126" s="63">
        <v>99.92</v>
      </c>
      <c r="N126" s="63">
        <v>749000.0</v>
      </c>
      <c r="O126" s="15">
        <v>620921.0</v>
      </c>
      <c r="P126" s="15">
        <f t="shared" si="20"/>
        <v>748400.8</v>
      </c>
      <c r="Q126" s="15">
        <f t="shared" si="14"/>
        <v>27762.41319</v>
      </c>
      <c r="R126" s="15"/>
      <c r="S126" s="3"/>
      <c r="T126" s="3"/>
      <c r="U126" s="1"/>
      <c r="V126" s="1"/>
      <c r="W126" s="1"/>
      <c r="X126" s="1"/>
      <c r="Y126" s="1"/>
      <c r="Z126" s="1"/>
    </row>
    <row r="127" ht="13.5" customHeight="1">
      <c r="A127" s="1" t="s">
        <v>186</v>
      </c>
      <c r="B127" s="57" t="s">
        <v>118</v>
      </c>
      <c r="C127" s="1" t="s">
        <v>58</v>
      </c>
      <c r="D127" s="1" t="s">
        <v>74</v>
      </c>
      <c r="E127" s="57" t="s">
        <v>163</v>
      </c>
      <c r="F127" s="1" t="s">
        <v>12</v>
      </c>
      <c r="G127" s="1" t="s">
        <v>169</v>
      </c>
      <c r="H127" s="62">
        <v>0.095</v>
      </c>
      <c r="I127" s="42">
        <v>49739.0</v>
      </c>
      <c r="J127" s="42">
        <v>45792.0</v>
      </c>
      <c r="K127" s="42">
        <v>45793.0</v>
      </c>
      <c r="L127" s="62">
        <f t="shared" si="1"/>
        <v>0.1070212715</v>
      </c>
      <c r="M127" s="63">
        <v>92.38</v>
      </c>
      <c r="N127" s="63">
        <v>4100000.0</v>
      </c>
      <c r="O127" s="15">
        <v>3031232.61</v>
      </c>
      <c r="P127" s="15"/>
      <c r="Q127" s="15"/>
      <c r="R127" s="15"/>
      <c r="S127" s="3"/>
      <c r="T127" s="3"/>
      <c r="U127" s="1"/>
      <c r="V127" s="1"/>
      <c r="W127" s="1"/>
      <c r="X127" s="1"/>
      <c r="Y127" s="1"/>
      <c r="Z127" s="1"/>
    </row>
    <row r="128" ht="13.5" customHeight="1">
      <c r="A128" s="57"/>
      <c r="B128" s="57" t="s">
        <v>57</v>
      </c>
      <c r="C128" s="57" t="s">
        <v>58</v>
      </c>
      <c r="D128" s="57" t="s">
        <v>74</v>
      </c>
      <c r="E128" s="57" t="s">
        <v>163</v>
      </c>
      <c r="F128" s="57" t="s">
        <v>14</v>
      </c>
      <c r="G128" s="57" t="s">
        <v>169</v>
      </c>
      <c r="H128" s="87">
        <v>0.095</v>
      </c>
      <c r="I128" s="89">
        <v>49739.0</v>
      </c>
      <c r="J128" s="89">
        <v>45793.0</v>
      </c>
      <c r="K128" s="89">
        <v>45797.0</v>
      </c>
      <c r="L128" s="87">
        <f t="shared" si="1"/>
        <v>0.1103897657</v>
      </c>
      <c r="M128" s="111">
        <v>90.4</v>
      </c>
      <c r="N128" s="111">
        <v>2100000.0</v>
      </c>
      <c r="O128" s="27">
        <f t="shared" ref="O128:O129" si="25">IFERROR((N128*M128/100)+ACCRINT(COUPPCD(K128,I128,2,0),COUPNCD(K128,I128,2,0),K128,H128,N128,2,0),N128*M128/100)</f>
        <v>1939962.5</v>
      </c>
      <c r="P128" s="27">
        <f t="shared" ref="P128:P172" si="26">N128*M128/100</f>
        <v>1898400</v>
      </c>
      <c r="Q128" s="27"/>
      <c r="R128" s="27"/>
      <c r="S128" s="110"/>
      <c r="T128" s="110"/>
      <c r="U128" s="57"/>
      <c r="V128" s="57"/>
      <c r="W128" s="57"/>
      <c r="X128" s="57"/>
      <c r="Y128" s="57"/>
      <c r="Z128" s="57"/>
    </row>
    <row r="129" ht="13.5" customHeight="1">
      <c r="A129" s="57"/>
      <c r="B129" s="57" t="s">
        <v>118</v>
      </c>
      <c r="C129" s="57" t="s">
        <v>58</v>
      </c>
      <c r="D129" s="57" t="s">
        <v>74</v>
      </c>
      <c r="E129" s="57" t="s">
        <v>163</v>
      </c>
      <c r="F129" s="57" t="s">
        <v>14</v>
      </c>
      <c r="G129" s="57" t="s">
        <v>169</v>
      </c>
      <c r="H129" s="87">
        <v>0.095</v>
      </c>
      <c r="I129" s="89">
        <v>49739.0</v>
      </c>
      <c r="J129" s="89">
        <v>45793.0</v>
      </c>
      <c r="K129" s="89">
        <v>45797.0</v>
      </c>
      <c r="L129" s="87">
        <f t="shared" si="1"/>
        <v>0.1103897657</v>
      </c>
      <c r="M129" s="111">
        <v>90.4</v>
      </c>
      <c r="N129" s="111">
        <v>2000000.0</v>
      </c>
      <c r="O129" s="27">
        <f t="shared" si="25"/>
        <v>1847583.333</v>
      </c>
      <c r="P129" s="27">
        <f t="shared" si="26"/>
        <v>1808000</v>
      </c>
      <c r="Q129" s="27"/>
      <c r="R129" s="27"/>
      <c r="S129" s="110"/>
      <c r="T129" s="110"/>
      <c r="U129" s="57"/>
      <c r="V129" s="57"/>
      <c r="W129" s="57"/>
      <c r="X129" s="57"/>
      <c r="Y129" s="57"/>
      <c r="Z129" s="57"/>
    </row>
    <row r="130" ht="13.5" customHeight="1">
      <c r="A130" s="1"/>
      <c r="B130" s="57" t="s">
        <v>57</v>
      </c>
      <c r="C130" s="1" t="s">
        <v>58</v>
      </c>
      <c r="D130" s="1" t="s">
        <v>74</v>
      </c>
      <c r="E130" s="57" t="s">
        <v>163</v>
      </c>
      <c r="F130" s="57" t="s">
        <v>12</v>
      </c>
      <c r="G130" s="1" t="s">
        <v>109</v>
      </c>
      <c r="H130" s="62">
        <v>0.09375</v>
      </c>
      <c r="I130" s="42">
        <v>54186.0</v>
      </c>
      <c r="J130" s="42">
        <v>45793.0</v>
      </c>
      <c r="K130" s="42">
        <v>45798.0</v>
      </c>
      <c r="L130" s="62">
        <f t="shared" si="1"/>
        <v>0.1270139754</v>
      </c>
      <c r="M130" s="63">
        <v>75.35</v>
      </c>
      <c r="N130" s="63">
        <v>3000000.0</v>
      </c>
      <c r="O130" s="140">
        <v>2382375.0</v>
      </c>
      <c r="P130" s="15">
        <f t="shared" si="26"/>
        <v>2260500</v>
      </c>
      <c r="R130" s="15"/>
      <c r="S130" s="9"/>
      <c r="T130" s="3"/>
      <c r="U130" s="1"/>
      <c r="V130" s="1"/>
      <c r="W130" s="1"/>
      <c r="X130" s="1"/>
      <c r="Y130" s="1"/>
      <c r="Z130" s="1"/>
    </row>
    <row r="131" ht="13.5" customHeight="1">
      <c r="A131" s="141"/>
      <c r="B131" s="141" t="s">
        <v>130</v>
      </c>
      <c r="C131" s="141" t="s">
        <v>45</v>
      </c>
      <c r="D131" s="141" t="s">
        <v>74</v>
      </c>
      <c r="E131" s="141" t="s">
        <v>163</v>
      </c>
      <c r="F131" s="141" t="s">
        <v>12</v>
      </c>
      <c r="G131" s="141" t="s">
        <v>109</v>
      </c>
      <c r="H131" s="142">
        <v>0.09375</v>
      </c>
      <c r="I131" s="143">
        <v>54186.0</v>
      </c>
      <c r="J131" s="143">
        <v>45793.0</v>
      </c>
      <c r="K131" s="143">
        <v>45798.0</v>
      </c>
      <c r="L131" s="142">
        <f t="shared" si="1"/>
        <v>0.1269278591</v>
      </c>
      <c r="M131" s="144">
        <v>75.4</v>
      </c>
      <c r="N131" s="144">
        <v>3000000.0</v>
      </c>
      <c r="O131" s="145">
        <v>2383875.0</v>
      </c>
      <c r="P131" s="105">
        <f t="shared" si="26"/>
        <v>2262000</v>
      </c>
      <c r="Q131" s="146"/>
      <c r="R131" s="105"/>
      <c r="S131" s="147"/>
      <c r="T131" s="147"/>
      <c r="U131" s="141"/>
      <c r="V131" s="141"/>
      <c r="W131" s="141"/>
      <c r="X131" s="141"/>
      <c r="Y131" s="141"/>
      <c r="Z131" s="141"/>
    </row>
    <row r="132" ht="13.5" customHeight="1">
      <c r="A132" s="1"/>
      <c r="B132" s="57" t="s">
        <v>172</v>
      </c>
      <c r="C132" s="57" t="s">
        <v>58</v>
      </c>
      <c r="D132" s="57" t="s">
        <v>74</v>
      </c>
      <c r="E132" s="57" t="s">
        <v>163</v>
      </c>
      <c r="F132" s="57" t="s">
        <v>12</v>
      </c>
      <c r="G132" s="1" t="s">
        <v>109</v>
      </c>
      <c r="H132" s="62">
        <v>0.09375</v>
      </c>
      <c r="I132" s="42">
        <v>54186.0</v>
      </c>
      <c r="J132" s="42">
        <v>45793.0</v>
      </c>
      <c r="K132" s="42">
        <v>45797.0</v>
      </c>
      <c r="L132" s="62">
        <f t="shared" si="1"/>
        <v>0.1269281268</v>
      </c>
      <c r="M132" s="63">
        <v>75.4</v>
      </c>
      <c r="N132" s="63">
        <v>1000000.0</v>
      </c>
      <c r="O132" s="139">
        <v>794364.58</v>
      </c>
      <c r="P132" s="15">
        <f t="shared" si="26"/>
        <v>754000</v>
      </c>
      <c r="R132" s="15"/>
      <c r="S132" s="3"/>
      <c r="T132" s="3"/>
      <c r="U132" s="1"/>
      <c r="V132" s="1"/>
      <c r="W132" s="1"/>
      <c r="X132" s="1"/>
      <c r="Y132" s="1"/>
      <c r="Z132" s="1"/>
    </row>
    <row r="133" ht="13.5" customHeight="1">
      <c r="A133" s="57"/>
      <c r="B133" s="57" t="s">
        <v>118</v>
      </c>
      <c r="C133" s="57" t="s">
        <v>58</v>
      </c>
      <c r="D133" s="57" t="s">
        <v>74</v>
      </c>
      <c r="E133" s="57" t="s">
        <v>163</v>
      </c>
      <c r="F133" s="57" t="s">
        <v>12</v>
      </c>
      <c r="G133" s="57" t="s">
        <v>109</v>
      </c>
      <c r="H133" s="87">
        <v>0.09375</v>
      </c>
      <c r="I133" s="89">
        <v>54186.0</v>
      </c>
      <c r="J133" s="89">
        <v>45797.0</v>
      </c>
      <c r="K133" s="89">
        <v>45799.0</v>
      </c>
      <c r="L133" s="87">
        <f t="shared" si="1"/>
        <v>0.127099939</v>
      </c>
      <c r="M133" s="111">
        <v>75.3</v>
      </c>
      <c r="N133" s="111">
        <v>2000000.0</v>
      </c>
      <c r="O133" s="27">
        <v>1587770.83</v>
      </c>
      <c r="P133" s="27">
        <f t="shared" si="26"/>
        <v>1506000</v>
      </c>
      <c r="Q133" s="27">
        <f t="shared" ref="Q133:Q143" si="27">IFERROR(ACCRINT(COUPPCD(K133,I133,2,0),COUPNCD(K133,I133,2,0),K133,H133,N133,2,0),"")</f>
        <v>7291.666667</v>
      </c>
      <c r="R133" s="27"/>
      <c r="S133" s="110"/>
      <c r="T133" s="110"/>
      <c r="U133" s="57"/>
      <c r="V133" s="57"/>
      <c r="W133" s="57"/>
      <c r="X133" s="57"/>
      <c r="Y133" s="57"/>
      <c r="Z133" s="57"/>
    </row>
    <row r="134" ht="13.5" customHeight="1">
      <c r="A134" s="57"/>
      <c r="B134" s="57" t="s">
        <v>130</v>
      </c>
      <c r="C134" s="57" t="s">
        <v>58</v>
      </c>
      <c r="D134" s="57" t="s">
        <v>74</v>
      </c>
      <c r="E134" s="57" t="s">
        <v>163</v>
      </c>
      <c r="F134" s="57" t="s">
        <v>12</v>
      </c>
      <c r="G134" s="57" t="s">
        <v>109</v>
      </c>
      <c r="H134" s="87">
        <v>0.09375</v>
      </c>
      <c r="I134" s="89">
        <v>54186.0</v>
      </c>
      <c r="J134" s="89">
        <v>45797.0</v>
      </c>
      <c r="K134" s="89">
        <v>45799.0</v>
      </c>
      <c r="L134" s="87">
        <f t="shared" si="1"/>
        <v>0.127099939</v>
      </c>
      <c r="M134" s="111">
        <v>75.3</v>
      </c>
      <c r="N134" s="111">
        <v>750000.0</v>
      </c>
      <c r="O134" s="27">
        <v>595414.06</v>
      </c>
      <c r="P134" s="27">
        <f t="shared" si="26"/>
        <v>564750</v>
      </c>
      <c r="Q134" s="27">
        <f t="shared" si="27"/>
        <v>2734.375</v>
      </c>
      <c r="R134" s="27"/>
      <c r="S134" s="110"/>
      <c r="T134" s="110"/>
      <c r="U134" s="57"/>
      <c r="V134" s="57"/>
      <c r="W134" s="57"/>
      <c r="X134" s="57"/>
      <c r="Y134" s="57"/>
      <c r="Z134" s="57"/>
    </row>
    <row r="135" ht="13.5" customHeight="1">
      <c r="A135" s="57"/>
      <c r="B135" s="57" t="s">
        <v>118</v>
      </c>
      <c r="C135" s="57" t="s">
        <v>58</v>
      </c>
      <c r="D135" s="57" t="s">
        <v>74</v>
      </c>
      <c r="E135" s="57" t="s">
        <v>163</v>
      </c>
      <c r="F135" s="57" t="s">
        <v>12</v>
      </c>
      <c r="G135" s="57" t="s">
        <v>109</v>
      </c>
      <c r="H135" s="87">
        <v>0.09375</v>
      </c>
      <c r="I135" s="89">
        <v>54186.0</v>
      </c>
      <c r="J135" s="89">
        <v>45797.0</v>
      </c>
      <c r="K135" s="89">
        <v>45800.0</v>
      </c>
      <c r="L135" s="87">
        <f t="shared" si="1"/>
        <v>0.1276191216</v>
      </c>
      <c r="M135" s="111">
        <v>75.0</v>
      </c>
      <c r="N135" s="111">
        <v>1000000.0</v>
      </c>
      <c r="O135" s="27">
        <v>791145.83</v>
      </c>
      <c r="P135" s="27">
        <f t="shared" si="26"/>
        <v>750000</v>
      </c>
      <c r="Q135" s="27">
        <f t="shared" si="27"/>
        <v>3906.25</v>
      </c>
      <c r="R135" s="27"/>
      <c r="S135" s="110"/>
      <c r="T135" s="110"/>
      <c r="U135" s="57"/>
      <c r="V135" s="57"/>
      <c r="W135" s="57"/>
      <c r="X135" s="57"/>
      <c r="Y135" s="57"/>
      <c r="Z135" s="57"/>
    </row>
    <row r="136" ht="13.5" customHeight="1">
      <c r="A136" s="57"/>
      <c r="B136" s="57" t="s">
        <v>130</v>
      </c>
      <c r="C136" s="57" t="s">
        <v>58</v>
      </c>
      <c r="D136" s="57" t="s">
        <v>74</v>
      </c>
      <c r="E136" s="57" t="s">
        <v>163</v>
      </c>
      <c r="F136" s="57" t="s">
        <v>12</v>
      </c>
      <c r="G136" s="57" t="s">
        <v>109</v>
      </c>
      <c r="H136" s="87">
        <v>0.09375</v>
      </c>
      <c r="I136" s="89">
        <v>54186.0</v>
      </c>
      <c r="J136" s="89">
        <v>45797.0</v>
      </c>
      <c r="K136" s="89">
        <v>45800.0</v>
      </c>
      <c r="L136" s="87">
        <f t="shared" si="1"/>
        <v>0.1276191216</v>
      </c>
      <c r="M136" s="111">
        <v>75.0</v>
      </c>
      <c r="N136" s="111">
        <v>2250000.0</v>
      </c>
      <c r="O136" s="27">
        <v>1780078.13</v>
      </c>
      <c r="P136" s="27">
        <f t="shared" si="26"/>
        <v>1687500</v>
      </c>
      <c r="Q136" s="27">
        <f t="shared" si="27"/>
        <v>8789.0625</v>
      </c>
      <c r="R136" s="27"/>
      <c r="S136" s="110"/>
      <c r="T136" s="110"/>
      <c r="U136" s="57"/>
      <c r="V136" s="57"/>
      <c r="W136" s="57"/>
      <c r="X136" s="57"/>
      <c r="Y136" s="57"/>
      <c r="Z136" s="57"/>
    </row>
    <row r="137" ht="13.5" customHeight="1">
      <c r="A137" s="1"/>
      <c r="B137" s="1" t="s">
        <v>172</v>
      </c>
      <c r="C137" s="1" t="s">
        <v>58</v>
      </c>
      <c r="D137" s="1" t="s">
        <v>59</v>
      </c>
      <c r="E137" s="1" t="s">
        <v>188</v>
      </c>
      <c r="F137" s="57" t="s">
        <v>12</v>
      </c>
      <c r="G137" s="1" t="s">
        <v>114</v>
      </c>
      <c r="H137" s="62">
        <v>0.09125</v>
      </c>
      <c r="I137" s="42">
        <v>54753.0</v>
      </c>
      <c r="J137" s="42">
        <v>45835.0</v>
      </c>
      <c r="K137" s="42">
        <v>45839.0</v>
      </c>
      <c r="L137" s="62">
        <f t="shared" si="1"/>
        <v>0.1201836523</v>
      </c>
      <c r="M137" s="63">
        <v>77.3</v>
      </c>
      <c r="N137" s="63">
        <v>1200000.0</v>
      </c>
      <c r="O137" s="27">
        <f t="shared" ref="O137:O143" si="28">IFERROR((N137*M137/100)+ACCRINT(COUPPCD(K137,I137,2,0),COUPNCD(K137,I137,2,0),K137,H137,N137,2,0),N137*M137/100)</f>
        <v>938245.8333</v>
      </c>
      <c r="P137" s="148">
        <f t="shared" si="26"/>
        <v>927600</v>
      </c>
      <c r="Q137" s="149">
        <f t="shared" si="27"/>
        <v>10645.83333</v>
      </c>
      <c r="R137" s="15"/>
      <c r="S137" s="3"/>
      <c r="T137" s="3"/>
      <c r="U137" s="1"/>
      <c r="V137" s="1"/>
      <c r="W137" s="1"/>
      <c r="X137" s="1"/>
      <c r="Y137" s="1"/>
      <c r="Z137" s="1"/>
    </row>
    <row r="138" ht="13.5" customHeight="1">
      <c r="A138" s="1"/>
      <c r="B138" s="1" t="s">
        <v>172</v>
      </c>
      <c r="C138" s="1" t="s">
        <v>58</v>
      </c>
      <c r="D138" s="1" t="s">
        <v>59</v>
      </c>
      <c r="E138" s="1" t="s">
        <v>188</v>
      </c>
      <c r="F138" s="57" t="s">
        <v>12</v>
      </c>
      <c r="G138" s="1" t="s">
        <v>114</v>
      </c>
      <c r="H138" s="62">
        <v>0.09125</v>
      </c>
      <c r="I138" s="42">
        <v>54753.0</v>
      </c>
      <c r="J138" s="42">
        <v>45838.0</v>
      </c>
      <c r="K138" s="42">
        <v>45840.0</v>
      </c>
      <c r="L138" s="62">
        <f t="shared" si="1"/>
        <v>0.1198814845</v>
      </c>
      <c r="M138" s="63">
        <v>77.49</v>
      </c>
      <c r="N138" s="63">
        <v>1500000.0</v>
      </c>
      <c r="O138" s="27">
        <f t="shared" si="28"/>
        <v>1176037.5</v>
      </c>
      <c r="P138" s="148">
        <f t="shared" si="26"/>
        <v>1162350</v>
      </c>
      <c r="Q138" s="149">
        <f t="shared" si="27"/>
        <v>13687.5</v>
      </c>
      <c r="R138" s="15"/>
      <c r="S138" s="3"/>
      <c r="T138" s="3"/>
      <c r="U138" s="1"/>
      <c r="V138" s="1"/>
      <c r="W138" s="1"/>
      <c r="X138" s="1"/>
      <c r="Y138" s="1"/>
      <c r="Z138" s="1"/>
    </row>
    <row r="139" ht="13.5" customHeight="1">
      <c r="A139" s="57"/>
      <c r="B139" s="57" t="s">
        <v>172</v>
      </c>
      <c r="C139" s="57" t="s">
        <v>58</v>
      </c>
      <c r="D139" s="57" t="s">
        <v>59</v>
      </c>
      <c r="E139" s="57" t="s">
        <v>188</v>
      </c>
      <c r="F139" s="57" t="s">
        <v>14</v>
      </c>
      <c r="G139" s="57" t="s">
        <v>162</v>
      </c>
      <c r="H139" s="87">
        <v>0.10375</v>
      </c>
      <c r="I139" s="89">
        <v>49287.0</v>
      </c>
      <c r="J139" s="89">
        <v>45852.0</v>
      </c>
      <c r="K139" s="89">
        <v>45854.0</v>
      </c>
      <c r="L139" s="87">
        <f t="shared" si="1"/>
        <v>0.09545873465</v>
      </c>
      <c r="M139" s="111">
        <v>105.05</v>
      </c>
      <c r="N139" s="111">
        <v>750000.0</v>
      </c>
      <c r="O139" s="27">
        <f t="shared" si="28"/>
        <v>795872.3958</v>
      </c>
      <c r="P139" s="150">
        <f t="shared" si="26"/>
        <v>787875</v>
      </c>
      <c r="Q139" s="27">
        <f t="shared" si="27"/>
        <v>7997.395833</v>
      </c>
      <c r="R139" s="27"/>
      <c r="S139" s="110"/>
      <c r="T139" s="110"/>
      <c r="U139" s="57"/>
      <c r="V139" s="57"/>
      <c r="W139" s="57"/>
      <c r="X139" s="57"/>
      <c r="Y139" s="57"/>
      <c r="Z139" s="57"/>
    </row>
    <row r="140" ht="13.5" customHeight="1">
      <c r="A140" s="57"/>
      <c r="B140" s="57" t="s">
        <v>172</v>
      </c>
      <c r="C140" s="57" t="s">
        <v>58</v>
      </c>
      <c r="D140" s="57" t="s">
        <v>59</v>
      </c>
      <c r="E140" s="57" t="s">
        <v>188</v>
      </c>
      <c r="F140" s="57" t="s">
        <v>14</v>
      </c>
      <c r="G140" s="57" t="s">
        <v>169</v>
      </c>
      <c r="H140" s="87">
        <v>0.095</v>
      </c>
      <c r="I140" s="89">
        <v>49739.0</v>
      </c>
      <c r="J140" s="89">
        <v>45853.0</v>
      </c>
      <c r="K140" s="89">
        <v>45855.0</v>
      </c>
      <c r="L140" s="87">
        <f t="shared" si="1"/>
        <v>0.106684901</v>
      </c>
      <c r="M140" s="111">
        <v>92.65</v>
      </c>
      <c r="N140" s="111">
        <v>5000000.0</v>
      </c>
      <c r="O140" s="27">
        <f t="shared" si="28"/>
        <v>4806666.667</v>
      </c>
      <c r="P140" s="150">
        <f t="shared" si="26"/>
        <v>4632500</v>
      </c>
      <c r="Q140" s="150">
        <f t="shared" si="27"/>
        <v>174166.6667</v>
      </c>
      <c r="R140" s="27"/>
      <c r="S140" s="110"/>
      <c r="T140" s="110"/>
      <c r="U140" s="57"/>
      <c r="V140" s="57"/>
      <c r="W140" s="57"/>
      <c r="X140" s="57"/>
      <c r="Y140" s="57"/>
      <c r="Z140" s="57"/>
    </row>
    <row r="141" ht="13.5" customHeight="1">
      <c r="A141" s="57"/>
      <c r="B141" s="57" t="s">
        <v>172</v>
      </c>
      <c r="C141" s="57" t="s">
        <v>58</v>
      </c>
      <c r="D141" s="57" t="s">
        <v>59</v>
      </c>
      <c r="E141" s="57" t="s">
        <v>188</v>
      </c>
      <c r="F141" s="57" t="s">
        <v>14</v>
      </c>
      <c r="G141" s="57" t="s">
        <v>101</v>
      </c>
      <c r="H141" s="87">
        <v>0.0875</v>
      </c>
      <c r="I141" s="89">
        <v>48318.0</v>
      </c>
      <c r="J141" s="89">
        <v>45854.0</v>
      </c>
      <c r="K141" s="89">
        <v>45856.0</v>
      </c>
      <c r="L141" s="87">
        <f t="shared" si="1"/>
        <v>0.1150297721</v>
      </c>
      <c r="M141" s="111">
        <v>87.3</v>
      </c>
      <c r="N141" s="111">
        <v>5000000.0</v>
      </c>
      <c r="O141" s="27">
        <f t="shared" si="28"/>
        <v>4479236.111</v>
      </c>
      <c r="P141" s="150">
        <f t="shared" si="26"/>
        <v>4365000</v>
      </c>
      <c r="Q141" s="150">
        <f t="shared" si="27"/>
        <v>114236.1111</v>
      </c>
      <c r="R141" s="27"/>
      <c r="S141" s="110"/>
      <c r="T141" s="110"/>
      <c r="U141" s="57"/>
      <c r="V141" s="57"/>
      <c r="W141" s="57"/>
      <c r="X141" s="57"/>
      <c r="Y141" s="57"/>
      <c r="Z141" s="57"/>
    </row>
    <row r="142" ht="13.5" customHeight="1">
      <c r="A142" s="113" t="s">
        <v>190</v>
      </c>
      <c r="B142" s="113" t="s">
        <v>73</v>
      </c>
      <c r="C142" s="113" t="s">
        <v>58</v>
      </c>
      <c r="D142" s="113" t="s">
        <v>59</v>
      </c>
      <c r="E142" s="113" t="s">
        <v>153</v>
      </c>
      <c r="F142" s="113" t="s">
        <v>12</v>
      </c>
      <c r="G142" s="113" t="s">
        <v>191</v>
      </c>
      <c r="H142" s="114">
        <v>0.07625</v>
      </c>
      <c r="I142" s="115">
        <v>54024.0</v>
      </c>
      <c r="J142" s="115">
        <v>45854.0</v>
      </c>
      <c r="K142" s="115">
        <v>45856.0</v>
      </c>
      <c r="L142" s="114">
        <f t="shared" si="1"/>
        <v>0.09920177382</v>
      </c>
      <c r="M142" s="116">
        <v>79.5</v>
      </c>
      <c r="N142" s="116">
        <v>257000.0</v>
      </c>
      <c r="O142" s="109">
        <f t="shared" si="28"/>
        <v>207036.7014</v>
      </c>
      <c r="P142" s="109">
        <f t="shared" si="26"/>
        <v>204315</v>
      </c>
      <c r="Q142" s="109">
        <f t="shared" si="27"/>
        <v>2721.701389</v>
      </c>
      <c r="R142" s="109"/>
      <c r="S142" s="117"/>
      <c r="T142" s="117"/>
      <c r="U142" s="113"/>
      <c r="V142" s="113"/>
      <c r="W142" s="113"/>
      <c r="X142" s="113"/>
      <c r="Y142" s="113"/>
      <c r="Z142" s="113"/>
    </row>
    <row r="143" ht="13.5" customHeight="1">
      <c r="A143" s="57"/>
      <c r="B143" s="57" t="s">
        <v>130</v>
      </c>
      <c r="C143" s="57" t="s">
        <v>58</v>
      </c>
      <c r="D143" s="57" t="s">
        <v>59</v>
      </c>
      <c r="E143" s="57" t="s">
        <v>163</v>
      </c>
      <c r="F143" s="57" t="s">
        <v>14</v>
      </c>
      <c r="G143" s="57" t="s">
        <v>162</v>
      </c>
      <c r="H143" s="87">
        <v>0.10375</v>
      </c>
      <c r="I143" s="89">
        <v>49287.0</v>
      </c>
      <c r="J143" s="89">
        <v>45853.0</v>
      </c>
      <c r="K143" s="89">
        <v>45856.0</v>
      </c>
      <c r="L143" s="87">
        <f t="shared" si="1"/>
        <v>0.09513854423</v>
      </c>
      <c r="M143" s="111">
        <v>105.25</v>
      </c>
      <c r="N143" s="111">
        <v>1000000.0</v>
      </c>
      <c r="O143" s="27">
        <f t="shared" si="28"/>
        <v>1063739.583</v>
      </c>
      <c r="P143" s="27">
        <f t="shared" si="26"/>
        <v>1052500</v>
      </c>
      <c r="Q143" s="27">
        <f t="shared" si="27"/>
        <v>11239.58333</v>
      </c>
      <c r="R143" s="27"/>
      <c r="S143" s="110"/>
      <c r="T143" s="110"/>
      <c r="U143" s="57"/>
      <c r="V143" s="57"/>
      <c r="W143" s="57"/>
      <c r="X143" s="57"/>
      <c r="Y143" s="57"/>
      <c r="Z143" s="57"/>
    </row>
    <row r="144" ht="13.5" customHeight="1">
      <c r="A144" s="57" t="s">
        <v>192</v>
      </c>
      <c r="B144" s="57" t="s">
        <v>118</v>
      </c>
      <c r="C144" s="57" t="s">
        <v>58</v>
      </c>
      <c r="D144" s="57" t="s">
        <v>59</v>
      </c>
      <c r="E144" s="57" t="s">
        <v>163</v>
      </c>
      <c r="F144" s="57" t="s">
        <v>14</v>
      </c>
      <c r="G144" s="57" t="s">
        <v>109</v>
      </c>
      <c r="H144" s="87">
        <v>0.09375</v>
      </c>
      <c r="I144" s="89">
        <v>54186.0</v>
      </c>
      <c r="J144" s="89">
        <v>45854.0</v>
      </c>
      <c r="K144" s="89">
        <v>45855.0</v>
      </c>
      <c r="L144" s="87">
        <f t="shared" si="1"/>
        <v>0.1222161691</v>
      </c>
      <c r="M144" s="111">
        <v>78.232</v>
      </c>
      <c r="N144" s="111">
        <v>1.0E7</v>
      </c>
      <c r="O144" s="27">
        <v>6325228.66</v>
      </c>
      <c r="P144" s="27">
        <f t="shared" si="26"/>
        <v>7823200</v>
      </c>
      <c r="Q144" s="27"/>
      <c r="R144" s="27"/>
      <c r="S144" s="110"/>
      <c r="T144" s="110"/>
      <c r="U144" s="57"/>
      <c r="V144" s="57"/>
      <c r="W144" s="57"/>
      <c r="X144" s="57"/>
      <c r="Y144" s="57"/>
      <c r="Z144" s="57"/>
    </row>
    <row r="145" ht="13.5" customHeight="1">
      <c r="A145" s="57" t="s">
        <v>192</v>
      </c>
      <c r="B145" s="57" t="s">
        <v>118</v>
      </c>
      <c r="C145" s="57" t="s">
        <v>58</v>
      </c>
      <c r="D145" s="57" t="s">
        <v>59</v>
      </c>
      <c r="E145" s="57" t="s">
        <v>163</v>
      </c>
      <c r="F145" s="57" t="s">
        <v>14</v>
      </c>
      <c r="G145" s="57" t="s">
        <v>109</v>
      </c>
      <c r="H145" s="87">
        <v>0.09375</v>
      </c>
      <c r="I145" s="89">
        <v>54186.0</v>
      </c>
      <c r="J145" s="89">
        <v>45854.0</v>
      </c>
      <c r="K145" s="89">
        <v>45855.0</v>
      </c>
      <c r="L145" s="87">
        <f t="shared" si="1"/>
        <v>0.1532963711</v>
      </c>
      <c r="M145" s="111">
        <v>62.4525333</v>
      </c>
      <c r="N145" s="111">
        <v>3000000.0</v>
      </c>
      <c r="O145" s="27">
        <f>IFERROR((N145*M145/100)+ACCRINT(COUPPCD(K145,I145,2,0),COUPNCD(K145,I145,2,0),K145,H145,N145,2,0),N145*M145/100)</f>
        <v>1927482.249</v>
      </c>
      <c r="P145" s="27">
        <f t="shared" si="26"/>
        <v>1873575.999</v>
      </c>
      <c r="Q145" s="27"/>
      <c r="R145" s="27"/>
      <c r="S145" s="110"/>
      <c r="T145" s="110"/>
      <c r="U145" s="57"/>
      <c r="V145" s="57"/>
      <c r="W145" s="57"/>
      <c r="X145" s="57"/>
      <c r="Y145" s="57"/>
      <c r="Z145" s="57"/>
    </row>
    <row r="146" ht="13.5" customHeight="1">
      <c r="A146" s="1" t="s">
        <v>192</v>
      </c>
      <c r="B146" s="57" t="s">
        <v>118</v>
      </c>
      <c r="C146" s="57" t="s">
        <v>58</v>
      </c>
      <c r="D146" s="1" t="s">
        <v>59</v>
      </c>
      <c r="E146" s="1" t="s">
        <v>163</v>
      </c>
      <c r="F146" s="1" t="s">
        <v>14</v>
      </c>
      <c r="G146" s="1" t="s">
        <v>114</v>
      </c>
      <c r="H146" s="62">
        <v>0.09125</v>
      </c>
      <c r="I146" s="42">
        <v>54753.0</v>
      </c>
      <c r="J146" s="42">
        <v>45854.0</v>
      </c>
      <c r="K146" s="42">
        <v>45855.0</v>
      </c>
      <c r="L146" s="62">
        <f t="shared" si="1"/>
        <v>0.1214122173</v>
      </c>
      <c r="M146" s="63">
        <v>76.537</v>
      </c>
      <c r="N146" s="116">
        <v>2700000.0</v>
      </c>
      <c r="O146" s="15">
        <f t="shared" ref="O146:O147" si="29">IFERROR((N146*M146/100)+ACCRINT(COUPPCD(K146,I146,2,0),COUPNCD(K146,I146,2,0),K146,H146,N146,2,0),N146*M146/100)*0.8</f>
        <v>1681121.7</v>
      </c>
      <c r="P146" s="15">
        <f t="shared" si="26"/>
        <v>2066499</v>
      </c>
      <c r="Q146" s="15"/>
      <c r="R146" s="15"/>
      <c r="S146" s="3"/>
      <c r="T146" s="3"/>
      <c r="U146" s="1"/>
      <c r="V146" s="1"/>
      <c r="W146" s="1"/>
      <c r="X146" s="1"/>
      <c r="Y146" s="1"/>
      <c r="Z146" s="1"/>
    </row>
    <row r="147" ht="13.5" customHeight="1">
      <c r="A147" s="71" t="s">
        <v>192</v>
      </c>
      <c r="B147" s="71" t="s">
        <v>118</v>
      </c>
      <c r="C147" s="71" t="s">
        <v>58</v>
      </c>
      <c r="D147" s="71" t="s">
        <v>59</v>
      </c>
      <c r="E147" s="71" t="s">
        <v>163</v>
      </c>
      <c r="F147" s="71" t="s">
        <v>14</v>
      </c>
      <c r="G147" s="71" t="s">
        <v>101</v>
      </c>
      <c r="H147" s="151">
        <v>0.0875</v>
      </c>
      <c r="I147" s="152">
        <v>48318.0</v>
      </c>
      <c r="J147" s="152">
        <v>45854.0</v>
      </c>
      <c r="K147" s="152">
        <v>45855.0</v>
      </c>
      <c r="L147" s="151">
        <f t="shared" si="1"/>
        <v>0.1144610938</v>
      </c>
      <c r="M147" s="153">
        <v>87.537</v>
      </c>
      <c r="N147" s="153">
        <v>6700000.0</v>
      </c>
      <c r="O147" s="154">
        <f t="shared" si="29"/>
        <v>4813141.533</v>
      </c>
      <c r="P147" s="154">
        <f t="shared" si="26"/>
        <v>5864979</v>
      </c>
      <c r="Q147" s="154"/>
      <c r="R147" s="154"/>
      <c r="S147" s="155"/>
      <c r="T147" s="155"/>
      <c r="U147" s="71"/>
      <c r="V147" s="71"/>
      <c r="W147" s="71"/>
      <c r="X147" s="71"/>
      <c r="Y147" s="71"/>
      <c r="Z147" s="71"/>
    </row>
    <row r="148" ht="13.5" customHeight="1">
      <c r="A148" s="1" t="s">
        <v>192</v>
      </c>
      <c r="B148" s="57" t="s">
        <v>118</v>
      </c>
      <c r="C148" s="57" t="s">
        <v>58</v>
      </c>
      <c r="D148" s="1" t="s">
        <v>59</v>
      </c>
      <c r="E148" s="1" t="s">
        <v>163</v>
      </c>
      <c r="F148" s="1" t="s">
        <v>14</v>
      </c>
      <c r="G148" s="1" t="s">
        <v>169</v>
      </c>
      <c r="H148" s="62">
        <v>0.095</v>
      </c>
      <c r="I148" s="42">
        <v>49739.0</v>
      </c>
      <c r="J148" s="42">
        <v>45854.0</v>
      </c>
      <c r="K148" s="42">
        <v>45855.0</v>
      </c>
      <c r="L148" s="62">
        <f t="shared" si="1"/>
        <v>0.1069389205</v>
      </c>
      <c r="M148" s="63">
        <v>92.499</v>
      </c>
      <c r="N148" s="116">
        <v>4950000.0</v>
      </c>
      <c r="O148" s="15">
        <f t="shared" ref="O148:O151" si="30">IFERROR((N148*M148/100)+ACCRINT(COUPPCD(K148,I148,2,0),COUPNCD(K148,I148,2,0),K148,H148,N148,2,0),N148*M148/100)</f>
        <v>4751125.5</v>
      </c>
      <c r="P148" s="15">
        <f t="shared" si="26"/>
        <v>4578700.5</v>
      </c>
      <c r="Q148" s="15"/>
      <c r="R148" s="15"/>
      <c r="S148" s="3"/>
      <c r="T148" s="3"/>
      <c r="U148" s="1"/>
      <c r="V148" s="1"/>
      <c r="W148" s="1"/>
      <c r="X148" s="1"/>
      <c r="Y148" s="1"/>
      <c r="Z148" s="1"/>
    </row>
    <row r="149" ht="13.5" customHeight="1">
      <c r="A149" s="57"/>
      <c r="B149" s="57" t="s">
        <v>57</v>
      </c>
      <c r="C149" s="57" t="s">
        <v>58</v>
      </c>
      <c r="D149" s="57" t="s">
        <v>59</v>
      </c>
      <c r="E149" s="57" t="s">
        <v>163</v>
      </c>
      <c r="F149" s="57" t="s">
        <v>14</v>
      </c>
      <c r="G149" s="57" t="s">
        <v>162</v>
      </c>
      <c r="H149" s="87">
        <v>0.10375</v>
      </c>
      <c r="I149" s="89">
        <v>49287.0</v>
      </c>
      <c r="J149" s="89">
        <v>45854.0</v>
      </c>
      <c r="K149" s="89">
        <v>45856.0</v>
      </c>
      <c r="L149" s="87">
        <f t="shared" si="1"/>
        <v>0.09680660885</v>
      </c>
      <c r="M149" s="111">
        <v>104.2</v>
      </c>
      <c r="N149" s="111">
        <v>2000000.0</v>
      </c>
      <c r="O149" s="27">
        <f t="shared" si="30"/>
        <v>2106479.167</v>
      </c>
      <c r="P149" s="27">
        <f t="shared" si="26"/>
        <v>2084000</v>
      </c>
      <c r="Q149" s="27"/>
      <c r="R149" s="27"/>
      <c r="S149" s="110"/>
      <c r="T149" s="110"/>
      <c r="U149" s="57"/>
      <c r="V149" s="57"/>
      <c r="W149" s="57"/>
      <c r="X149" s="57"/>
      <c r="Y149" s="57"/>
      <c r="Z149" s="57"/>
    </row>
    <row r="150" ht="13.5" customHeight="1">
      <c r="A150" s="57"/>
      <c r="B150" s="57" t="s">
        <v>130</v>
      </c>
      <c r="C150" s="57" t="s">
        <v>58</v>
      </c>
      <c r="D150" s="57" t="s">
        <v>59</v>
      </c>
      <c r="E150" s="57" t="s">
        <v>163</v>
      </c>
      <c r="F150" s="57" t="s">
        <v>14</v>
      </c>
      <c r="G150" s="57" t="s">
        <v>169</v>
      </c>
      <c r="H150" s="87">
        <v>0.095</v>
      </c>
      <c r="I150" s="89">
        <v>49739.0</v>
      </c>
      <c r="J150" s="89">
        <v>45854.0</v>
      </c>
      <c r="K150" s="89">
        <v>45859.0</v>
      </c>
      <c r="L150" s="87">
        <f t="shared" si="1"/>
        <v>0.1077075793</v>
      </c>
      <c r="M150" s="111">
        <v>92.05</v>
      </c>
      <c r="N150" s="111">
        <v>1000000.0</v>
      </c>
      <c r="O150" s="27">
        <f t="shared" si="30"/>
        <v>956388.8889</v>
      </c>
      <c r="P150" s="27">
        <f t="shared" si="26"/>
        <v>920500</v>
      </c>
      <c r="Q150" s="27"/>
      <c r="R150" s="27"/>
      <c r="S150" s="110"/>
      <c r="T150" s="110"/>
      <c r="U150" s="57"/>
      <c r="V150" s="57"/>
      <c r="W150" s="57"/>
      <c r="X150" s="57"/>
      <c r="Y150" s="57"/>
      <c r="Z150" s="57"/>
    </row>
    <row r="151" ht="13.5" customHeight="1">
      <c r="A151" s="57"/>
      <c r="B151" s="57" t="s">
        <v>172</v>
      </c>
      <c r="C151" s="57" t="s">
        <v>58</v>
      </c>
      <c r="D151" s="57" t="s">
        <v>59</v>
      </c>
      <c r="E151" s="57" t="s">
        <v>188</v>
      </c>
      <c r="F151" s="57" t="s">
        <v>14</v>
      </c>
      <c r="G151" s="57" t="s">
        <v>169</v>
      </c>
      <c r="H151" s="87">
        <v>0.095</v>
      </c>
      <c r="I151" s="89">
        <v>49739.0</v>
      </c>
      <c r="J151" s="89">
        <v>45854.0</v>
      </c>
      <c r="K151" s="89">
        <v>45860.0</v>
      </c>
      <c r="L151" s="87">
        <f t="shared" si="1"/>
        <v>0.107794973</v>
      </c>
      <c r="M151" s="111">
        <v>92.0</v>
      </c>
      <c r="N151" s="111">
        <v>2000000.0</v>
      </c>
      <c r="O151" s="27">
        <f t="shared" si="30"/>
        <v>1912305.556</v>
      </c>
      <c r="P151" s="27">
        <f t="shared" si="26"/>
        <v>1840000</v>
      </c>
      <c r="Q151" s="27"/>
      <c r="R151" s="27"/>
      <c r="S151" s="110"/>
      <c r="T151" s="110"/>
      <c r="U151" s="57"/>
      <c r="V151" s="57"/>
      <c r="W151" s="57"/>
      <c r="X151" s="57"/>
      <c r="Y151" s="57"/>
      <c r="Z151" s="57"/>
    </row>
    <row r="152" ht="13.5" customHeight="1">
      <c r="A152" s="57" t="s">
        <v>196</v>
      </c>
      <c r="B152" s="57" t="s">
        <v>118</v>
      </c>
      <c r="C152" s="57" t="s">
        <v>58</v>
      </c>
      <c r="D152" s="57" t="s">
        <v>59</v>
      </c>
      <c r="E152" s="57" t="s">
        <v>163</v>
      </c>
      <c r="F152" s="57" t="s">
        <v>12</v>
      </c>
      <c r="G152" s="57" t="s">
        <v>176</v>
      </c>
      <c r="H152" s="87">
        <v>0.0825</v>
      </c>
      <c r="I152" s="89">
        <v>55424.0</v>
      </c>
      <c r="J152" s="89">
        <v>45854.0</v>
      </c>
      <c r="K152" s="89">
        <v>45855.0</v>
      </c>
      <c r="L152" s="87">
        <f t="shared" si="1"/>
        <v>0.106732464</v>
      </c>
      <c r="M152" s="63">
        <v>78.76</v>
      </c>
      <c r="N152" s="63">
        <v>2600000.0</v>
      </c>
      <c r="O152" s="27">
        <v>1655685.71</v>
      </c>
      <c r="P152" s="27">
        <f t="shared" si="26"/>
        <v>2047760</v>
      </c>
      <c r="Q152" s="27"/>
      <c r="R152" s="27"/>
      <c r="S152" s="110"/>
      <c r="T152" s="110"/>
      <c r="U152" s="57"/>
      <c r="V152" s="57"/>
      <c r="W152" s="57"/>
      <c r="X152" s="57"/>
      <c r="Y152" s="57"/>
      <c r="Z152" s="57"/>
    </row>
    <row r="153" ht="13.5" customHeight="1">
      <c r="A153" s="1" t="s">
        <v>196</v>
      </c>
      <c r="B153" s="57" t="s">
        <v>118</v>
      </c>
      <c r="C153" s="57" t="s">
        <v>58</v>
      </c>
      <c r="D153" s="1" t="s">
        <v>59</v>
      </c>
      <c r="E153" s="1" t="s">
        <v>163</v>
      </c>
      <c r="F153" s="1" t="s">
        <v>12</v>
      </c>
      <c r="G153" s="1" t="s">
        <v>101</v>
      </c>
      <c r="H153" s="62">
        <v>0.0875</v>
      </c>
      <c r="I153" s="42">
        <v>48318.0</v>
      </c>
      <c r="J153" s="42">
        <v>45854.0</v>
      </c>
      <c r="K153" s="42">
        <v>45855.0</v>
      </c>
      <c r="L153" s="62">
        <f t="shared" si="1"/>
        <v>0.1246325131</v>
      </c>
      <c r="M153" s="63">
        <v>83.36</v>
      </c>
      <c r="N153" s="63">
        <v>2000000.0</v>
      </c>
      <c r="O153" s="15">
        <v>1348102.66</v>
      </c>
      <c r="P153" s="15">
        <f t="shared" si="26"/>
        <v>1667200</v>
      </c>
      <c r="Q153" s="15"/>
      <c r="R153" s="15"/>
      <c r="S153" s="3"/>
      <c r="T153" s="3"/>
      <c r="U153" s="1"/>
      <c r="V153" s="1"/>
      <c r="W153" s="1"/>
      <c r="X153" s="1"/>
      <c r="Y153" s="1"/>
      <c r="Z153" s="1"/>
    </row>
    <row r="154" ht="13.5" customHeight="1">
      <c r="A154" s="1" t="s">
        <v>196</v>
      </c>
      <c r="B154" s="57" t="s">
        <v>118</v>
      </c>
      <c r="C154" s="57" t="s">
        <v>58</v>
      </c>
      <c r="D154" s="1" t="s">
        <v>59</v>
      </c>
      <c r="E154" s="1" t="s">
        <v>163</v>
      </c>
      <c r="F154" s="1" t="s">
        <v>12</v>
      </c>
      <c r="G154" s="1" t="s">
        <v>166</v>
      </c>
      <c r="H154" s="62">
        <v>0.0825</v>
      </c>
      <c r="I154" s="42">
        <v>46882.0</v>
      </c>
      <c r="J154" s="42">
        <v>45854.0</v>
      </c>
      <c r="K154" s="42">
        <v>45855.0</v>
      </c>
      <c r="L154" s="62">
        <f t="shared" si="1"/>
        <v>0.1165729671</v>
      </c>
      <c r="M154" s="63">
        <v>92.0</v>
      </c>
      <c r="N154" s="63">
        <v>7900000.0</v>
      </c>
      <c r="O154" s="15">
        <v>5936115.96</v>
      </c>
      <c r="P154" s="15">
        <f t="shared" si="26"/>
        <v>7268000</v>
      </c>
      <c r="Q154" s="15"/>
      <c r="R154" s="15"/>
      <c r="S154" s="3"/>
      <c r="T154" s="3"/>
      <c r="U154" s="1"/>
      <c r="V154" s="1"/>
      <c r="W154" s="1"/>
      <c r="X154" s="1"/>
      <c r="Y154" s="1"/>
      <c r="Z154" s="1"/>
    </row>
    <row r="155" ht="13.5" customHeight="1">
      <c r="A155" s="1" t="s">
        <v>196</v>
      </c>
      <c r="B155" s="57" t="s">
        <v>118</v>
      </c>
      <c r="C155" s="57" t="s">
        <v>58</v>
      </c>
      <c r="D155" s="1" t="s">
        <v>59</v>
      </c>
      <c r="E155" s="1" t="s">
        <v>163</v>
      </c>
      <c r="F155" s="1" t="s">
        <v>12</v>
      </c>
      <c r="G155" s="1" t="s">
        <v>160</v>
      </c>
      <c r="H155" s="62">
        <v>0.08375</v>
      </c>
      <c r="I155" s="42">
        <v>47201.0</v>
      </c>
      <c r="J155" s="42">
        <v>45854.0</v>
      </c>
      <c r="K155" s="42">
        <v>45855.0</v>
      </c>
      <c r="L155" s="62">
        <f t="shared" si="1"/>
        <v>0.09159463287</v>
      </c>
      <c r="M155" s="63">
        <v>97.57</v>
      </c>
      <c r="N155" s="63">
        <v>4100000.0</v>
      </c>
      <c r="O155" s="15">
        <v>3234737.29</v>
      </c>
      <c r="P155" s="15">
        <f t="shared" si="26"/>
        <v>4000370</v>
      </c>
      <c r="Q155" s="15"/>
      <c r="R155" s="15"/>
      <c r="S155" s="3"/>
      <c r="T155" s="3"/>
      <c r="U155" s="1"/>
      <c r="V155" s="1"/>
      <c r="W155" s="1"/>
      <c r="X155" s="1"/>
      <c r="Y155" s="1"/>
      <c r="Z155" s="1"/>
    </row>
    <row r="156" ht="13.5" customHeight="1">
      <c r="A156" s="1" t="s">
        <v>196</v>
      </c>
      <c r="B156" s="57" t="s">
        <v>118</v>
      </c>
      <c r="C156" s="57" t="s">
        <v>58</v>
      </c>
      <c r="D156" s="1" t="s">
        <v>59</v>
      </c>
      <c r="E156" s="1" t="s">
        <v>163</v>
      </c>
      <c r="F156" s="1" t="s">
        <v>12</v>
      </c>
      <c r="G156" s="1" t="s">
        <v>158</v>
      </c>
      <c r="H156" s="62">
        <v>0.07875</v>
      </c>
      <c r="I156" s="42">
        <v>48260.0</v>
      </c>
      <c r="J156" s="42">
        <v>45854.0</v>
      </c>
      <c r="K156" s="42">
        <v>45855.0</v>
      </c>
      <c r="L156" s="62">
        <f t="shared" si="1"/>
        <v>0.09808966245</v>
      </c>
      <c r="M156" s="63">
        <v>90.77</v>
      </c>
      <c r="N156" s="63">
        <v>1000000.0</v>
      </c>
      <c r="O156" s="15">
        <v>733921.88</v>
      </c>
      <c r="P156" s="15">
        <f t="shared" si="26"/>
        <v>907700</v>
      </c>
      <c r="Q156" s="15"/>
      <c r="R156" s="15"/>
      <c r="S156" s="3"/>
      <c r="T156" s="3"/>
      <c r="U156" s="1"/>
      <c r="V156" s="1"/>
      <c r="W156" s="1"/>
      <c r="X156" s="1"/>
      <c r="Y156" s="1"/>
      <c r="Z156" s="1"/>
    </row>
    <row r="157" ht="13.5" customHeight="1">
      <c r="A157" s="1" t="s">
        <v>196</v>
      </c>
      <c r="B157" s="57" t="s">
        <v>118</v>
      </c>
      <c r="C157" s="57" t="s">
        <v>58</v>
      </c>
      <c r="D157" s="1" t="s">
        <v>59</v>
      </c>
      <c r="E157" s="1" t="s">
        <v>163</v>
      </c>
      <c r="F157" s="1" t="s">
        <v>12</v>
      </c>
      <c r="G157" s="1" t="s">
        <v>164</v>
      </c>
      <c r="H157" s="62">
        <v>0.08746999999999999</v>
      </c>
      <c r="I157" s="42">
        <v>47869.0</v>
      </c>
      <c r="J157" s="42">
        <v>45854.0</v>
      </c>
      <c r="K157" s="42">
        <v>45855.0</v>
      </c>
      <c r="L157" s="62">
        <f t="shared" si="1"/>
        <v>0.09447794518</v>
      </c>
      <c r="M157" s="63">
        <v>97.04</v>
      </c>
      <c r="N157" s="63">
        <v>1100000.0</v>
      </c>
      <c r="O157" s="15">
        <v>863092.72</v>
      </c>
      <c r="P157" s="15">
        <f t="shared" si="26"/>
        <v>1067440</v>
      </c>
      <c r="Q157" s="15"/>
      <c r="R157" s="79">
        <f>63.2858667*3000000/100</f>
        <v>1898576.001</v>
      </c>
      <c r="S157" s="3">
        <f>ACCRINT(COUPPCD(K147,I145,2,0),COUPNCD(K147,I145,2,0),K145,H145,100,2,0)</f>
        <v>1.796875</v>
      </c>
      <c r="T157" s="3">
        <f>S157*0.8</f>
        <v>1.4375</v>
      </c>
      <c r="U157" s="1"/>
      <c r="V157" s="1"/>
      <c r="W157" s="1"/>
      <c r="X157" s="1"/>
      <c r="Y157" s="1"/>
      <c r="Z157" s="1"/>
    </row>
    <row r="158" ht="13.5" customHeight="1">
      <c r="A158" s="156" t="s">
        <v>196</v>
      </c>
      <c r="B158" s="156" t="s">
        <v>118</v>
      </c>
      <c r="C158" s="156" t="s">
        <v>58</v>
      </c>
      <c r="D158" s="156" t="s">
        <v>59</v>
      </c>
      <c r="E158" s="156" t="s">
        <v>163</v>
      </c>
      <c r="F158" s="156" t="s">
        <v>12</v>
      </c>
      <c r="G158" s="156" t="s">
        <v>155</v>
      </c>
      <c r="H158" s="157">
        <v>0.09125</v>
      </c>
      <c r="I158" s="158">
        <f>IFERROR(VLOOKUP($G158,'Bonds Universe'!$D:$H,3,FALSE), "")</f>
        <v>46210</v>
      </c>
      <c r="J158" s="158">
        <v>45854.0</v>
      </c>
      <c r="K158" s="158">
        <v>45855.0</v>
      </c>
      <c r="L158" s="157">
        <f t="shared" si="1"/>
        <v>0.1231674607</v>
      </c>
      <c r="M158" s="159">
        <v>97.15</v>
      </c>
      <c r="N158" s="159">
        <v>2500000.0</v>
      </c>
      <c r="O158" s="120">
        <v>1597079.65</v>
      </c>
      <c r="P158" s="120">
        <f t="shared" si="26"/>
        <v>2428750</v>
      </c>
      <c r="Q158" s="120"/>
      <c r="R158" s="120"/>
      <c r="S158" s="160"/>
      <c r="T158" s="160"/>
      <c r="U158" s="156"/>
      <c r="V158" s="156"/>
      <c r="W158" s="156"/>
      <c r="X158" s="156"/>
      <c r="Y158" s="156"/>
      <c r="Z158" s="156"/>
    </row>
    <row r="159" ht="13.5" customHeight="1">
      <c r="A159" s="1" t="s">
        <v>196</v>
      </c>
      <c r="B159" s="57" t="s">
        <v>118</v>
      </c>
      <c r="C159" s="57" t="s">
        <v>58</v>
      </c>
      <c r="D159" s="1" t="s">
        <v>59</v>
      </c>
      <c r="E159" s="1" t="s">
        <v>163</v>
      </c>
      <c r="F159" s="1" t="s">
        <v>12</v>
      </c>
      <c r="G159" s="1" t="s">
        <v>101</v>
      </c>
      <c r="H159" s="62">
        <v>0.0875</v>
      </c>
      <c r="I159" s="42">
        <v>48318.0</v>
      </c>
      <c r="J159" s="42">
        <v>45854.0</v>
      </c>
      <c r="K159" s="42">
        <v>45855.0</v>
      </c>
      <c r="L159" s="62">
        <f t="shared" si="1"/>
        <v>0.1246325131</v>
      </c>
      <c r="M159" s="63">
        <v>83.36</v>
      </c>
      <c r="N159" s="63">
        <v>3000000.0</v>
      </c>
      <c r="O159" s="15">
        <v>2022178.25</v>
      </c>
      <c r="P159" s="15">
        <f t="shared" si="26"/>
        <v>2500800</v>
      </c>
      <c r="Q159" s="15"/>
      <c r="R159" s="12">
        <f>25000/3000000</f>
        <v>0.008333333333</v>
      </c>
      <c r="S159" s="3"/>
      <c r="T159" s="3"/>
      <c r="U159" s="1"/>
      <c r="V159" s="1"/>
      <c r="W159" s="1"/>
      <c r="X159" s="1"/>
      <c r="Y159" s="1"/>
      <c r="Z159" s="1"/>
    </row>
    <row r="160" ht="13.5" customHeight="1">
      <c r="A160" s="1" t="s">
        <v>196</v>
      </c>
      <c r="B160" s="57" t="s">
        <v>118</v>
      </c>
      <c r="C160" s="57" t="s">
        <v>58</v>
      </c>
      <c r="D160" s="1" t="s">
        <v>59</v>
      </c>
      <c r="E160" s="1" t="s">
        <v>163</v>
      </c>
      <c r="F160" s="1" t="s">
        <v>12</v>
      </c>
      <c r="G160" s="1" t="s">
        <v>162</v>
      </c>
      <c r="H160" s="62">
        <v>0.10375</v>
      </c>
      <c r="I160" s="42">
        <v>49287.0</v>
      </c>
      <c r="J160" s="42">
        <v>45854.0</v>
      </c>
      <c r="K160" s="42">
        <v>45855.0</v>
      </c>
      <c r="L160" s="62">
        <f t="shared" si="1"/>
        <v>0.09934485312</v>
      </c>
      <c r="M160" s="63">
        <v>102.63</v>
      </c>
      <c r="N160" s="63">
        <v>750000.0</v>
      </c>
      <c r="O160" s="15">
        <v>622112.75</v>
      </c>
      <c r="P160" s="15">
        <f t="shared" si="26"/>
        <v>769725</v>
      </c>
      <c r="Q160" s="15"/>
      <c r="R160" s="15"/>
      <c r="S160" s="3"/>
      <c r="T160" s="3"/>
      <c r="U160" s="1"/>
      <c r="V160" s="1"/>
      <c r="W160" s="1"/>
      <c r="X160" s="1"/>
      <c r="Y160" s="1"/>
      <c r="Z160" s="1"/>
    </row>
    <row r="161" ht="13.5" customHeight="1">
      <c r="A161" s="57"/>
      <c r="B161" s="57" t="s">
        <v>130</v>
      </c>
      <c r="C161" s="57" t="s">
        <v>58</v>
      </c>
      <c r="D161" s="57" t="s">
        <v>59</v>
      </c>
      <c r="E161" s="57" t="s">
        <v>163</v>
      </c>
      <c r="F161" s="57" t="s">
        <v>14</v>
      </c>
      <c r="G161" s="57" t="s">
        <v>166</v>
      </c>
      <c r="H161" s="87">
        <v>0.0825</v>
      </c>
      <c r="I161" s="89">
        <v>46882.0</v>
      </c>
      <c r="J161" s="89">
        <v>45853.0</v>
      </c>
      <c r="K161" s="89">
        <v>45855.0</v>
      </c>
      <c r="L161" s="87">
        <f t="shared" si="1"/>
        <v>0.1055135653</v>
      </c>
      <c r="M161" s="111">
        <v>94.5</v>
      </c>
      <c r="N161" s="111">
        <v>1500000.0</v>
      </c>
      <c r="O161" s="27">
        <v>1428500.0</v>
      </c>
      <c r="P161" s="27">
        <f t="shared" si="26"/>
        <v>1417500</v>
      </c>
      <c r="Q161" s="27"/>
      <c r="R161" s="27"/>
      <c r="S161" s="110"/>
      <c r="T161" s="110"/>
      <c r="U161" s="57"/>
      <c r="V161" s="57"/>
      <c r="W161" s="57"/>
      <c r="X161" s="57"/>
      <c r="Y161" s="57"/>
      <c r="Z161" s="57"/>
    </row>
    <row r="162" ht="13.5" customHeight="1">
      <c r="A162" s="57"/>
      <c r="B162" s="57" t="s">
        <v>130</v>
      </c>
      <c r="C162" s="57" t="s">
        <v>58</v>
      </c>
      <c r="D162" s="57" t="s">
        <v>59</v>
      </c>
      <c r="E162" s="57" t="s">
        <v>163</v>
      </c>
      <c r="F162" s="57" t="s">
        <v>14</v>
      </c>
      <c r="G162" s="57" t="s">
        <v>166</v>
      </c>
      <c r="H162" s="87">
        <v>0.0825</v>
      </c>
      <c r="I162" s="89">
        <v>46882.0</v>
      </c>
      <c r="J162" s="89">
        <v>45853.0</v>
      </c>
      <c r="K162" s="89">
        <v>45856.0</v>
      </c>
      <c r="L162" s="87">
        <f t="shared" si="1"/>
        <v>0.1066235997</v>
      </c>
      <c r="M162" s="111">
        <v>94.25</v>
      </c>
      <c r="N162" s="111">
        <v>1000000.0</v>
      </c>
      <c r="O162" s="27">
        <v>950062.5</v>
      </c>
      <c r="P162" s="27">
        <f t="shared" si="26"/>
        <v>942500</v>
      </c>
      <c r="Q162" s="27"/>
      <c r="R162" s="27"/>
      <c r="S162" s="110"/>
      <c r="T162" s="110"/>
      <c r="U162" s="57"/>
      <c r="V162" s="57"/>
      <c r="W162" s="57"/>
      <c r="X162" s="57"/>
      <c r="Y162" s="57"/>
      <c r="Z162" s="57"/>
    </row>
    <row r="163" ht="13.5" customHeight="1">
      <c r="A163" s="57"/>
      <c r="B163" s="57" t="s">
        <v>130</v>
      </c>
      <c r="C163" s="57" t="s">
        <v>58</v>
      </c>
      <c r="D163" s="57" t="s">
        <v>59</v>
      </c>
      <c r="E163" s="57" t="s">
        <v>163</v>
      </c>
      <c r="F163" s="57" t="s">
        <v>14</v>
      </c>
      <c r="G163" s="57" t="s">
        <v>158</v>
      </c>
      <c r="H163" s="87">
        <v>0.07875</v>
      </c>
      <c r="I163" s="89">
        <v>48260.0</v>
      </c>
      <c r="J163" s="89">
        <v>45852.0</v>
      </c>
      <c r="K163" s="89">
        <v>45856.0</v>
      </c>
      <c r="L163" s="87">
        <f t="shared" si="1"/>
        <v>0.08840448976</v>
      </c>
      <c r="M163" s="111">
        <v>95.25</v>
      </c>
      <c r="N163" s="111">
        <v>1000000.0</v>
      </c>
      <c r="O163" s="27">
        <f t="shared" ref="O163:O168" si="31">IFERROR((N163*M163/100)+ACCRINT(COUPPCD(K163,I163,2,0),COUPNCD(K163,I163,2,0),K163,H163,N163,2,0),N163*M163/100)</f>
        <v>985750</v>
      </c>
      <c r="P163" s="27">
        <f t="shared" si="26"/>
        <v>952500</v>
      </c>
      <c r="Q163" s="27"/>
      <c r="R163" s="27"/>
      <c r="S163" s="110"/>
      <c r="T163" s="110"/>
      <c r="U163" s="57"/>
      <c r="V163" s="57"/>
      <c r="W163" s="57"/>
      <c r="X163" s="57"/>
      <c r="Y163" s="57"/>
      <c r="Z163" s="57"/>
    </row>
    <row r="164" ht="13.5" customHeight="1">
      <c r="A164" s="161"/>
      <c r="B164" s="161" t="s">
        <v>130</v>
      </c>
      <c r="C164" s="161" t="s">
        <v>58</v>
      </c>
      <c r="D164" s="161" t="s">
        <v>59</v>
      </c>
      <c r="E164" s="161" t="s">
        <v>163</v>
      </c>
      <c r="F164" s="161" t="s">
        <v>12</v>
      </c>
      <c r="G164" s="161" t="s">
        <v>176</v>
      </c>
      <c r="H164" s="162">
        <v>0.0825</v>
      </c>
      <c r="I164" s="163">
        <v>55424.0</v>
      </c>
      <c r="J164" s="163">
        <v>45852.0</v>
      </c>
      <c r="K164" s="163">
        <v>45856.0</v>
      </c>
      <c r="L164" s="162">
        <f t="shared" si="1"/>
        <v>0.100169034</v>
      </c>
      <c r="M164" s="164">
        <v>83.7</v>
      </c>
      <c r="N164" s="164">
        <v>2600000.0</v>
      </c>
      <c r="O164" s="165">
        <f t="shared" si="31"/>
        <v>2241741.667</v>
      </c>
      <c r="P164" s="165">
        <f t="shared" si="26"/>
        <v>2176200</v>
      </c>
      <c r="Q164" s="165"/>
      <c r="R164" s="165"/>
      <c r="S164" s="166"/>
      <c r="T164" s="166"/>
      <c r="U164" s="161"/>
      <c r="V164" s="161"/>
      <c r="W164" s="161"/>
      <c r="X164" s="161"/>
      <c r="Y164" s="161"/>
      <c r="Z164" s="161"/>
    </row>
    <row r="165" ht="13.5" customHeight="1">
      <c r="A165" s="57"/>
      <c r="B165" s="57" t="s">
        <v>130</v>
      </c>
      <c r="C165" s="57" t="s">
        <v>58</v>
      </c>
      <c r="D165" s="57" t="s">
        <v>59</v>
      </c>
      <c r="E165" s="57" t="s">
        <v>163</v>
      </c>
      <c r="F165" s="57" t="s">
        <v>14</v>
      </c>
      <c r="G165" s="57" t="s">
        <v>164</v>
      </c>
      <c r="H165" s="87">
        <v>0.08746999999999999</v>
      </c>
      <c r="I165" s="89">
        <v>47869.0</v>
      </c>
      <c r="J165" s="89">
        <v>45852.0</v>
      </c>
      <c r="K165" s="89">
        <v>45856.0</v>
      </c>
      <c r="L165" s="87">
        <f t="shared" si="1"/>
        <v>0.08596038972</v>
      </c>
      <c r="M165" s="111">
        <v>100.65</v>
      </c>
      <c r="N165" s="111">
        <v>1100000.0</v>
      </c>
      <c r="O165" s="27">
        <f t="shared" si="31"/>
        <v>1154456.692</v>
      </c>
      <c r="P165" s="27">
        <f t="shared" si="26"/>
        <v>1107150</v>
      </c>
      <c r="Q165" s="27"/>
      <c r="R165" s="27"/>
      <c r="S165" s="110"/>
      <c r="T165" s="110"/>
      <c r="U165" s="57"/>
      <c r="V165" s="57"/>
      <c r="W165" s="57"/>
      <c r="X165" s="57"/>
      <c r="Y165" s="57"/>
      <c r="Z165" s="57"/>
    </row>
    <row r="166" ht="13.5" customHeight="1">
      <c r="A166" s="57"/>
      <c r="B166" s="57" t="s">
        <v>172</v>
      </c>
      <c r="C166" s="57" t="s">
        <v>58</v>
      </c>
      <c r="D166" s="57" t="s">
        <v>59</v>
      </c>
      <c r="E166" s="57" t="s">
        <v>188</v>
      </c>
      <c r="F166" s="57" t="s">
        <v>14</v>
      </c>
      <c r="G166" s="57" t="s">
        <v>160</v>
      </c>
      <c r="H166" s="87">
        <v>0.08375</v>
      </c>
      <c r="I166" s="89">
        <v>47201.0</v>
      </c>
      <c r="J166" s="89">
        <v>45852.0</v>
      </c>
      <c r="K166" s="89">
        <v>45856.0</v>
      </c>
      <c r="L166" s="87">
        <f t="shared" si="1"/>
        <v>0.08103677816</v>
      </c>
      <c r="M166" s="111">
        <v>100.83</v>
      </c>
      <c r="N166" s="111">
        <v>4100000.0</v>
      </c>
      <c r="O166" s="27">
        <f t="shared" si="31"/>
        <v>4242765.417</v>
      </c>
      <c r="P166" s="27">
        <f t="shared" si="26"/>
        <v>4134030</v>
      </c>
      <c r="Q166" s="27"/>
      <c r="R166" s="27"/>
      <c r="S166" s="110"/>
      <c r="T166" s="110"/>
      <c r="U166" s="57"/>
      <c r="V166" s="57"/>
      <c r="W166" s="57"/>
      <c r="X166" s="57"/>
      <c r="Y166" s="57"/>
      <c r="Z166" s="57"/>
    </row>
    <row r="167" ht="13.5" customHeight="1">
      <c r="A167" s="57"/>
      <c r="B167" s="57" t="s">
        <v>57</v>
      </c>
      <c r="C167" s="57" t="s">
        <v>58</v>
      </c>
      <c r="D167" s="57" t="s">
        <v>59</v>
      </c>
      <c r="E167" s="57" t="s">
        <v>163</v>
      </c>
      <c r="F167" s="57" t="s">
        <v>14</v>
      </c>
      <c r="G167" s="57" t="s">
        <v>162</v>
      </c>
      <c r="H167" s="87">
        <v>0.10375</v>
      </c>
      <c r="I167" s="89">
        <v>49287.0</v>
      </c>
      <c r="J167" s="89">
        <v>45854.0</v>
      </c>
      <c r="K167" s="89">
        <v>45856.0</v>
      </c>
      <c r="L167" s="87">
        <f t="shared" si="1"/>
        <v>0.09680660885</v>
      </c>
      <c r="M167" s="111">
        <v>104.2</v>
      </c>
      <c r="N167" s="111">
        <v>750000.0</v>
      </c>
      <c r="O167" s="27">
        <f t="shared" si="31"/>
        <v>789929.6875</v>
      </c>
      <c r="P167" s="27">
        <f t="shared" si="26"/>
        <v>781500</v>
      </c>
      <c r="Q167" s="27"/>
      <c r="R167" s="27"/>
      <c r="S167" s="110"/>
      <c r="T167" s="110"/>
      <c r="U167" s="57"/>
      <c r="V167" s="57"/>
      <c r="W167" s="57"/>
      <c r="X167" s="57"/>
      <c r="Y167" s="57"/>
      <c r="Z167" s="57"/>
    </row>
    <row r="168" ht="13.5" customHeight="1">
      <c r="A168" s="57"/>
      <c r="B168" s="57" t="s">
        <v>172</v>
      </c>
      <c r="C168" s="57" t="s">
        <v>58</v>
      </c>
      <c r="D168" s="57" t="s">
        <v>59</v>
      </c>
      <c r="E168" s="57" t="s">
        <v>188</v>
      </c>
      <c r="F168" s="57" t="s">
        <v>14</v>
      </c>
      <c r="G168" s="57" t="s">
        <v>101</v>
      </c>
      <c r="H168" s="87">
        <v>0.0875</v>
      </c>
      <c r="I168" s="89">
        <v>48318.0</v>
      </c>
      <c r="J168" s="89">
        <v>45854.0</v>
      </c>
      <c r="K168" s="89">
        <v>45860.0</v>
      </c>
      <c r="L168" s="87">
        <f t="shared" si="1"/>
        <v>0.1148263689</v>
      </c>
      <c r="M168" s="111">
        <v>87.4</v>
      </c>
      <c r="N168" s="111">
        <v>5000000.0</v>
      </c>
      <c r="O168" s="27">
        <f t="shared" si="31"/>
        <v>4489097.222</v>
      </c>
      <c r="P168" s="27">
        <f t="shared" si="26"/>
        <v>4370000</v>
      </c>
      <c r="Q168" s="27"/>
      <c r="R168" s="27"/>
      <c r="S168" s="110"/>
      <c r="T168" s="110"/>
      <c r="U168" s="57"/>
      <c r="V168" s="57"/>
      <c r="W168" s="57"/>
      <c r="X168" s="57"/>
      <c r="Y168" s="57"/>
      <c r="Z168" s="57"/>
    </row>
    <row r="169" ht="13.5" customHeight="1">
      <c r="A169" s="57"/>
      <c r="B169" s="57" t="s">
        <v>130</v>
      </c>
      <c r="C169" s="57" t="s">
        <v>58</v>
      </c>
      <c r="D169" s="57" t="s">
        <v>59</v>
      </c>
      <c r="E169" s="57" t="s">
        <v>163</v>
      </c>
      <c r="F169" s="57" t="s">
        <v>14</v>
      </c>
      <c r="G169" s="57" t="s">
        <v>166</v>
      </c>
      <c r="H169" s="87">
        <v>0.0825</v>
      </c>
      <c r="I169" s="89">
        <v>46882.0</v>
      </c>
      <c r="J169" s="89">
        <v>45854.0</v>
      </c>
      <c r="K169" s="89">
        <v>45859.0</v>
      </c>
      <c r="L169" s="87">
        <f t="shared" si="1"/>
        <v>0.1088833437</v>
      </c>
      <c r="M169" s="111">
        <v>93.75</v>
      </c>
      <c r="N169" s="111">
        <v>3000000.0</v>
      </c>
      <c r="O169" s="27">
        <v>2837250.0</v>
      </c>
      <c r="P169" s="27">
        <f t="shared" si="26"/>
        <v>2812500</v>
      </c>
      <c r="Q169" s="27"/>
      <c r="R169" s="27"/>
      <c r="S169" s="110"/>
      <c r="T169" s="110"/>
      <c r="U169" s="57"/>
      <c r="V169" s="57"/>
      <c r="W169" s="57"/>
      <c r="X169" s="57"/>
      <c r="Y169" s="57"/>
      <c r="Z169" s="57"/>
    </row>
    <row r="170" ht="13.5" customHeight="1">
      <c r="A170" s="57"/>
      <c r="B170" s="57" t="s">
        <v>118</v>
      </c>
      <c r="C170" s="57" t="s">
        <v>58</v>
      </c>
      <c r="D170" s="57" t="s">
        <v>59</v>
      </c>
      <c r="E170" s="57" t="s">
        <v>163</v>
      </c>
      <c r="F170" s="57" t="s">
        <v>14</v>
      </c>
      <c r="G170" s="57" t="s">
        <v>166</v>
      </c>
      <c r="H170" s="87">
        <v>0.0825</v>
      </c>
      <c r="I170" s="89">
        <v>46882.0</v>
      </c>
      <c r="J170" s="89">
        <v>45854.0</v>
      </c>
      <c r="K170" s="89">
        <v>45859.0</v>
      </c>
      <c r="L170" s="87">
        <f t="shared" si="1"/>
        <v>0.1088833437</v>
      </c>
      <c r="M170" s="111">
        <v>93.75</v>
      </c>
      <c r="N170" s="111">
        <v>2400000.0</v>
      </c>
      <c r="O170" s="27">
        <v>2269800.0</v>
      </c>
      <c r="P170" s="27">
        <f t="shared" si="26"/>
        <v>2250000</v>
      </c>
      <c r="Q170" s="27"/>
      <c r="R170" s="27"/>
      <c r="S170" s="110"/>
      <c r="T170" s="110"/>
      <c r="U170" s="57"/>
      <c r="V170" s="57"/>
      <c r="W170" s="57"/>
      <c r="X170" s="57"/>
      <c r="Y170" s="57"/>
      <c r="Z170" s="57"/>
    </row>
    <row r="171" ht="13.5" customHeight="1">
      <c r="A171" s="57"/>
      <c r="B171" s="57" t="s">
        <v>130</v>
      </c>
      <c r="C171" s="57" t="s">
        <v>58</v>
      </c>
      <c r="D171" s="57" t="s">
        <v>74</v>
      </c>
      <c r="E171" s="57" t="s">
        <v>163</v>
      </c>
      <c r="F171" s="57" t="s">
        <v>14</v>
      </c>
      <c r="G171" s="57" t="s">
        <v>155</v>
      </c>
      <c r="H171" s="87">
        <v>0.09125</v>
      </c>
      <c r="I171" s="89">
        <f>IFERROR(VLOOKUP($G171,'Bonds Universe'!$D:$H,3,FALSE), "")</f>
        <v>46210</v>
      </c>
      <c r="J171" s="89">
        <v>45853.0</v>
      </c>
      <c r="K171" s="89">
        <v>45859.0</v>
      </c>
      <c r="L171" s="87">
        <f t="shared" si="1"/>
        <v>0.1015034352</v>
      </c>
      <c r="M171" s="111">
        <v>99.075</v>
      </c>
      <c r="N171" s="111">
        <v>2000000.0</v>
      </c>
      <c r="O171" s="27">
        <f t="shared" ref="O171:O172" si="32">IFERROR((N171*M171/100)+ACCRINT(COUPPCD(K171,I171,2,0),COUPNCD(K171,I171,2,0),K171,H171,N171,2,0),N171*M171/100)</f>
        <v>1988597.222</v>
      </c>
      <c r="P171" s="27">
        <f t="shared" si="26"/>
        <v>1981500</v>
      </c>
      <c r="Q171" s="27"/>
      <c r="R171" s="27"/>
      <c r="S171" s="110"/>
      <c r="T171" s="110"/>
      <c r="U171" s="57"/>
      <c r="V171" s="57"/>
      <c r="W171" s="57"/>
      <c r="X171" s="57"/>
      <c r="Y171" s="57"/>
      <c r="Z171" s="57"/>
    </row>
    <row r="172" ht="13.5" customHeight="1">
      <c r="A172" s="57"/>
      <c r="B172" s="57" t="s">
        <v>130</v>
      </c>
      <c r="C172" s="57" t="s">
        <v>58</v>
      </c>
      <c r="D172" s="57" t="s">
        <v>59</v>
      </c>
      <c r="E172" s="57" t="s">
        <v>163</v>
      </c>
      <c r="F172" s="57" t="s">
        <v>14</v>
      </c>
      <c r="G172" s="57" t="s">
        <v>155</v>
      </c>
      <c r="H172" s="87">
        <v>0.09125</v>
      </c>
      <c r="I172" s="89">
        <f>IFERROR(VLOOKUP($G172,'Bonds Universe'!$D:$H,3,FALSE), "")</f>
        <v>46210</v>
      </c>
      <c r="J172" s="89">
        <v>45853.0</v>
      </c>
      <c r="K172" s="89">
        <v>45859.0</v>
      </c>
      <c r="L172" s="87">
        <f t="shared" si="1"/>
        <v>0.1015034352</v>
      </c>
      <c r="M172" s="111">
        <v>99.075</v>
      </c>
      <c r="N172" s="111">
        <v>500000.0</v>
      </c>
      <c r="O172" s="27">
        <f t="shared" si="32"/>
        <v>497149.3056</v>
      </c>
      <c r="P172" s="27">
        <f t="shared" si="26"/>
        <v>495375</v>
      </c>
      <c r="Q172" s="27"/>
      <c r="R172" s="27"/>
      <c r="S172" s="110"/>
      <c r="T172" s="110"/>
      <c r="U172" s="57"/>
      <c r="V172" s="57"/>
      <c r="W172" s="57"/>
      <c r="X172" s="57"/>
      <c r="Y172" s="57"/>
      <c r="Z172" s="57"/>
    </row>
    <row r="173" ht="13.5" customHeight="1">
      <c r="A173" s="71" t="s">
        <v>202</v>
      </c>
      <c r="B173" s="71" t="s">
        <v>118</v>
      </c>
      <c r="C173" s="71" t="s">
        <v>58</v>
      </c>
      <c r="D173" s="71" t="s">
        <v>59</v>
      </c>
      <c r="E173" s="71" t="s">
        <v>163</v>
      </c>
      <c r="F173" s="71" t="s">
        <v>12</v>
      </c>
      <c r="G173" s="71" t="s">
        <v>101</v>
      </c>
      <c r="H173" s="151">
        <v>0.0875</v>
      </c>
      <c r="I173" s="152">
        <v>48318.0</v>
      </c>
      <c r="J173" s="152">
        <v>45859.0</v>
      </c>
      <c r="K173" s="152">
        <v>45860.0</v>
      </c>
      <c r="L173" s="151" t="str">
        <f t="shared" si="1"/>
        <v/>
      </c>
      <c r="M173" s="153"/>
      <c r="N173" s="153">
        <v>6700000.0</v>
      </c>
      <c r="O173" s="154">
        <v>4817152.49</v>
      </c>
      <c r="P173" s="154"/>
      <c r="Q173" s="154"/>
      <c r="R173" s="154"/>
      <c r="S173" s="155"/>
      <c r="T173" s="155"/>
      <c r="U173" s="71"/>
      <c r="V173" s="71"/>
      <c r="W173" s="71"/>
      <c r="X173" s="71"/>
      <c r="Y173" s="71"/>
      <c r="Z173" s="71"/>
    </row>
    <row r="174" ht="13.5" customHeight="1">
      <c r="A174" s="1" t="s">
        <v>202</v>
      </c>
      <c r="B174" s="57" t="s">
        <v>118</v>
      </c>
      <c r="C174" s="57" t="s">
        <v>58</v>
      </c>
      <c r="D174" s="1" t="s">
        <v>59</v>
      </c>
      <c r="E174" s="1" t="s">
        <v>163</v>
      </c>
      <c r="F174" s="1" t="s">
        <v>12</v>
      </c>
      <c r="G174" s="1" t="s">
        <v>169</v>
      </c>
      <c r="H174" s="62">
        <v>0.095</v>
      </c>
      <c r="I174" s="42">
        <v>49739.0</v>
      </c>
      <c r="J174" s="42">
        <v>45859.0</v>
      </c>
      <c r="K174" s="42">
        <v>45860.0</v>
      </c>
      <c r="L174" s="62" t="str">
        <f t="shared" si="1"/>
        <v/>
      </c>
      <c r="M174" s="63"/>
      <c r="N174" s="63">
        <v>4950000.0</v>
      </c>
      <c r="O174" s="15">
        <v>3804067.82</v>
      </c>
      <c r="P174" s="15"/>
      <c r="Q174" s="15"/>
      <c r="R174" s="15"/>
      <c r="S174" s="3"/>
      <c r="T174" s="3"/>
      <c r="U174" s="1"/>
      <c r="V174" s="1"/>
      <c r="W174" s="1"/>
      <c r="X174" s="1"/>
      <c r="Y174" s="1"/>
      <c r="Z174" s="1"/>
    </row>
    <row r="175" ht="13.5" customHeight="1">
      <c r="A175" s="1" t="s">
        <v>202</v>
      </c>
      <c r="B175" s="57" t="s">
        <v>118</v>
      </c>
      <c r="C175" s="57" t="s">
        <v>58</v>
      </c>
      <c r="D175" s="1" t="s">
        <v>59</v>
      </c>
      <c r="E175" s="1" t="s">
        <v>163</v>
      </c>
      <c r="F175" s="1" t="s">
        <v>12</v>
      </c>
      <c r="G175" s="1" t="s">
        <v>114</v>
      </c>
      <c r="H175" s="62">
        <v>0.09125</v>
      </c>
      <c r="I175" s="42">
        <v>54753.0</v>
      </c>
      <c r="J175" s="42">
        <v>45859.0</v>
      </c>
      <c r="K175" s="42">
        <v>45860.0</v>
      </c>
      <c r="L175" s="62" t="str">
        <f t="shared" si="1"/>
        <v/>
      </c>
      <c r="M175" s="63"/>
      <c r="N175" s="63">
        <v>2700000.0</v>
      </c>
      <c r="O175" s="15">
        <v>1682522.65</v>
      </c>
      <c r="P175" s="15"/>
      <c r="Q175" s="15"/>
      <c r="R175" s="15"/>
      <c r="S175" s="3"/>
      <c r="T175" s="3"/>
      <c r="U175" s="1"/>
      <c r="V175" s="1"/>
      <c r="W175" s="1"/>
      <c r="X175" s="1"/>
      <c r="Y175" s="1"/>
      <c r="Z175" s="1"/>
    </row>
    <row r="176" ht="13.5" customHeight="1">
      <c r="A176" s="57"/>
      <c r="B176" s="57" t="s">
        <v>130</v>
      </c>
      <c r="C176" s="57" t="s">
        <v>58</v>
      </c>
      <c r="D176" s="57" t="s">
        <v>59</v>
      </c>
      <c r="E176" s="57" t="s">
        <v>163</v>
      </c>
      <c r="F176" s="57" t="s">
        <v>14</v>
      </c>
      <c r="G176" s="57" t="s">
        <v>101</v>
      </c>
      <c r="H176" s="87">
        <v>0.0875</v>
      </c>
      <c r="I176" s="89">
        <v>48318.0</v>
      </c>
      <c r="J176" s="89">
        <v>45855.0</v>
      </c>
      <c r="K176" s="89">
        <v>45859.0</v>
      </c>
      <c r="L176" s="87">
        <f t="shared" si="1"/>
        <v>0.1148772028</v>
      </c>
      <c r="M176" s="111">
        <v>87.375</v>
      </c>
      <c r="N176" s="111">
        <v>2000000.0</v>
      </c>
      <c r="O176" s="27">
        <f>IFERROR((N176*M176/100)+ACCRINT(COUPPCD(K176,I176,2,0),COUPNCD(K176,I176,2,0),K176,H176,N176,2,0),N176*M176/100)</f>
        <v>1794652.778</v>
      </c>
      <c r="P176" s="27"/>
      <c r="Q176" s="27"/>
      <c r="R176" s="27"/>
      <c r="S176" s="110"/>
      <c r="T176" s="110"/>
      <c r="U176" s="57"/>
      <c r="V176" s="57"/>
      <c r="W176" s="57"/>
      <c r="X176" s="57"/>
      <c r="Y176" s="57"/>
      <c r="Z176" s="57"/>
    </row>
    <row r="177" ht="13.5" customHeight="1">
      <c r="A177" s="57"/>
      <c r="B177" s="57" t="s">
        <v>104</v>
      </c>
      <c r="C177" s="57" t="s">
        <v>58</v>
      </c>
      <c r="D177" s="57" t="s">
        <v>59</v>
      </c>
      <c r="E177" s="57" t="s">
        <v>163</v>
      </c>
      <c r="F177" s="57" t="s">
        <v>14</v>
      </c>
      <c r="G177" s="57" t="s">
        <v>101</v>
      </c>
      <c r="H177" s="87">
        <v>0.0875</v>
      </c>
      <c r="I177" s="89">
        <v>48318.0</v>
      </c>
      <c r="J177" s="89">
        <v>45855.0</v>
      </c>
      <c r="K177" s="89">
        <v>45860.0</v>
      </c>
      <c r="L177" s="87">
        <f t="shared" si="1"/>
        <v>0.1151582946</v>
      </c>
      <c r="M177" s="111">
        <v>87.26</v>
      </c>
      <c r="N177" s="111">
        <v>700000.0</v>
      </c>
      <c r="O177" s="27">
        <v>627493.61</v>
      </c>
      <c r="P177" s="27"/>
      <c r="Q177" s="27"/>
      <c r="R177" s="27"/>
      <c r="S177" s="110"/>
      <c r="T177" s="110"/>
      <c r="U177" s="57"/>
      <c r="V177" s="57"/>
      <c r="W177" s="57"/>
      <c r="X177" s="57"/>
      <c r="Y177" s="57"/>
      <c r="Z177" s="57"/>
    </row>
    <row r="178" ht="13.5" customHeight="1">
      <c r="A178" s="57"/>
      <c r="B178" s="57" t="s">
        <v>104</v>
      </c>
      <c r="C178" s="57" t="s">
        <v>58</v>
      </c>
      <c r="D178" s="57" t="s">
        <v>59</v>
      </c>
      <c r="E178" s="57" t="s">
        <v>163</v>
      </c>
      <c r="F178" s="57" t="s">
        <v>14</v>
      </c>
      <c r="G178" s="57" t="s">
        <v>101</v>
      </c>
      <c r="H178" s="87">
        <v>0.0875</v>
      </c>
      <c r="I178" s="89">
        <v>48318.0</v>
      </c>
      <c r="J178" s="89">
        <v>45855.0</v>
      </c>
      <c r="K178" s="89">
        <v>45860.0</v>
      </c>
      <c r="L178" s="87">
        <f t="shared" si="1"/>
        <v>0.1148263689</v>
      </c>
      <c r="M178" s="111">
        <v>87.4</v>
      </c>
      <c r="N178" s="111">
        <v>2000000.0</v>
      </c>
      <c r="O178" s="27">
        <v>1795638.89</v>
      </c>
      <c r="P178" s="27"/>
      <c r="Q178" s="27"/>
      <c r="R178" s="27"/>
      <c r="S178" s="110"/>
      <c r="T178" s="110"/>
      <c r="U178" s="57"/>
      <c r="V178" s="57"/>
      <c r="W178" s="57"/>
      <c r="X178" s="57"/>
      <c r="Y178" s="57"/>
      <c r="Z178" s="57"/>
    </row>
    <row r="179" ht="13.5" customHeight="1">
      <c r="A179" s="57"/>
      <c r="B179" s="57" t="s">
        <v>172</v>
      </c>
      <c r="C179" s="57" t="s">
        <v>58</v>
      </c>
      <c r="D179" s="57" t="s">
        <v>59</v>
      </c>
      <c r="E179" s="57" t="s">
        <v>163</v>
      </c>
      <c r="F179" s="57" t="s">
        <v>14</v>
      </c>
      <c r="G179" s="57" t="s">
        <v>101</v>
      </c>
      <c r="H179" s="87">
        <v>0.0875</v>
      </c>
      <c r="I179" s="89">
        <v>48318.0</v>
      </c>
      <c r="J179" s="89">
        <v>45855.0</v>
      </c>
      <c r="K179" s="89">
        <v>45860.0</v>
      </c>
      <c r="L179" s="87">
        <f t="shared" si="1"/>
        <v>0.1151820297</v>
      </c>
      <c r="M179" s="111">
        <v>87.25</v>
      </c>
      <c r="N179" s="111">
        <v>2000000.0</v>
      </c>
      <c r="O179" s="27">
        <v>1792638.89</v>
      </c>
      <c r="P179" s="27"/>
      <c r="Q179" s="27"/>
      <c r="R179" s="27"/>
      <c r="S179" s="110"/>
      <c r="T179" s="110"/>
      <c r="U179" s="57"/>
      <c r="V179" s="57"/>
      <c r="W179" s="57"/>
      <c r="X179" s="57"/>
      <c r="Y179" s="57"/>
      <c r="Z179" s="57"/>
    </row>
    <row r="180" ht="13.5" customHeight="1">
      <c r="A180" s="57"/>
      <c r="B180" s="57" t="s">
        <v>130</v>
      </c>
      <c r="C180" s="57" t="s">
        <v>58</v>
      </c>
      <c r="D180" s="57" t="s">
        <v>59</v>
      </c>
      <c r="E180" s="57" t="s">
        <v>163</v>
      </c>
      <c r="F180" s="57" t="s">
        <v>14</v>
      </c>
      <c r="G180" s="57" t="s">
        <v>169</v>
      </c>
      <c r="H180" s="87">
        <v>0.095</v>
      </c>
      <c r="I180" s="89">
        <v>49739.0</v>
      </c>
      <c r="J180" s="89">
        <v>45855.0</v>
      </c>
      <c r="K180" s="89">
        <v>45860.0</v>
      </c>
      <c r="L180" s="87">
        <f t="shared" si="1"/>
        <v>0.1059423197</v>
      </c>
      <c r="M180" s="111">
        <v>93.1</v>
      </c>
      <c r="N180" s="111">
        <v>1950000.0</v>
      </c>
      <c r="O180" s="27">
        <v>1885947.92</v>
      </c>
      <c r="P180" s="27"/>
      <c r="Q180" s="27"/>
      <c r="R180" s="27"/>
      <c r="S180" s="110"/>
      <c r="T180" s="110"/>
      <c r="U180" s="57"/>
      <c r="V180" s="57"/>
      <c r="W180" s="57"/>
      <c r="X180" s="57"/>
      <c r="Y180" s="57"/>
      <c r="Z180" s="57"/>
    </row>
    <row r="181" ht="13.5" customHeight="1">
      <c r="A181" s="1" t="s">
        <v>202</v>
      </c>
      <c r="B181" s="57" t="s">
        <v>118</v>
      </c>
      <c r="C181" s="57" t="s">
        <v>58</v>
      </c>
      <c r="D181" s="1" t="s">
        <v>59</v>
      </c>
      <c r="E181" s="1" t="s">
        <v>163</v>
      </c>
      <c r="F181" s="1" t="s">
        <v>12</v>
      </c>
      <c r="G181" s="1" t="s">
        <v>109</v>
      </c>
      <c r="H181" s="62">
        <v>0.09375</v>
      </c>
      <c r="I181" s="42">
        <v>54186.0</v>
      </c>
      <c r="J181" s="42">
        <v>45860.0</v>
      </c>
      <c r="K181" s="42">
        <v>45861.0</v>
      </c>
      <c r="L181" s="62" t="str">
        <f t="shared" si="1"/>
        <v/>
      </c>
      <c r="M181" s="63"/>
      <c r="N181" s="63">
        <v>1.0E7</v>
      </c>
      <c r="O181" s="15">
        <v>6331551.89</v>
      </c>
      <c r="P181" s="15"/>
      <c r="Q181" s="15"/>
      <c r="R181" s="15"/>
      <c r="S181" s="3"/>
      <c r="T181" s="3"/>
      <c r="U181" s="1"/>
      <c r="V181" s="1"/>
      <c r="W181" s="1"/>
      <c r="X181" s="1"/>
      <c r="Y181" s="1"/>
      <c r="Z181" s="1"/>
    </row>
    <row r="182" ht="13.5" customHeight="1">
      <c r="A182" s="57"/>
      <c r="B182" s="57" t="s">
        <v>130</v>
      </c>
      <c r="C182" s="57" t="s">
        <v>58</v>
      </c>
      <c r="D182" s="57" t="s">
        <v>59</v>
      </c>
      <c r="E182" s="57" t="s">
        <v>163</v>
      </c>
      <c r="F182" s="57" t="s">
        <v>14</v>
      </c>
      <c r="G182" s="57" t="s">
        <v>176</v>
      </c>
      <c r="H182" s="87">
        <v>0.0825</v>
      </c>
      <c r="I182" s="89">
        <v>55424.0</v>
      </c>
      <c r="J182" s="89">
        <v>45859.0</v>
      </c>
      <c r="K182" s="89">
        <v>45860.0</v>
      </c>
      <c r="L182" s="87">
        <f t="shared" si="1"/>
        <v>0.1001085503</v>
      </c>
      <c r="M182" s="111">
        <v>83.75</v>
      </c>
      <c r="N182" s="111">
        <v>2600000.0</v>
      </c>
      <c r="O182" s="27">
        <f t="shared" ref="O182:O183" si="33">IFERROR((N182*M182/100)+ACCRINT(COUPPCD(K182,I182,2,0),COUPNCD(K182,I182,2,0),K182,H182,N182,2,0),N182*M182/100)</f>
        <v>2245425</v>
      </c>
      <c r="P182" s="27">
        <f t="shared" ref="P182:P183" si="34">N182*M182/100</f>
        <v>2177500</v>
      </c>
      <c r="Q182" s="27"/>
      <c r="R182" s="27"/>
      <c r="S182" s="110"/>
      <c r="T182" s="110"/>
      <c r="U182" s="57"/>
      <c r="V182" s="57"/>
      <c r="W182" s="57"/>
      <c r="X182" s="57"/>
      <c r="Y182" s="57"/>
      <c r="Z182" s="57"/>
    </row>
    <row r="183" ht="13.5" customHeight="1">
      <c r="A183" s="57"/>
      <c r="B183" s="57" t="s">
        <v>130</v>
      </c>
      <c r="C183" s="57" t="s">
        <v>58</v>
      </c>
      <c r="D183" s="57" t="s">
        <v>59</v>
      </c>
      <c r="E183" s="57" t="s">
        <v>163</v>
      </c>
      <c r="F183" s="57" t="s">
        <v>14</v>
      </c>
      <c r="G183" s="57" t="s">
        <v>176</v>
      </c>
      <c r="H183" s="87">
        <v>0.0825</v>
      </c>
      <c r="I183" s="89">
        <v>55424.0</v>
      </c>
      <c r="J183" s="89">
        <v>45859.0</v>
      </c>
      <c r="K183" s="89">
        <v>45860.0</v>
      </c>
      <c r="L183" s="87">
        <f t="shared" si="1"/>
        <v>0.1001085503</v>
      </c>
      <c r="M183" s="111">
        <v>83.75</v>
      </c>
      <c r="N183" s="111">
        <v>2600000.0</v>
      </c>
      <c r="O183" s="27">
        <f t="shared" si="33"/>
        <v>2245425</v>
      </c>
      <c r="P183" s="27">
        <f t="shared" si="34"/>
        <v>2177500</v>
      </c>
      <c r="Q183" s="27"/>
      <c r="R183" s="27"/>
      <c r="S183" s="110"/>
      <c r="T183" s="110"/>
      <c r="U183" s="57"/>
      <c r="V183" s="57"/>
      <c r="W183" s="57"/>
      <c r="X183" s="57"/>
      <c r="Y183" s="57"/>
      <c r="Z183" s="57"/>
    </row>
    <row r="184" ht="13.5" customHeight="1">
      <c r="A184" s="1" t="s">
        <v>202</v>
      </c>
      <c r="B184" s="57" t="s">
        <v>118</v>
      </c>
      <c r="C184" s="57" t="s">
        <v>58</v>
      </c>
      <c r="D184" s="1" t="s">
        <v>59</v>
      </c>
      <c r="E184" s="1" t="s">
        <v>163</v>
      </c>
      <c r="F184" s="1" t="s">
        <v>12</v>
      </c>
      <c r="G184" s="57" t="s">
        <v>162</v>
      </c>
      <c r="H184" s="62">
        <v>0.10375</v>
      </c>
      <c r="I184" s="42">
        <v>49287.0</v>
      </c>
      <c r="J184" s="42">
        <v>45854.0</v>
      </c>
      <c r="K184" s="42">
        <v>45855.0</v>
      </c>
      <c r="L184" s="62">
        <f t="shared" si="1"/>
        <v>0.09934485312</v>
      </c>
      <c r="M184" s="63">
        <v>102.63</v>
      </c>
      <c r="N184" s="63">
        <v>750000.0</v>
      </c>
      <c r="O184" s="15">
        <v>622112.75</v>
      </c>
      <c r="P184" s="15"/>
      <c r="Q184" s="15"/>
      <c r="R184" s="15"/>
      <c r="S184" s="3"/>
      <c r="T184" s="3"/>
      <c r="U184" s="1"/>
      <c r="V184" s="1"/>
      <c r="W184" s="1"/>
      <c r="X184" s="1"/>
      <c r="Y184" s="1"/>
      <c r="Z184" s="1"/>
    </row>
    <row r="185" ht="13.5" customHeight="1">
      <c r="A185" s="1" t="s">
        <v>202</v>
      </c>
      <c r="B185" s="57" t="s">
        <v>118</v>
      </c>
      <c r="C185" s="57" t="s">
        <v>58</v>
      </c>
      <c r="D185" s="1" t="s">
        <v>59</v>
      </c>
      <c r="E185" s="1" t="s">
        <v>163</v>
      </c>
      <c r="F185" s="1" t="s">
        <v>12</v>
      </c>
      <c r="G185" s="1" t="s">
        <v>155</v>
      </c>
      <c r="H185" s="62">
        <v>0.09125</v>
      </c>
      <c r="I185" s="42">
        <v>46210.0</v>
      </c>
      <c r="J185" s="42">
        <v>45854.0</v>
      </c>
      <c r="K185" s="42">
        <v>45855.0</v>
      </c>
      <c r="L185" s="62">
        <f t="shared" si="1"/>
        <v>0.1231674607</v>
      </c>
      <c r="M185" s="63">
        <v>97.15</v>
      </c>
      <c r="N185" s="63">
        <v>2000000.0</v>
      </c>
      <c r="O185" s="15">
        <v>1277663.72</v>
      </c>
      <c r="P185" s="15"/>
      <c r="Q185" s="15"/>
      <c r="R185" s="15"/>
      <c r="S185" s="3"/>
      <c r="T185" s="3"/>
      <c r="U185" s="1"/>
      <c r="V185" s="1"/>
      <c r="W185" s="1"/>
      <c r="X185" s="1"/>
      <c r="Y185" s="1"/>
      <c r="Z185" s="1"/>
    </row>
    <row r="186" ht="13.5" customHeight="1">
      <c r="A186" s="1" t="s">
        <v>202</v>
      </c>
      <c r="B186" s="57" t="s">
        <v>118</v>
      </c>
      <c r="C186" s="57" t="s">
        <v>58</v>
      </c>
      <c r="D186" s="1" t="s">
        <v>59</v>
      </c>
      <c r="E186" s="1" t="s">
        <v>163</v>
      </c>
      <c r="F186" s="1" t="s">
        <v>12</v>
      </c>
      <c r="G186" s="1" t="s">
        <v>155</v>
      </c>
      <c r="H186" s="62">
        <v>0.09125</v>
      </c>
      <c r="I186" s="42">
        <v>46210.0</v>
      </c>
      <c r="J186" s="42">
        <v>45854.0</v>
      </c>
      <c r="K186" s="42">
        <v>45855.0</v>
      </c>
      <c r="L186" s="62">
        <f t="shared" si="1"/>
        <v>0.1231674607</v>
      </c>
      <c r="M186" s="63">
        <v>97.15</v>
      </c>
      <c r="N186" s="63">
        <v>500000.0</v>
      </c>
      <c r="O186" s="15">
        <v>319415.93</v>
      </c>
      <c r="P186" s="15"/>
      <c r="Q186" s="15"/>
      <c r="R186" s="15"/>
      <c r="S186" s="3"/>
      <c r="T186" s="3"/>
      <c r="U186" s="1"/>
      <c r="V186" s="1"/>
      <c r="W186" s="1"/>
      <c r="X186" s="1"/>
      <c r="Y186" s="1"/>
      <c r="Z186" s="1"/>
    </row>
    <row r="187" ht="13.5" customHeight="1">
      <c r="A187" s="57"/>
      <c r="B187" s="57" t="s">
        <v>104</v>
      </c>
      <c r="C187" s="57" t="s">
        <v>58</v>
      </c>
      <c r="D187" s="57" t="s">
        <v>59</v>
      </c>
      <c r="E187" s="57" t="s">
        <v>163</v>
      </c>
      <c r="F187" s="57" t="s">
        <v>14</v>
      </c>
      <c r="G187" s="57" t="s">
        <v>109</v>
      </c>
      <c r="H187" s="87">
        <v>0.09375</v>
      </c>
      <c r="I187" s="89">
        <v>54186.0</v>
      </c>
      <c r="J187" s="89">
        <v>45855.0</v>
      </c>
      <c r="K187" s="89">
        <v>45859.0</v>
      </c>
      <c r="L187" s="87">
        <f t="shared" si="1"/>
        <v>0.1225128477</v>
      </c>
      <c r="M187" s="111">
        <v>78.05</v>
      </c>
      <c r="N187" s="111">
        <v>3000000.0</v>
      </c>
      <c r="O187" s="27">
        <v>2369625.0</v>
      </c>
      <c r="P187" s="27"/>
      <c r="Q187" s="27"/>
      <c r="R187" s="27"/>
      <c r="S187" s="110"/>
      <c r="T187" s="110"/>
      <c r="U187" s="57"/>
      <c r="V187" s="57"/>
      <c r="W187" s="57"/>
      <c r="X187" s="57"/>
      <c r="Y187" s="57"/>
      <c r="Z187" s="57"/>
    </row>
    <row r="188" ht="13.5" customHeight="1">
      <c r="A188" s="57"/>
      <c r="B188" s="57" t="s">
        <v>73</v>
      </c>
      <c r="C188" s="57" t="s">
        <v>58</v>
      </c>
      <c r="D188" s="57" t="s">
        <v>59</v>
      </c>
      <c r="E188" s="57" t="s">
        <v>163</v>
      </c>
      <c r="F188" s="57" t="s">
        <v>14</v>
      </c>
      <c r="G188" s="57" t="s">
        <v>203</v>
      </c>
      <c r="H188" s="87">
        <v>0.09375</v>
      </c>
      <c r="I188" s="89">
        <v>54275.0</v>
      </c>
      <c r="J188" s="89">
        <v>45860.0</v>
      </c>
      <c r="K188" s="89">
        <v>45862.0</v>
      </c>
      <c r="L188" s="87">
        <f t="shared" si="1"/>
        <v>0.1197828875</v>
      </c>
      <c r="M188" s="111">
        <v>79.75</v>
      </c>
      <c r="N188" s="111">
        <v>1000000.0</v>
      </c>
      <c r="O188" s="27">
        <v>807656.25</v>
      </c>
      <c r="P188" s="27">
        <f t="shared" ref="P188:P190" si="35">N188*M188/100</f>
        <v>797500</v>
      </c>
      <c r="Q188" s="27"/>
      <c r="R188" s="27"/>
      <c r="S188" s="110"/>
      <c r="T188" s="110"/>
      <c r="U188" s="57"/>
      <c r="V188" s="57"/>
      <c r="W188" s="57"/>
      <c r="X188" s="57"/>
      <c r="Y188" s="57"/>
      <c r="Z188" s="57"/>
    </row>
    <row r="189" ht="13.5" customHeight="1">
      <c r="A189" s="57"/>
      <c r="B189" s="57" t="s">
        <v>130</v>
      </c>
      <c r="C189" s="57" t="s">
        <v>58</v>
      </c>
      <c r="D189" s="57" t="s">
        <v>59</v>
      </c>
      <c r="E189" s="57" t="s">
        <v>163</v>
      </c>
      <c r="F189" s="57" t="s">
        <v>14</v>
      </c>
      <c r="G189" s="57" t="s">
        <v>203</v>
      </c>
      <c r="H189" s="87">
        <v>0.09375</v>
      </c>
      <c r="I189" s="89">
        <v>54275.0</v>
      </c>
      <c r="J189" s="89">
        <v>45861.0</v>
      </c>
      <c r="K189" s="89">
        <v>45863.0</v>
      </c>
      <c r="L189" s="87">
        <f t="shared" si="1"/>
        <v>0.1193957367</v>
      </c>
      <c r="M189" s="111">
        <v>80.0</v>
      </c>
      <c r="N189" s="111">
        <v>1000000.0</v>
      </c>
      <c r="O189" s="27">
        <v>810416.67</v>
      </c>
      <c r="P189" s="27">
        <f t="shared" si="35"/>
        <v>800000</v>
      </c>
      <c r="Q189" s="27"/>
      <c r="R189" s="27"/>
      <c r="S189" s="110"/>
      <c r="T189" s="110"/>
      <c r="U189" s="57"/>
      <c r="V189" s="57"/>
      <c r="W189" s="57"/>
      <c r="X189" s="57"/>
      <c r="Y189" s="57"/>
      <c r="Z189" s="57"/>
    </row>
    <row r="190" ht="13.5" customHeight="1">
      <c r="A190" s="57"/>
      <c r="B190" s="57" t="s">
        <v>118</v>
      </c>
      <c r="C190" s="57" t="s">
        <v>58</v>
      </c>
      <c r="D190" s="57" t="s">
        <v>59</v>
      </c>
      <c r="E190" s="57" t="s">
        <v>163</v>
      </c>
      <c r="F190" s="57" t="s">
        <v>14</v>
      </c>
      <c r="G190" s="57" t="s">
        <v>203</v>
      </c>
      <c r="H190" s="87">
        <v>0.09375</v>
      </c>
      <c r="I190" s="89">
        <v>54275.0</v>
      </c>
      <c r="J190" s="89">
        <v>45861.0</v>
      </c>
      <c r="K190" s="89">
        <v>45863.0</v>
      </c>
      <c r="L190" s="87">
        <f t="shared" si="1"/>
        <v>0.1193957367</v>
      </c>
      <c r="M190" s="111">
        <v>80.0</v>
      </c>
      <c r="N190" s="111">
        <v>1000000.0</v>
      </c>
      <c r="O190" s="27">
        <v>810416.67</v>
      </c>
      <c r="P190" s="27">
        <f t="shared" si="35"/>
        <v>800000</v>
      </c>
      <c r="Q190" s="27"/>
      <c r="R190" s="27"/>
      <c r="S190" s="110"/>
      <c r="T190" s="110"/>
      <c r="U190" s="57"/>
      <c r="V190" s="57"/>
      <c r="W190" s="57"/>
      <c r="X190" s="57"/>
      <c r="Y190" s="57"/>
      <c r="Z190" s="57"/>
    </row>
    <row r="191" ht="13.5" customHeight="1">
      <c r="A191" s="141"/>
      <c r="B191" s="141" t="s">
        <v>172</v>
      </c>
      <c r="C191" s="141" t="s">
        <v>58</v>
      </c>
      <c r="D191" s="141" t="s">
        <v>74</v>
      </c>
      <c r="E191" s="141" t="s">
        <v>163</v>
      </c>
      <c r="F191" s="141" t="s">
        <v>14</v>
      </c>
      <c r="G191" s="141" t="s">
        <v>203</v>
      </c>
      <c r="H191" s="142">
        <v>0.09375</v>
      </c>
      <c r="I191" s="143">
        <v>54275.0</v>
      </c>
      <c r="J191" s="143">
        <v>45861.0</v>
      </c>
      <c r="K191" s="143">
        <v>45866.0</v>
      </c>
      <c r="L191" s="142">
        <f t="shared" si="1"/>
        <v>0.1197122128</v>
      </c>
      <c r="M191" s="144">
        <v>79.8</v>
      </c>
      <c r="N191" s="144">
        <v>1500000.0</v>
      </c>
      <c r="O191" s="105">
        <v>1213796.88</v>
      </c>
      <c r="P191" s="105"/>
      <c r="Q191" s="105"/>
      <c r="R191" s="105"/>
      <c r="S191" s="147"/>
      <c r="T191" s="147"/>
      <c r="U191" s="141"/>
      <c r="V191" s="141"/>
      <c r="W191" s="141"/>
      <c r="X191" s="141"/>
      <c r="Y191" s="141"/>
      <c r="Z191" s="141"/>
    </row>
    <row r="192" ht="13.5" customHeight="1">
      <c r="A192" s="57"/>
      <c r="B192" s="57" t="s">
        <v>172</v>
      </c>
      <c r="C192" s="57" t="s">
        <v>58</v>
      </c>
      <c r="D192" s="57" t="s">
        <v>59</v>
      </c>
      <c r="E192" s="57" t="s">
        <v>163</v>
      </c>
      <c r="F192" s="57" t="s">
        <v>14</v>
      </c>
      <c r="G192" s="57" t="s">
        <v>114</v>
      </c>
      <c r="H192" s="87">
        <v>0.09125</v>
      </c>
      <c r="I192" s="89">
        <v>54753.0</v>
      </c>
      <c r="J192" s="89">
        <v>45862.0</v>
      </c>
      <c r="K192" s="89">
        <v>45863.0</v>
      </c>
      <c r="L192" s="87">
        <f t="shared" si="1"/>
        <v>0.1190490621</v>
      </c>
      <c r="M192" s="111">
        <v>78.02</v>
      </c>
      <c r="N192" s="111">
        <v>2000000.0</v>
      </c>
      <c r="O192" s="27">
        <v>1590309.72</v>
      </c>
      <c r="P192" s="27"/>
      <c r="Q192" s="27"/>
      <c r="R192" s="27"/>
      <c r="S192" s="110"/>
      <c r="T192" s="110"/>
      <c r="U192" s="57"/>
      <c r="V192" s="57"/>
      <c r="W192" s="57"/>
      <c r="X192" s="57"/>
      <c r="Y192" s="57"/>
      <c r="Z192" s="57"/>
    </row>
    <row r="193" ht="13.5" customHeight="1">
      <c r="A193" s="57"/>
      <c r="B193" s="57" t="s">
        <v>172</v>
      </c>
      <c r="C193" s="57" t="s">
        <v>58</v>
      </c>
      <c r="D193" s="57" t="s">
        <v>59</v>
      </c>
      <c r="E193" s="57" t="s">
        <v>163</v>
      </c>
      <c r="F193" s="57" t="s">
        <v>14</v>
      </c>
      <c r="G193" s="57" t="s">
        <v>203</v>
      </c>
      <c r="H193" s="87">
        <v>0.09375</v>
      </c>
      <c r="I193" s="89">
        <v>54275.0</v>
      </c>
      <c r="J193" s="89">
        <v>45855.0</v>
      </c>
      <c r="K193" s="89">
        <v>45861.0</v>
      </c>
      <c r="L193" s="87">
        <f t="shared" si="1"/>
        <v>0.122564011</v>
      </c>
      <c r="M193" s="111">
        <v>78.0</v>
      </c>
      <c r="N193" s="111">
        <v>3000000.0</v>
      </c>
      <c r="O193" s="27">
        <v>2369687.5</v>
      </c>
      <c r="P193" s="27"/>
      <c r="Q193" s="27"/>
      <c r="R193" s="27"/>
      <c r="S193" s="110"/>
      <c r="T193" s="110"/>
      <c r="U193" s="57"/>
      <c r="V193" s="57"/>
      <c r="W193" s="57"/>
      <c r="X193" s="57"/>
      <c r="Y193" s="57"/>
      <c r="Z193" s="57"/>
    </row>
    <row r="194" ht="13.5" customHeight="1">
      <c r="A194" s="161"/>
      <c r="B194" s="161" t="s">
        <v>172</v>
      </c>
      <c r="C194" s="161" t="s">
        <v>58</v>
      </c>
      <c r="D194" s="161" t="s">
        <v>59</v>
      </c>
      <c r="E194" s="161" t="s">
        <v>163</v>
      </c>
      <c r="F194" s="161" t="s">
        <v>12</v>
      </c>
      <c r="G194" s="161" t="s">
        <v>165</v>
      </c>
      <c r="H194" s="162">
        <v>0.09125</v>
      </c>
      <c r="I194" s="163">
        <v>47563.0</v>
      </c>
      <c r="J194" s="163">
        <v>45867.0</v>
      </c>
      <c r="K194" s="163">
        <v>45869.0</v>
      </c>
      <c r="L194" s="162">
        <f t="shared" si="1"/>
        <v>0.08791136496</v>
      </c>
      <c r="M194" s="164">
        <v>101.23</v>
      </c>
      <c r="N194" s="164">
        <v>1000000.0</v>
      </c>
      <c r="O194" s="165">
        <v>1044997.92</v>
      </c>
      <c r="P194" s="165"/>
      <c r="Q194" s="165"/>
      <c r="R194" s="165"/>
      <c r="S194" s="166"/>
      <c r="T194" s="166"/>
      <c r="U194" s="161"/>
      <c r="V194" s="161"/>
      <c r="W194" s="161"/>
      <c r="X194" s="161"/>
      <c r="Y194" s="161"/>
      <c r="Z194" s="161"/>
    </row>
    <row r="195" ht="13.5" customHeight="1">
      <c r="A195" s="57"/>
      <c r="B195" s="57" t="s">
        <v>130</v>
      </c>
      <c r="C195" s="57" t="s">
        <v>58</v>
      </c>
      <c r="D195" s="57" t="s">
        <v>59</v>
      </c>
      <c r="E195" s="57" t="s">
        <v>163</v>
      </c>
      <c r="F195" s="57" t="s">
        <v>12</v>
      </c>
      <c r="G195" s="57" t="s">
        <v>75</v>
      </c>
      <c r="H195" s="87">
        <v>0.10125</v>
      </c>
      <c r="I195" s="89">
        <v>47406.0</v>
      </c>
      <c r="J195" s="89">
        <v>45868.0</v>
      </c>
      <c r="K195" s="89">
        <v>45870.0</v>
      </c>
      <c r="L195" s="87">
        <f t="shared" si="1"/>
        <v>0.0842960158</v>
      </c>
      <c r="M195" s="111">
        <v>105.875</v>
      </c>
      <c r="N195" s="111">
        <v>500000.0</v>
      </c>
      <c r="O195" s="27">
        <f>IFERROR((N195*M195/100)+ACCRINT(COUPPCD(K195,I195,2,0),COUPNCD(K195,I195,2,0),K195,H195,N195,2,0),N195*M195/100)</f>
        <v>544281.25</v>
      </c>
      <c r="P195" s="27"/>
      <c r="Q195" s="27"/>
      <c r="R195" s="27"/>
      <c r="S195" s="110"/>
      <c r="T195" s="110"/>
      <c r="U195" s="57"/>
      <c r="V195" s="57"/>
      <c r="W195" s="57"/>
      <c r="X195" s="57"/>
      <c r="Y195" s="57"/>
      <c r="Z195" s="57"/>
    </row>
    <row r="196" ht="13.5" customHeight="1">
      <c r="A196" s="1" t="s">
        <v>202</v>
      </c>
      <c r="B196" s="57" t="s">
        <v>118</v>
      </c>
      <c r="C196" s="57" t="s">
        <v>58</v>
      </c>
      <c r="D196" s="1" t="s">
        <v>59</v>
      </c>
      <c r="E196" s="1" t="s">
        <v>163</v>
      </c>
      <c r="F196" s="1" t="s">
        <v>12</v>
      </c>
      <c r="G196" s="1" t="s">
        <v>109</v>
      </c>
      <c r="H196" s="62">
        <v>0.09375</v>
      </c>
      <c r="I196" s="42">
        <v>54186.0</v>
      </c>
      <c r="J196" s="42">
        <v>45873.0</v>
      </c>
      <c r="K196" s="42">
        <v>45874.0</v>
      </c>
      <c r="L196" s="62" t="str">
        <f t="shared" si="1"/>
        <v/>
      </c>
      <c r="M196" s="63"/>
      <c r="N196" s="63">
        <v>3000000.0</v>
      </c>
      <c r="O196" s="27">
        <v>1904588.16</v>
      </c>
      <c r="P196" s="15"/>
      <c r="Q196" s="15"/>
      <c r="R196" s="15"/>
      <c r="S196" s="3"/>
      <c r="T196" s="3"/>
      <c r="U196" s="1"/>
      <c r="V196" s="1"/>
      <c r="W196" s="1"/>
      <c r="X196" s="1"/>
      <c r="Y196" s="1"/>
      <c r="Z196" s="1"/>
    </row>
    <row r="197" ht="13.5" customHeight="1">
      <c r="A197" s="57"/>
      <c r="B197" s="57" t="s">
        <v>172</v>
      </c>
      <c r="C197" s="57" t="s">
        <v>58</v>
      </c>
      <c r="D197" s="57" t="s">
        <v>59</v>
      </c>
      <c r="E197" s="57" t="s">
        <v>163</v>
      </c>
      <c r="F197" s="57" t="s">
        <v>14</v>
      </c>
      <c r="G197" s="57" t="s">
        <v>165</v>
      </c>
      <c r="H197" s="87">
        <v>0.09125</v>
      </c>
      <c r="I197" s="89">
        <v>47563.0</v>
      </c>
      <c r="J197" s="89">
        <v>45873.0</v>
      </c>
      <c r="K197" s="89">
        <v>45875.0</v>
      </c>
      <c r="L197" s="87">
        <f t="shared" si="1"/>
        <v>0.08448113117</v>
      </c>
      <c r="M197" s="111">
        <v>102.53</v>
      </c>
      <c r="N197" s="111">
        <v>1000000.0</v>
      </c>
      <c r="O197" s="27">
        <f t="shared" ref="O197:O213" si="36">IFERROR((N197*M197/100)+ACCRINT(COUPPCD(K197,I197,2,0),COUPNCD(K197,I197,2,0),K197,H197,N197,2,0),N197*M197/100)</f>
        <v>1059518.75</v>
      </c>
      <c r="P197" s="27"/>
      <c r="Q197" s="27"/>
      <c r="R197" s="27"/>
      <c r="S197" s="110"/>
      <c r="T197" s="110"/>
      <c r="U197" s="57"/>
      <c r="V197" s="57"/>
      <c r="W197" s="57"/>
      <c r="X197" s="57"/>
      <c r="Y197" s="57"/>
      <c r="Z197" s="57"/>
    </row>
    <row r="198" ht="13.5" customHeight="1">
      <c r="A198" s="125"/>
      <c r="B198" s="125" t="s">
        <v>113</v>
      </c>
      <c r="C198" s="125" t="s">
        <v>58</v>
      </c>
      <c r="D198" s="125" t="s">
        <v>59</v>
      </c>
      <c r="E198" s="125" t="s">
        <v>153</v>
      </c>
      <c r="F198" s="125" t="s">
        <v>12</v>
      </c>
      <c r="G198" s="125" t="s">
        <v>206</v>
      </c>
      <c r="H198" s="126">
        <v>0.08700200000000001</v>
      </c>
      <c r="I198" s="127">
        <v>54483.0</v>
      </c>
      <c r="J198" s="127">
        <v>45891.0</v>
      </c>
      <c r="K198" s="127">
        <v>45895.0</v>
      </c>
      <c r="L198" s="126">
        <f t="shared" si="1"/>
        <v>0.1022679878</v>
      </c>
      <c r="M198" s="129">
        <v>86.5</v>
      </c>
      <c r="N198" s="129">
        <v>500000.0</v>
      </c>
      <c r="O198" s="124">
        <f t="shared" si="36"/>
        <v>453646.3194</v>
      </c>
      <c r="P198" s="124">
        <f t="shared" ref="P198:P272" si="37">N198*M198/100</f>
        <v>432500</v>
      </c>
      <c r="Q198" s="124">
        <f t="shared" ref="Q198:Q213" si="38">IFERROR(ACCRINT(COUPPCD(K198,I198,2,0),COUPNCD(K198,I198,2,0),K198,H198,N198,2,0),"")</f>
        <v>21146.31944</v>
      </c>
      <c r="R198" s="124"/>
      <c r="S198" s="130"/>
      <c r="T198" s="130"/>
      <c r="U198" s="125"/>
      <c r="V198" s="125"/>
      <c r="W198" s="125"/>
      <c r="X198" s="125"/>
      <c r="Y198" s="125"/>
      <c r="Z198" s="125"/>
    </row>
    <row r="199" ht="13.5" customHeight="1">
      <c r="A199" s="72"/>
      <c r="B199" s="72" t="s">
        <v>113</v>
      </c>
      <c r="C199" s="72" t="s">
        <v>58</v>
      </c>
      <c r="D199" s="72" t="s">
        <v>59</v>
      </c>
      <c r="E199" s="72" t="s">
        <v>153</v>
      </c>
      <c r="F199" s="72" t="s">
        <v>12</v>
      </c>
      <c r="G199" s="72" t="s">
        <v>207</v>
      </c>
      <c r="H199" s="169">
        <v>0.09125</v>
      </c>
      <c r="I199" s="170">
        <v>47563.0</v>
      </c>
      <c r="J199" s="170">
        <v>45891.0</v>
      </c>
      <c r="K199" s="170">
        <v>45895.0</v>
      </c>
      <c r="L199" s="169">
        <f t="shared" si="1"/>
        <v>0.08058377718</v>
      </c>
      <c r="M199" s="171">
        <v>104.0</v>
      </c>
      <c r="N199" s="171">
        <v>1000000.0</v>
      </c>
      <c r="O199" s="172">
        <f t="shared" si="36"/>
        <v>1079288.194</v>
      </c>
      <c r="P199" s="172">
        <f t="shared" si="37"/>
        <v>1040000</v>
      </c>
      <c r="Q199" s="172">
        <f t="shared" si="38"/>
        <v>39288.19444</v>
      </c>
      <c r="R199" s="172"/>
      <c r="S199" s="173"/>
      <c r="T199" s="173"/>
      <c r="U199" s="72"/>
      <c r="V199" s="72"/>
      <c r="W199" s="72"/>
      <c r="X199" s="72"/>
      <c r="Y199" s="72"/>
      <c r="Z199" s="72"/>
    </row>
    <row r="200" ht="13.5" customHeight="1">
      <c r="A200" s="72"/>
      <c r="B200" s="72" t="s">
        <v>113</v>
      </c>
      <c r="C200" s="72" t="s">
        <v>58</v>
      </c>
      <c r="D200" s="72" t="s">
        <v>59</v>
      </c>
      <c r="E200" s="72" t="s">
        <v>153</v>
      </c>
      <c r="F200" s="72" t="s">
        <v>12</v>
      </c>
      <c r="G200" s="72" t="s">
        <v>207</v>
      </c>
      <c r="H200" s="169">
        <v>0.09125</v>
      </c>
      <c r="I200" s="170">
        <v>47563.0</v>
      </c>
      <c r="J200" s="170">
        <v>45891.0</v>
      </c>
      <c r="K200" s="170">
        <v>45895.0</v>
      </c>
      <c r="L200" s="169">
        <f t="shared" si="1"/>
        <v>0.08058377718</v>
      </c>
      <c r="M200" s="171">
        <v>104.0</v>
      </c>
      <c r="N200" s="171">
        <v>500000.0</v>
      </c>
      <c r="O200" s="172">
        <f t="shared" si="36"/>
        <v>539644.0972</v>
      </c>
      <c r="P200" s="172">
        <f t="shared" si="37"/>
        <v>520000</v>
      </c>
      <c r="Q200" s="172">
        <f t="shared" si="38"/>
        <v>19644.09722</v>
      </c>
      <c r="R200" s="172"/>
      <c r="S200" s="173"/>
      <c r="T200" s="173"/>
      <c r="U200" s="72"/>
      <c r="V200" s="72"/>
      <c r="W200" s="72"/>
      <c r="X200" s="72"/>
      <c r="Y200" s="72"/>
      <c r="Z200" s="72"/>
    </row>
    <row r="201" ht="13.5" customHeight="1">
      <c r="A201" s="72"/>
      <c r="B201" s="72" t="s">
        <v>113</v>
      </c>
      <c r="C201" s="72" t="s">
        <v>58</v>
      </c>
      <c r="D201" s="72" t="s">
        <v>59</v>
      </c>
      <c r="E201" s="72" t="s">
        <v>153</v>
      </c>
      <c r="F201" s="72" t="s">
        <v>12</v>
      </c>
      <c r="G201" s="72" t="s">
        <v>207</v>
      </c>
      <c r="H201" s="169">
        <v>0.09125</v>
      </c>
      <c r="I201" s="170">
        <v>47563.0</v>
      </c>
      <c r="J201" s="170">
        <v>45891.0</v>
      </c>
      <c r="K201" s="170">
        <v>45895.0</v>
      </c>
      <c r="L201" s="169">
        <f t="shared" si="1"/>
        <v>0.08058377718</v>
      </c>
      <c r="M201" s="171">
        <v>104.0</v>
      </c>
      <c r="N201" s="171">
        <v>500000.0</v>
      </c>
      <c r="O201" s="172">
        <f t="shared" si="36"/>
        <v>539644.0972</v>
      </c>
      <c r="P201" s="172">
        <f t="shared" si="37"/>
        <v>520000</v>
      </c>
      <c r="Q201" s="172">
        <f t="shared" si="38"/>
        <v>19644.09722</v>
      </c>
      <c r="R201" s="172"/>
      <c r="S201" s="173"/>
      <c r="T201" s="173"/>
      <c r="U201" s="72"/>
      <c r="V201" s="72"/>
      <c r="W201" s="72"/>
      <c r="X201" s="72"/>
      <c r="Y201" s="72"/>
      <c r="Z201" s="72"/>
    </row>
    <row r="202" ht="13.5" customHeight="1">
      <c r="A202" s="72"/>
      <c r="B202" s="72" t="s">
        <v>113</v>
      </c>
      <c r="C202" s="72" t="s">
        <v>58</v>
      </c>
      <c r="D202" s="72" t="s">
        <v>59</v>
      </c>
      <c r="E202" s="72" t="s">
        <v>153</v>
      </c>
      <c r="F202" s="72" t="s">
        <v>12</v>
      </c>
      <c r="G202" s="72" t="s">
        <v>207</v>
      </c>
      <c r="H202" s="169">
        <v>0.09125</v>
      </c>
      <c r="I202" s="170">
        <v>47563.0</v>
      </c>
      <c r="J202" s="170">
        <v>45891.0</v>
      </c>
      <c r="K202" s="170">
        <v>45895.0</v>
      </c>
      <c r="L202" s="169">
        <f t="shared" si="1"/>
        <v>0.08058377718</v>
      </c>
      <c r="M202" s="171">
        <v>104.0</v>
      </c>
      <c r="N202" s="171">
        <v>500000.0</v>
      </c>
      <c r="O202" s="172">
        <f t="shared" si="36"/>
        <v>539644.0972</v>
      </c>
      <c r="P202" s="172">
        <f t="shared" si="37"/>
        <v>520000</v>
      </c>
      <c r="Q202" s="172">
        <f t="shared" si="38"/>
        <v>19644.09722</v>
      </c>
      <c r="R202" s="172"/>
      <c r="S202" s="173"/>
      <c r="T202" s="173"/>
      <c r="U202" s="72"/>
      <c r="V202" s="72"/>
      <c r="W202" s="72"/>
      <c r="X202" s="72"/>
      <c r="Y202" s="72"/>
      <c r="Z202" s="72"/>
    </row>
    <row r="203" ht="13.5" customHeight="1">
      <c r="A203" s="57"/>
      <c r="B203" s="57" t="s">
        <v>113</v>
      </c>
      <c r="C203" s="57" t="s">
        <v>58</v>
      </c>
      <c r="D203" s="57" t="s">
        <v>59</v>
      </c>
      <c r="E203" s="57" t="s">
        <v>153</v>
      </c>
      <c r="F203" s="57" t="s">
        <v>12</v>
      </c>
      <c r="G203" s="57" t="s">
        <v>207</v>
      </c>
      <c r="H203" s="87">
        <v>0.09125</v>
      </c>
      <c r="I203" s="89">
        <v>47563.0</v>
      </c>
      <c r="J203" s="89">
        <v>45891.0</v>
      </c>
      <c r="K203" s="89">
        <v>45895.0</v>
      </c>
      <c r="L203" s="87">
        <f t="shared" si="1"/>
        <v>0.08155893445</v>
      </c>
      <c r="M203" s="111">
        <v>103.625</v>
      </c>
      <c r="N203" s="111">
        <v>500000.0</v>
      </c>
      <c r="O203" s="27">
        <f t="shared" si="36"/>
        <v>537769.0972</v>
      </c>
      <c r="P203" s="27">
        <f t="shared" si="37"/>
        <v>518125</v>
      </c>
      <c r="Q203" s="27">
        <f t="shared" si="38"/>
        <v>19644.09722</v>
      </c>
      <c r="R203" s="27"/>
      <c r="S203" s="110"/>
      <c r="T203" s="110"/>
      <c r="U203" s="57"/>
      <c r="V203" s="57"/>
      <c r="W203" s="57"/>
      <c r="X203" s="57"/>
      <c r="Y203" s="57"/>
      <c r="Z203" s="57"/>
    </row>
    <row r="204" ht="13.5" customHeight="1">
      <c r="A204" s="57"/>
      <c r="B204" s="57" t="s">
        <v>113</v>
      </c>
      <c r="C204" s="57" t="s">
        <v>58</v>
      </c>
      <c r="D204" s="57" t="s">
        <v>59</v>
      </c>
      <c r="E204" s="57" t="s">
        <v>153</v>
      </c>
      <c r="F204" s="57" t="s">
        <v>12</v>
      </c>
      <c r="G204" s="57" t="s">
        <v>207</v>
      </c>
      <c r="H204" s="87">
        <v>0.09125</v>
      </c>
      <c r="I204" s="89">
        <v>47563.0</v>
      </c>
      <c r="J204" s="89">
        <v>45891.0</v>
      </c>
      <c r="K204" s="89">
        <v>45895.0</v>
      </c>
      <c r="L204" s="87">
        <f t="shared" si="1"/>
        <v>0.08155893445</v>
      </c>
      <c r="M204" s="111">
        <v>103.625</v>
      </c>
      <c r="N204" s="111">
        <v>500000.0</v>
      </c>
      <c r="O204" s="27">
        <f t="shared" si="36"/>
        <v>537769.0972</v>
      </c>
      <c r="P204" s="27">
        <f t="shared" si="37"/>
        <v>518125</v>
      </c>
      <c r="Q204" s="27">
        <f t="shared" si="38"/>
        <v>19644.09722</v>
      </c>
      <c r="R204" s="27"/>
      <c r="S204" s="110"/>
      <c r="T204" s="110"/>
      <c r="U204" s="57"/>
      <c r="V204" s="57"/>
      <c r="W204" s="57"/>
      <c r="X204" s="57"/>
      <c r="Y204" s="57"/>
      <c r="Z204" s="57"/>
    </row>
    <row r="205" ht="13.5" customHeight="1">
      <c r="A205" s="57"/>
      <c r="B205" s="57" t="s">
        <v>113</v>
      </c>
      <c r="C205" s="57" t="s">
        <v>58</v>
      </c>
      <c r="D205" s="57" t="s">
        <v>59</v>
      </c>
      <c r="E205" s="57" t="s">
        <v>153</v>
      </c>
      <c r="F205" s="57" t="s">
        <v>12</v>
      </c>
      <c r="G205" s="57" t="s">
        <v>156</v>
      </c>
      <c r="H205" s="87">
        <v>0.09247999999999999</v>
      </c>
      <c r="I205" s="89">
        <v>54444.0</v>
      </c>
      <c r="J205" s="89">
        <v>45891.0</v>
      </c>
      <c r="K205" s="89">
        <v>45895.0</v>
      </c>
      <c r="L205" s="87">
        <f t="shared" si="1"/>
        <v>0.09246287122</v>
      </c>
      <c r="M205" s="111">
        <v>100.0</v>
      </c>
      <c r="N205" s="111">
        <v>500000.0</v>
      </c>
      <c r="O205" s="27">
        <f t="shared" si="36"/>
        <v>504495.5556</v>
      </c>
      <c r="P205" s="27">
        <f t="shared" si="37"/>
        <v>500000</v>
      </c>
      <c r="Q205" s="27">
        <f t="shared" si="38"/>
        <v>4495.555556</v>
      </c>
      <c r="R205" s="27"/>
      <c r="S205" s="110"/>
      <c r="T205" s="110"/>
      <c r="U205" s="57"/>
      <c r="V205" s="57"/>
      <c r="W205" s="57"/>
      <c r="X205" s="57"/>
      <c r="Y205" s="57"/>
      <c r="Z205" s="57"/>
    </row>
    <row r="206" ht="13.5" customHeight="1">
      <c r="A206" s="57"/>
      <c r="B206" s="57" t="s">
        <v>113</v>
      </c>
      <c r="C206" s="57" t="s">
        <v>58</v>
      </c>
      <c r="D206" s="57" t="s">
        <v>59</v>
      </c>
      <c r="E206" s="57" t="s">
        <v>153</v>
      </c>
      <c r="F206" s="57" t="s">
        <v>12</v>
      </c>
      <c r="G206" s="57" t="s">
        <v>169</v>
      </c>
      <c r="H206" s="87">
        <v>0.095</v>
      </c>
      <c r="I206" s="89">
        <v>49798.0</v>
      </c>
      <c r="J206" s="89">
        <v>45891.0</v>
      </c>
      <c r="K206" s="89">
        <v>45895.0</v>
      </c>
      <c r="L206" s="87">
        <f t="shared" si="1"/>
        <v>0.09648038396</v>
      </c>
      <c r="M206" s="111">
        <v>99.0</v>
      </c>
      <c r="N206" s="111">
        <v>500000.0</v>
      </c>
      <c r="O206" s="27">
        <f t="shared" si="36"/>
        <v>509909.7222</v>
      </c>
      <c r="P206" s="27">
        <f t="shared" si="37"/>
        <v>495000</v>
      </c>
      <c r="Q206" s="27">
        <f t="shared" si="38"/>
        <v>14909.72222</v>
      </c>
      <c r="R206" s="27"/>
      <c r="S206" s="110"/>
      <c r="T206" s="110"/>
      <c r="U206" s="57"/>
      <c r="V206" s="57"/>
      <c r="W206" s="57"/>
      <c r="X206" s="57"/>
      <c r="Y206" s="57"/>
      <c r="Z206" s="57"/>
    </row>
    <row r="207" ht="13.5" customHeight="1">
      <c r="A207" s="57"/>
      <c r="B207" s="57" t="s">
        <v>113</v>
      </c>
      <c r="C207" s="57" t="s">
        <v>45</v>
      </c>
      <c r="D207" s="57" t="s">
        <v>74</v>
      </c>
      <c r="E207" s="57" t="s">
        <v>163</v>
      </c>
      <c r="F207" s="57" t="s">
        <v>12</v>
      </c>
      <c r="G207" s="57" t="s">
        <v>106</v>
      </c>
      <c r="H207" s="87">
        <v>0.08875</v>
      </c>
      <c r="I207" s="89">
        <v>54937.0</v>
      </c>
      <c r="J207" s="89">
        <v>45891.0</v>
      </c>
      <c r="K207" s="89">
        <v>45895.0</v>
      </c>
      <c r="L207" s="87">
        <f t="shared" si="1"/>
        <v>0.1027338799</v>
      </c>
      <c r="M207" s="111">
        <v>87.5</v>
      </c>
      <c r="N207" s="111">
        <v>500000.0</v>
      </c>
      <c r="O207" s="27">
        <f t="shared" si="36"/>
        <v>448223.9583</v>
      </c>
      <c r="P207" s="27">
        <f t="shared" si="37"/>
        <v>437500</v>
      </c>
      <c r="Q207" s="27">
        <f t="shared" si="38"/>
        <v>10723.95833</v>
      </c>
      <c r="R207" s="27"/>
      <c r="S207" s="110"/>
      <c r="T207" s="110"/>
      <c r="U207" s="57"/>
      <c r="V207" s="57"/>
      <c r="W207" s="57"/>
      <c r="X207" s="57"/>
      <c r="Y207" s="57"/>
      <c r="Z207" s="57"/>
    </row>
    <row r="208" ht="13.5" customHeight="1">
      <c r="A208" s="57"/>
      <c r="B208" s="57" t="s">
        <v>113</v>
      </c>
      <c r="C208" s="57" t="s">
        <v>58</v>
      </c>
      <c r="D208" s="57" t="s">
        <v>59</v>
      </c>
      <c r="E208" s="57" t="s">
        <v>153</v>
      </c>
      <c r="F208" s="57" t="s">
        <v>12</v>
      </c>
      <c r="G208" s="57" t="s">
        <v>209</v>
      </c>
      <c r="H208" s="87">
        <v>0.0825</v>
      </c>
      <c r="I208" s="89">
        <v>54116.0</v>
      </c>
      <c r="J208" s="89">
        <v>45891.0</v>
      </c>
      <c r="K208" s="89">
        <v>45895.0</v>
      </c>
      <c r="L208" s="87">
        <f t="shared" si="1"/>
        <v>0.09683941021</v>
      </c>
      <c r="M208" s="111">
        <v>87.0</v>
      </c>
      <c r="N208" s="111">
        <v>500000.0</v>
      </c>
      <c r="O208" s="27">
        <f t="shared" si="36"/>
        <v>455166.6667</v>
      </c>
      <c r="P208" s="27">
        <f t="shared" si="37"/>
        <v>435000</v>
      </c>
      <c r="Q208" s="27">
        <f t="shared" si="38"/>
        <v>20166.66667</v>
      </c>
      <c r="R208" s="27"/>
      <c r="S208" s="110"/>
      <c r="T208" s="110"/>
      <c r="U208" s="57"/>
      <c r="V208" s="57"/>
      <c r="W208" s="57"/>
      <c r="X208" s="57"/>
      <c r="Y208" s="57"/>
      <c r="Z208" s="57"/>
    </row>
    <row r="209" ht="13.5" customHeight="1">
      <c r="A209" s="57"/>
      <c r="B209" s="57" t="s">
        <v>113</v>
      </c>
      <c r="C209" s="57" t="s">
        <v>58</v>
      </c>
      <c r="D209" s="57" t="s">
        <v>59</v>
      </c>
      <c r="E209" s="57" t="s">
        <v>153</v>
      </c>
      <c r="F209" s="57" t="s">
        <v>12</v>
      </c>
      <c r="G209" s="57" t="s">
        <v>170</v>
      </c>
      <c r="H209" s="87">
        <v>0.0825</v>
      </c>
      <c r="I209" s="89">
        <v>55424.0</v>
      </c>
      <c r="J209" s="89">
        <v>45891.0</v>
      </c>
      <c r="K209" s="89">
        <v>45895.0</v>
      </c>
      <c r="L209" s="87">
        <f t="shared" si="1"/>
        <v>0.09244126849</v>
      </c>
      <c r="M209" s="111">
        <v>90.25</v>
      </c>
      <c r="N209" s="111">
        <v>1200000.0</v>
      </c>
      <c r="O209" s="27">
        <f t="shared" si="36"/>
        <v>1123700</v>
      </c>
      <c r="P209" s="27">
        <f t="shared" si="37"/>
        <v>1083000</v>
      </c>
      <c r="Q209" s="27">
        <f t="shared" si="38"/>
        <v>40700</v>
      </c>
      <c r="R209" s="27"/>
      <c r="S209" s="110"/>
      <c r="T209" s="110"/>
      <c r="U209" s="57"/>
      <c r="V209" s="57"/>
      <c r="W209" s="57"/>
      <c r="X209" s="57"/>
      <c r="Y209" s="57"/>
      <c r="Z209" s="57"/>
    </row>
    <row r="210" ht="13.5" customHeight="1">
      <c r="A210" s="57"/>
      <c r="B210" s="57" t="s">
        <v>113</v>
      </c>
      <c r="C210" s="57" t="s">
        <v>58</v>
      </c>
      <c r="D210" s="57" t="s">
        <v>59</v>
      </c>
      <c r="E210" s="57" t="s">
        <v>153</v>
      </c>
      <c r="F210" s="57" t="s">
        <v>12</v>
      </c>
      <c r="G210" s="57" t="s">
        <v>209</v>
      </c>
      <c r="H210" s="87">
        <v>0.0825</v>
      </c>
      <c r="I210" s="89">
        <v>54116.0</v>
      </c>
      <c r="J210" s="89">
        <v>45891.0</v>
      </c>
      <c r="K210" s="89">
        <v>45895.0</v>
      </c>
      <c r="L210" s="87">
        <f t="shared" si="1"/>
        <v>0.09745741279</v>
      </c>
      <c r="M210" s="111">
        <v>86.5</v>
      </c>
      <c r="N210" s="111">
        <v>1200000.0</v>
      </c>
      <c r="O210" s="27">
        <f t="shared" si="36"/>
        <v>1086400</v>
      </c>
      <c r="P210" s="27">
        <f t="shared" si="37"/>
        <v>1038000</v>
      </c>
      <c r="Q210" s="27">
        <f t="shared" si="38"/>
        <v>48400</v>
      </c>
      <c r="R210" s="27"/>
      <c r="S210" s="110"/>
      <c r="T210" s="110"/>
      <c r="U210" s="57"/>
      <c r="V210" s="57"/>
      <c r="W210" s="57"/>
      <c r="X210" s="57"/>
      <c r="Y210" s="57"/>
      <c r="Z210" s="57"/>
    </row>
    <row r="211" ht="13.5" customHeight="1">
      <c r="A211" s="57"/>
      <c r="B211" s="57" t="s">
        <v>113</v>
      </c>
      <c r="C211" s="57" t="s">
        <v>58</v>
      </c>
      <c r="D211" s="57" t="s">
        <v>59</v>
      </c>
      <c r="E211" s="57" t="s">
        <v>153</v>
      </c>
      <c r="F211" s="57" t="s">
        <v>12</v>
      </c>
      <c r="G211" s="57" t="s">
        <v>170</v>
      </c>
      <c r="H211" s="87">
        <v>0.0825</v>
      </c>
      <c r="I211" s="89">
        <v>55424.0</v>
      </c>
      <c r="J211" s="89">
        <v>45891.0</v>
      </c>
      <c r="K211" s="89">
        <v>45895.0</v>
      </c>
      <c r="L211" s="87">
        <f t="shared" si="1"/>
        <v>0.09356330654</v>
      </c>
      <c r="M211" s="111">
        <v>89.25</v>
      </c>
      <c r="N211" s="111">
        <v>1200000.0</v>
      </c>
      <c r="O211" s="27">
        <f t="shared" si="36"/>
        <v>1111700</v>
      </c>
      <c r="P211" s="27">
        <f t="shared" si="37"/>
        <v>1071000</v>
      </c>
      <c r="Q211" s="27">
        <f t="shared" si="38"/>
        <v>40700</v>
      </c>
      <c r="R211" s="27"/>
      <c r="S211" s="110"/>
      <c r="T211" s="110"/>
      <c r="U211" s="57"/>
      <c r="V211" s="57"/>
      <c r="W211" s="57"/>
      <c r="X211" s="57"/>
      <c r="Y211" s="57"/>
      <c r="Z211" s="57"/>
    </row>
    <row r="212" ht="13.5" customHeight="1">
      <c r="A212" s="57"/>
      <c r="B212" s="57" t="s">
        <v>113</v>
      </c>
      <c r="C212" s="57" t="s">
        <v>58</v>
      </c>
      <c r="D212" s="57" t="s">
        <v>59</v>
      </c>
      <c r="E212" s="57" t="s">
        <v>153</v>
      </c>
      <c r="F212" s="57" t="s">
        <v>12</v>
      </c>
      <c r="G212" s="57" t="s">
        <v>156</v>
      </c>
      <c r="H212" s="87">
        <v>0.09247999999999999</v>
      </c>
      <c r="I212" s="89">
        <v>54444.0</v>
      </c>
      <c r="J212" s="89">
        <v>45891.0</v>
      </c>
      <c r="K212" s="89">
        <v>45895.0</v>
      </c>
      <c r="L212" s="87">
        <f t="shared" si="1"/>
        <v>0.0935226033</v>
      </c>
      <c r="M212" s="111">
        <v>99.0</v>
      </c>
      <c r="N212" s="111">
        <v>1200000.0</v>
      </c>
      <c r="O212" s="27">
        <f t="shared" si="36"/>
        <v>1198789.333</v>
      </c>
      <c r="P212" s="27">
        <f t="shared" si="37"/>
        <v>1188000</v>
      </c>
      <c r="Q212" s="27">
        <f t="shared" si="38"/>
        <v>10789.33333</v>
      </c>
      <c r="R212" s="27"/>
      <c r="S212" s="110"/>
      <c r="T212" s="110"/>
      <c r="U212" s="57"/>
      <c r="V212" s="57"/>
      <c r="W212" s="57"/>
      <c r="X212" s="57"/>
      <c r="Y212" s="57"/>
      <c r="Z212" s="57"/>
    </row>
    <row r="213" ht="13.5" customHeight="1">
      <c r="A213" s="57"/>
      <c r="B213" s="57" t="s">
        <v>113</v>
      </c>
      <c r="C213" s="57" t="s">
        <v>58</v>
      </c>
      <c r="D213" s="57" t="s">
        <v>59</v>
      </c>
      <c r="E213" s="57" t="s">
        <v>153</v>
      </c>
      <c r="F213" s="57" t="s">
        <v>12</v>
      </c>
      <c r="G213" s="57" t="s">
        <v>191</v>
      </c>
      <c r="H213" s="87">
        <v>0.07625</v>
      </c>
      <c r="I213" s="89">
        <v>54024.0</v>
      </c>
      <c r="J213" s="89">
        <v>45891.0</v>
      </c>
      <c r="K213" s="89">
        <v>45895.0</v>
      </c>
      <c r="L213" s="87">
        <f t="shared" si="1"/>
        <v>0.09342974113</v>
      </c>
      <c r="M213" s="111">
        <v>84.0</v>
      </c>
      <c r="N213" s="111">
        <v>1200000.0</v>
      </c>
      <c r="O213" s="27">
        <f t="shared" si="36"/>
        <v>1030366.667</v>
      </c>
      <c r="P213" s="27">
        <f t="shared" si="37"/>
        <v>1008000</v>
      </c>
      <c r="Q213" s="27">
        <f t="shared" si="38"/>
        <v>22366.66667</v>
      </c>
      <c r="R213" s="27"/>
      <c r="S213" s="110"/>
      <c r="T213" s="110"/>
      <c r="U213" s="57"/>
      <c r="V213" s="57"/>
      <c r="W213" s="57"/>
      <c r="X213" s="57"/>
      <c r="Y213" s="57"/>
      <c r="Z213" s="57"/>
    </row>
    <row r="214" ht="13.5" customHeight="1">
      <c r="A214" s="72"/>
      <c r="B214" s="57" t="s">
        <v>113</v>
      </c>
      <c r="C214" s="57" t="s">
        <v>58</v>
      </c>
      <c r="D214" s="57" t="s">
        <v>59</v>
      </c>
      <c r="E214" s="57" t="s">
        <v>153</v>
      </c>
      <c r="F214" s="57" t="s">
        <v>12</v>
      </c>
      <c r="G214" s="72" t="s">
        <v>109</v>
      </c>
      <c r="H214" s="169">
        <v>0.09375</v>
      </c>
      <c r="I214" s="170">
        <v>54275.0</v>
      </c>
      <c r="J214" s="170">
        <v>45891.0</v>
      </c>
      <c r="K214" s="170">
        <v>45895.0</v>
      </c>
      <c r="L214" s="169">
        <f t="shared" si="1"/>
        <v>0.1141721705</v>
      </c>
      <c r="M214" s="171">
        <v>83.5</v>
      </c>
      <c r="N214" s="171">
        <v>1500000.0</v>
      </c>
      <c r="O214" s="172">
        <v>1280234.38</v>
      </c>
      <c r="P214" s="172">
        <f t="shared" si="37"/>
        <v>1252500</v>
      </c>
      <c r="Q214" s="172"/>
      <c r="R214" s="172"/>
      <c r="S214" s="173"/>
      <c r="T214" s="173"/>
      <c r="U214" s="72"/>
      <c r="V214" s="72"/>
      <c r="W214" s="72"/>
      <c r="X214" s="72"/>
      <c r="Y214" s="72"/>
      <c r="Z214" s="72"/>
    </row>
    <row r="215" ht="13.5" customHeight="1">
      <c r="A215" s="57"/>
      <c r="B215" s="57" t="s">
        <v>113</v>
      </c>
      <c r="C215" s="57" t="s">
        <v>58</v>
      </c>
      <c r="D215" s="57" t="s">
        <v>59</v>
      </c>
      <c r="E215" s="57" t="s">
        <v>153</v>
      </c>
      <c r="F215" s="57" t="s">
        <v>12</v>
      </c>
      <c r="G215" s="57" t="s">
        <v>141</v>
      </c>
      <c r="H215" s="87">
        <v>0.085</v>
      </c>
      <c r="I215" s="89">
        <v>53723.0</v>
      </c>
      <c r="J215" s="89">
        <v>45891.0</v>
      </c>
      <c r="K215" s="89">
        <v>45895.0</v>
      </c>
      <c r="L215" s="87">
        <f t="shared" si="1"/>
        <v>0.1037275569</v>
      </c>
      <c r="M215" s="111">
        <v>84.0</v>
      </c>
      <c r="N215" s="111">
        <v>2000000.0</v>
      </c>
      <c r="O215" s="27">
        <f t="shared" ref="O215:O218" si="39">IFERROR((N215*M215/100)+ACCRINT(COUPPCD(K215,I215,2,0),COUPNCD(K215,I215,2,0),K215,H215,N215,2,0),N215*M215/100)</f>
        <v>1692277.778</v>
      </c>
      <c r="P215" s="27">
        <f t="shared" si="37"/>
        <v>1680000</v>
      </c>
      <c r="Q215" s="27">
        <f t="shared" ref="Q215:Q218" si="40">IFERROR(ACCRINT(COUPPCD(K215,I215,2,0),COUPNCD(K215,I215,2,0),K215,H215,N215,2,0),"")</f>
        <v>12277.77778</v>
      </c>
      <c r="R215" s="27"/>
      <c r="S215" s="110"/>
      <c r="T215" s="110"/>
      <c r="U215" s="57"/>
      <c r="V215" s="57"/>
      <c r="W215" s="57"/>
      <c r="X215" s="57"/>
      <c r="Y215" s="57"/>
      <c r="Z215" s="57"/>
    </row>
    <row r="216" ht="13.5" customHeight="1">
      <c r="A216" s="57"/>
      <c r="B216" s="57" t="s">
        <v>113</v>
      </c>
      <c r="C216" s="57" t="s">
        <v>58</v>
      </c>
      <c r="D216" s="57" t="s">
        <v>59</v>
      </c>
      <c r="E216" s="57" t="s">
        <v>153</v>
      </c>
      <c r="F216" s="57" t="s">
        <v>12</v>
      </c>
      <c r="G216" s="57" t="s">
        <v>191</v>
      </c>
      <c r="H216" s="87">
        <v>0.07625</v>
      </c>
      <c r="I216" s="89">
        <v>54024.0</v>
      </c>
      <c r="J216" s="89">
        <v>45891.0</v>
      </c>
      <c r="K216" s="89">
        <v>45895.0</v>
      </c>
      <c r="L216" s="87">
        <f t="shared" si="1"/>
        <v>0.09358414931</v>
      </c>
      <c r="M216" s="111">
        <v>83.875</v>
      </c>
      <c r="N216" s="111">
        <v>1000000.0</v>
      </c>
      <c r="O216" s="27">
        <f t="shared" si="39"/>
        <v>857388.8889</v>
      </c>
      <c r="P216" s="27">
        <f t="shared" si="37"/>
        <v>838750</v>
      </c>
      <c r="Q216" s="27">
        <f t="shared" si="40"/>
        <v>18638.88889</v>
      </c>
      <c r="R216" s="27"/>
      <c r="S216" s="110"/>
      <c r="T216" s="110"/>
      <c r="U216" s="57"/>
      <c r="V216" s="57"/>
      <c r="W216" s="57"/>
      <c r="X216" s="57"/>
      <c r="Y216" s="57"/>
      <c r="Z216" s="57"/>
    </row>
    <row r="217" ht="13.5" customHeight="1">
      <c r="A217" s="57"/>
      <c r="B217" s="57" t="s">
        <v>113</v>
      </c>
      <c r="C217" s="57" t="s">
        <v>58</v>
      </c>
      <c r="D217" s="57" t="s">
        <v>59</v>
      </c>
      <c r="E217" s="57" t="s">
        <v>153</v>
      </c>
      <c r="F217" s="57" t="s">
        <v>12</v>
      </c>
      <c r="G217" s="57" t="s">
        <v>114</v>
      </c>
      <c r="H217" s="87">
        <v>0.09125</v>
      </c>
      <c r="I217" s="89">
        <v>54753.0</v>
      </c>
      <c r="J217" s="89">
        <v>45891.0</v>
      </c>
      <c r="K217" s="89">
        <v>45895.0</v>
      </c>
      <c r="L217" s="87">
        <f t="shared" si="1"/>
        <v>0.1150932548</v>
      </c>
      <c r="M217" s="111">
        <v>80.625</v>
      </c>
      <c r="N217" s="111">
        <v>1000000.0</v>
      </c>
      <c r="O217" s="27">
        <f t="shared" si="39"/>
        <v>829062.5</v>
      </c>
      <c r="P217" s="27">
        <f t="shared" si="37"/>
        <v>806250</v>
      </c>
      <c r="Q217" s="27">
        <f t="shared" si="40"/>
        <v>22812.5</v>
      </c>
      <c r="R217" s="27"/>
      <c r="S217" s="110"/>
      <c r="T217" s="110"/>
      <c r="U217" s="57"/>
      <c r="V217" s="57"/>
      <c r="W217" s="57"/>
      <c r="X217" s="57"/>
      <c r="Y217" s="57"/>
      <c r="Z217" s="57"/>
    </row>
    <row r="218" ht="13.5" customHeight="1">
      <c r="A218" s="57"/>
      <c r="B218" s="57" t="s">
        <v>113</v>
      </c>
      <c r="C218" s="57" t="s">
        <v>58</v>
      </c>
      <c r="D218" s="57" t="s">
        <v>59</v>
      </c>
      <c r="E218" s="57" t="s">
        <v>153</v>
      </c>
      <c r="F218" s="57" t="s">
        <v>12</v>
      </c>
      <c r="G218" s="57" t="s">
        <v>114</v>
      </c>
      <c r="H218" s="87">
        <v>0.09125</v>
      </c>
      <c r="I218" s="89">
        <v>54753.0</v>
      </c>
      <c r="J218" s="89">
        <v>45891.0</v>
      </c>
      <c r="K218" s="89">
        <v>45895.0</v>
      </c>
      <c r="L218" s="87">
        <f t="shared" si="1"/>
        <v>0.1160255251</v>
      </c>
      <c r="M218" s="111">
        <v>80.0</v>
      </c>
      <c r="N218" s="111">
        <v>1000000.0</v>
      </c>
      <c r="O218" s="27">
        <f t="shared" si="39"/>
        <v>822812.5</v>
      </c>
      <c r="P218" s="27">
        <f t="shared" si="37"/>
        <v>800000</v>
      </c>
      <c r="Q218" s="27">
        <f t="shared" si="40"/>
        <v>22812.5</v>
      </c>
      <c r="R218" s="27"/>
      <c r="S218" s="110"/>
      <c r="T218" s="110"/>
      <c r="U218" s="57"/>
      <c r="V218" s="57"/>
      <c r="W218" s="57"/>
      <c r="X218" s="57"/>
      <c r="Y218" s="57"/>
      <c r="Z218" s="57"/>
    </row>
    <row r="219" ht="13.5" customHeight="1">
      <c r="A219" s="72"/>
      <c r="B219" s="57" t="s">
        <v>113</v>
      </c>
      <c r="C219" s="57" t="s">
        <v>58</v>
      </c>
      <c r="D219" s="57" t="s">
        <v>59</v>
      </c>
      <c r="E219" s="57" t="s">
        <v>153</v>
      </c>
      <c r="F219" s="57" t="s">
        <v>12</v>
      </c>
      <c r="G219" s="72" t="s">
        <v>109</v>
      </c>
      <c r="H219" s="169">
        <v>0.09375</v>
      </c>
      <c r="I219" s="170">
        <v>54275.0</v>
      </c>
      <c r="J219" s="170">
        <v>45891.0</v>
      </c>
      <c r="K219" s="170">
        <v>45895.0</v>
      </c>
      <c r="L219" s="169">
        <f t="shared" si="1"/>
        <v>0.1148969689</v>
      </c>
      <c r="M219" s="171">
        <v>83.0</v>
      </c>
      <c r="N219" s="171">
        <v>1000000.0</v>
      </c>
      <c r="O219" s="172">
        <v>848489.58</v>
      </c>
      <c r="P219" s="27">
        <f t="shared" si="37"/>
        <v>830000</v>
      </c>
      <c r="Q219" s="172"/>
      <c r="R219" s="172"/>
      <c r="S219" s="173"/>
      <c r="T219" s="173"/>
      <c r="U219" s="72"/>
      <c r="V219" s="72"/>
      <c r="W219" s="72"/>
      <c r="X219" s="72"/>
      <c r="Y219" s="72"/>
      <c r="Z219" s="72"/>
    </row>
    <row r="220" ht="13.5" customHeight="1">
      <c r="A220" s="72"/>
      <c r="B220" s="57" t="s">
        <v>113</v>
      </c>
      <c r="C220" s="57" t="s">
        <v>58</v>
      </c>
      <c r="D220" s="57" t="s">
        <v>59</v>
      </c>
      <c r="E220" s="57" t="s">
        <v>153</v>
      </c>
      <c r="F220" s="57" t="s">
        <v>12</v>
      </c>
      <c r="G220" s="72" t="s">
        <v>109</v>
      </c>
      <c r="H220" s="169">
        <v>0.09375</v>
      </c>
      <c r="I220" s="170">
        <v>54275.0</v>
      </c>
      <c r="J220" s="170">
        <v>45891.0</v>
      </c>
      <c r="K220" s="170">
        <v>45895.0</v>
      </c>
      <c r="L220" s="169">
        <f t="shared" si="1"/>
        <v>0.1152621775</v>
      </c>
      <c r="M220" s="171">
        <v>82.75</v>
      </c>
      <c r="N220" s="171">
        <v>1000000.0</v>
      </c>
      <c r="O220" s="172">
        <v>845989.58</v>
      </c>
      <c r="P220" s="27">
        <f t="shared" si="37"/>
        <v>827500</v>
      </c>
      <c r="Q220" s="172"/>
      <c r="R220" s="172"/>
      <c r="S220" s="173"/>
      <c r="T220" s="173"/>
      <c r="U220" s="72"/>
      <c r="V220" s="72"/>
      <c r="W220" s="72"/>
      <c r="X220" s="72"/>
      <c r="Y220" s="72"/>
      <c r="Z220" s="72"/>
    </row>
    <row r="221" ht="13.5" customHeight="1">
      <c r="A221" s="72"/>
      <c r="B221" s="57" t="s">
        <v>113</v>
      </c>
      <c r="C221" s="57" t="s">
        <v>58</v>
      </c>
      <c r="D221" s="57" t="s">
        <v>59</v>
      </c>
      <c r="E221" s="57" t="s">
        <v>153</v>
      </c>
      <c r="F221" s="57" t="s">
        <v>12</v>
      </c>
      <c r="G221" s="72" t="s">
        <v>109</v>
      </c>
      <c r="H221" s="169">
        <v>0.09375</v>
      </c>
      <c r="I221" s="170">
        <v>54275.0</v>
      </c>
      <c r="J221" s="170">
        <v>45891.0</v>
      </c>
      <c r="K221" s="170">
        <v>45895.0</v>
      </c>
      <c r="L221" s="169">
        <f t="shared" si="1"/>
        <v>0.1156292816</v>
      </c>
      <c r="M221" s="171">
        <v>82.5</v>
      </c>
      <c r="N221" s="171">
        <v>1000000.0</v>
      </c>
      <c r="O221" s="172">
        <v>843489.58</v>
      </c>
      <c r="P221" s="27">
        <f t="shared" si="37"/>
        <v>825000</v>
      </c>
      <c r="Q221" s="172"/>
      <c r="R221" s="172"/>
      <c r="S221" s="173"/>
      <c r="T221" s="173"/>
      <c r="U221" s="72"/>
      <c r="V221" s="72"/>
      <c r="W221" s="72"/>
      <c r="X221" s="72"/>
      <c r="Y221" s="72"/>
      <c r="Z221" s="72"/>
    </row>
    <row r="222" ht="13.5" customHeight="1">
      <c r="A222" s="72"/>
      <c r="B222" s="57" t="s">
        <v>113</v>
      </c>
      <c r="C222" s="57" t="s">
        <v>58</v>
      </c>
      <c r="D222" s="57" t="s">
        <v>59</v>
      </c>
      <c r="E222" s="57" t="s">
        <v>153</v>
      </c>
      <c r="F222" s="57" t="s">
        <v>12</v>
      </c>
      <c r="G222" s="72" t="s">
        <v>109</v>
      </c>
      <c r="H222" s="169">
        <v>0.09375</v>
      </c>
      <c r="I222" s="170">
        <v>54275.0</v>
      </c>
      <c r="J222" s="170">
        <v>45891.0</v>
      </c>
      <c r="K222" s="170">
        <v>45895.0</v>
      </c>
      <c r="L222" s="169">
        <f t="shared" si="1"/>
        <v>0.1159982986</v>
      </c>
      <c r="M222" s="171">
        <v>82.25</v>
      </c>
      <c r="N222" s="171">
        <v>1000000.0</v>
      </c>
      <c r="O222" s="172">
        <v>840989.58</v>
      </c>
      <c r="P222" s="27">
        <f t="shared" si="37"/>
        <v>822500</v>
      </c>
      <c r="Q222" s="172"/>
      <c r="R222" s="172"/>
      <c r="S222" s="173"/>
      <c r="T222" s="173"/>
      <c r="U222" s="72"/>
      <c r="V222" s="72"/>
      <c r="W222" s="72"/>
      <c r="X222" s="72"/>
      <c r="Y222" s="72"/>
      <c r="Z222" s="72"/>
    </row>
    <row r="223" ht="13.5" customHeight="1">
      <c r="A223" s="72"/>
      <c r="B223" s="57" t="s">
        <v>113</v>
      </c>
      <c r="C223" s="57" t="s">
        <v>58</v>
      </c>
      <c r="D223" s="57" t="s">
        <v>59</v>
      </c>
      <c r="E223" s="57" t="s">
        <v>153</v>
      </c>
      <c r="F223" s="57" t="s">
        <v>12</v>
      </c>
      <c r="G223" s="72" t="s">
        <v>109</v>
      </c>
      <c r="H223" s="169">
        <v>0.09375</v>
      </c>
      <c r="I223" s="170">
        <v>54275.0</v>
      </c>
      <c r="J223" s="170">
        <v>45891.0</v>
      </c>
      <c r="K223" s="170">
        <v>45895.0</v>
      </c>
      <c r="L223" s="169">
        <f t="shared" si="1"/>
        <v>0.1159982986</v>
      </c>
      <c r="M223" s="171">
        <v>82.25</v>
      </c>
      <c r="N223" s="171">
        <v>1000000.0</v>
      </c>
      <c r="O223" s="172">
        <v>840989.58</v>
      </c>
      <c r="P223" s="27">
        <f t="shared" si="37"/>
        <v>822500</v>
      </c>
      <c r="Q223" s="172"/>
      <c r="R223" s="172"/>
      <c r="S223" s="173"/>
      <c r="T223" s="173"/>
      <c r="U223" s="72"/>
      <c r="V223" s="72"/>
      <c r="W223" s="72"/>
      <c r="X223" s="72"/>
      <c r="Y223" s="72"/>
      <c r="Z223" s="72"/>
    </row>
    <row r="224" ht="13.5" customHeight="1">
      <c r="A224" s="72"/>
      <c r="B224" s="57" t="s">
        <v>113</v>
      </c>
      <c r="C224" s="57" t="s">
        <v>58</v>
      </c>
      <c r="D224" s="57" t="s">
        <v>59</v>
      </c>
      <c r="E224" s="57" t="s">
        <v>163</v>
      </c>
      <c r="F224" s="57" t="s">
        <v>12</v>
      </c>
      <c r="G224" s="72" t="s">
        <v>109</v>
      </c>
      <c r="H224" s="169">
        <v>0.09375</v>
      </c>
      <c r="I224" s="170">
        <v>54275.0</v>
      </c>
      <c r="J224" s="170">
        <v>45891.0</v>
      </c>
      <c r="K224" s="170">
        <v>45895.0</v>
      </c>
      <c r="L224" s="169">
        <f t="shared" si="1"/>
        <v>0.1161835298</v>
      </c>
      <c r="M224" s="171">
        <v>82.125</v>
      </c>
      <c r="N224" s="171">
        <v>1000000.0</v>
      </c>
      <c r="O224" s="172">
        <v>839739.58</v>
      </c>
      <c r="P224" s="27">
        <f t="shared" si="37"/>
        <v>821250</v>
      </c>
      <c r="Q224" s="172"/>
      <c r="R224" s="172"/>
      <c r="S224" s="173"/>
      <c r="T224" s="173"/>
      <c r="U224" s="72"/>
      <c r="V224" s="72"/>
      <c r="W224" s="72"/>
      <c r="X224" s="72"/>
      <c r="Y224" s="72"/>
      <c r="Z224" s="72"/>
    </row>
    <row r="225" ht="13.5" customHeight="1">
      <c r="A225" s="57"/>
      <c r="B225" s="57" t="s">
        <v>113</v>
      </c>
      <c r="C225" s="57" t="s">
        <v>58</v>
      </c>
      <c r="D225" s="57" t="s">
        <v>59</v>
      </c>
      <c r="E225" s="57" t="s">
        <v>153</v>
      </c>
      <c r="F225" s="57" t="s">
        <v>12</v>
      </c>
      <c r="G225" s="57" t="s">
        <v>206</v>
      </c>
      <c r="H225" s="87">
        <v>0.08700200000000001</v>
      </c>
      <c r="I225" s="89">
        <v>54426.0</v>
      </c>
      <c r="J225" s="89">
        <v>45891.0</v>
      </c>
      <c r="K225" s="89">
        <v>45895.0</v>
      </c>
      <c r="L225" s="87">
        <f t="shared" si="1"/>
        <v>0.1022726689</v>
      </c>
      <c r="M225" s="111">
        <v>86.5</v>
      </c>
      <c r="N225" s="111">
        <v>250000.0</v>
      </c>
      <c r="O225" s="27">
        <f t="shared" ref="O225:O229" si="41">IFERROR((N225*M225/100)+ACCRINT(COUPPCD(K225,I225,2,0),COUPNCD(K225,I225,2,0),K225,H225,N225,2,0),N225*M225/100)</f>
        <v>219452.1569</v>
      </c>
      <c r="P225" s="27">
        <f t="shared" si="37"/>
        <v>216250</v>
      </c>
      <c r="Q225" s="27">
        <f t="shared" ref="Q225:Q229" si="42">IFERROR(ACCRINT(COUPPCD(K225,I225,2,0),COUPNCD(K225,I225,2,0),K225,H225,N225,2,0),"")</f>
        <v>3202.156944</v>
      </c>
      <c r="R225" s="27"/>
      <c r="S225" s="110"/>
      <c r="T225" s="110"/>
      <c r="U225" s="57"/>
      <c r="V225" s="57"/>
      <c r="W225" s="57"/>
      <c r="X225" s="57"/>
      <c r="Y225" s="57"/>
      <c r="Z225" s="57"/>
    </row>
    <row r="226" ht="13.5" customHeight="1">
      <c r="A226" s="57"/>
      <c r="B226" s="57" t="s">
        <v>113</v>
      </c>
      <c r="C226" s="57" t="s">
        <v>58</v>
      </c>
      <c r="D226" s="57" t="s">
        <v>59</v>
      </c>
      <c r="E226" s="57" t="s">
        <v>153</v>
      </c>
      <c r="F226" s="57" t="s">
        <v>12</v>
      </c>
      <c r="G226" s="57" t="s">
        <v>141</v>
      </c>
      <c r="H226" s="87">
        <v>0.085</v>
      </c>
      <c r="I226" s="89">
        <v>53723.0</v>
      </c>
      <c r="J226" s="89">
        <v>45891.0</v>
      </c>
      <c r="K226" s="89">
        <v>45895.0</v>
      </c>
      <c r="L226" s="87">
        <f t="shared" si="1"/>
        <v>0.1017343153</v>
      </c>
      <c r="M226" s="111">
        <v>85.5</v>
      </c>
      <c r="N226" s="111">
        <v>250000.0</v>
      </c>
      <c r="O226" s="27">
        <f t="shared" si="41"/>
        <v>215284.7222</v>
      </c>
      <c r="P226" s="27">
        <f t="shared" si="37"/>
        <v>213750</v>
      </c>
      <c r="Q226" s="27">
        <f t="shared" si="42"/>
        <v>1534.722222</v>
      </c>
      <c r="R226" s="27"/>
      <c r="S226" s="110"/>
      <c r="T226" s="110"/>
      <c r="U226" s="57"/>
      <c r="V226" s="57"/>
      <c r="W226" s="57"/>
      <c r="X226" s="57"/>
      <c r="Y226" s="57"/>
      <c r="Z226" s="57"/>
    </row>
    <row r="227" ht="13.5" customHeight="1">
      <c r="A227" s="57"/>
      <c r="B227" s="57" t="s">
        <v>113</v>
      </c>
      <c r="C227" s="57" t="s">
        <v>58</v>
      </c>
      <c r="D227" s="57" t="s">
        <v>59</v>
      </c>
      <c r="E227" s="57" t="s">
        <v>153</v>
      </c>
      <c r="F227" s="57" t="s">
        <v>12</v>
      </c>
      <c r="G227" s="57" t="s">
        <v>141</v>
      </c>
      <c r="H227" s="87">
        <v>0.085</v>
      </c>
      <c r="I227" s="89">
        <v>53723.0</v>
      </c>
      <c r="J227" s="89">
        <v>45891.0</v>
      </c>
      <c r="K227" s="89">
        <v>45895.0</v>
      </c>
      <c r="L227" s="87">
        <f t="shared" si="1"/>
        <v>0.1023923721</v>
      </c>
      <c r="M227" s="111">
        <v>85.0</v>
      </c>
      <c r="N227" s="111">
        <v>250000.0</v>
      </c>
      <c r="O227" s="27">
        <f t="shared" si="41"/>
        <v>214034.7222</v>
      </c>
      <c r="P227" s="27">
        <f t="shared" si="37"/>
        <v>212500</v>
      </c>
      <c r="Q227" s="27">
        <f t="shared" si="42"/>
        <v>1534.722222</v>
      </c>
      <c r="R227" s="27"/>
      <c r="S227" s="110"/>
      <c r="T227" s="110"/>
      <c r="U227" s="57"/>
      <c r="V227" s="57"/>
      <c r="W227" s="57"/>
      <c r="X227" s="57"/>
      <c r="Y227" s="57"/>
      <c r="Z227" s="57"/>
    </row>
    <row r="228" ht="13.5" customHeight="1">
      <c r="A228" s="57"/>
      <c r="B228" s="57" t="s">
        <v>113</v>
      </c>
      <c r="C228" s="57" t="s">
        <v>58</v>
      </c>
      <c r="D228" s="57" t="s">
        <v>59</v>
      </c>
      <c r="E228" s="57" t="s">
        <v>153</v>
      </c>
      <c r="F228" s="57" t="s">
        <v>12</v>
      </c>
      <c r="G228" s="57" t="s">
        <v>211</v>
      </c>
      <c r="H228" s="87">
        <v>0.0475</v>
      </c>
      <c r="I228" s="89">
        <v>56749.0</v>
      </c>
      <c r="J228" s="89">
        <v>45891.0</v>
      </c>
      <c r="K228" s="89">
        <v>45894.0</v>
      </c>
      <c r="L228" s="87">
        <f t="shared" si="1"/>
        <v>0.04853635718</v>
      </c>
      <c r="M228" s="111">
        <v>98.37109</v>
      </c>
      <c r="N228" s="111">
        <v>2000000.0</v>
      </c>
      <c r="O228" s="27">
        <f t="shared" si="41"/>
        <v>1993810.689</v>
      </c>
      <c r="P228" s="27">
        <f t="shared" si="37"/>
        <v>1967421.8</v>
      </c>
      <c r="Q228" s="27">
        <f t="shared" si="42"/>
        <v>26388.88889</v>
      </c>
      <c r="R228" s="27"/>
      <c r="S228" s="110"/>
      <c r="T228" s="110"/>
      <c r="U228" s="57"/>
      <c r="V228" s="57"/>
      <c r="W228" s="57"/>
      <c r="X228" s="57"/>
      <c r="Y228" s="57"/>
      <c r="Z228" s="57"/>
    </row>
    <row r="229" ht="13.5" customHeight="1">
      <c r="A229" s="57"/>
      <c r="B229" s="57" t="s">
        <v>113</v>
      </c>
      <c r="C229" s="57" t="s">
        <v>58</v>
      </c>
      <c r="D229" s="57" t="s">
        <v>59</v>
      </c>
      <c r="E229" s="57" t="s">
        <v>153</v>
      </c>
      <c r="F229" s="57" t="s">
        <v>12</v>
      </c>
      <c r="G229" s="57" t="s">
        <v>206</v>
      </c>
      <c r="H229" s="87">
        <v>0.08700200000000001</v>
      </c>
      <c r="I229" s="89">
        <v>54483.0</v>
      </c>
      <c r="J229" s="89">
        <v>45891.0</v>
      </c>
      <c r="K229" s="89">
        <v>45895.0</v>
      </c>
      <c r="L229" s="87">
        <f t="shared" si="1"/>
        <v>0.1016334351</v>
      </c>
      <c r="M229" s="111">
        <v>87.0</v>
      </c>
      <c r="N229" s="111">
        <v>250000.0</v>
      </c>
      <c r="O229" s="27">
        <f t="shared" si="41"/>
        <v>228073.1597</v>
      </c>
      <c r="P229" s="27">
        <f t="shared" si="37"/>
        <v>217500</v>
      </c>
      <c r="Q229" s="27">
        <f t="shared" si="42"/>
        <v>10573.15972</v>
      </c>
      <c r="R229" s="27"/>
      <c r="S229" s="110"/>
      <c r="T229" s="110"/>
      <c r="U229" s="57"/>
      <c r="V229" s="57"/>
      <c r="W229" s="57"/>
      <c r="X229" s="57"/>
      <c r="Y229" s="57"/>
      <c r="Z229" s="57"/>
    </row>
    <row r="230" ht="13.5" customHeight="1">
      <c r="A230" s="72"/>
      <c r="B230" s="57" t="s">
        <v>113</v>
      </c>
      <c r="C230" s="57" t="s">
        <v>58</v>
      </c>
      <c r="D230" s="57" t="s">
        <v>59</v>
      </c>
      <c r="E230" s="57" t="s">
        <v>153</v>
      </c>
      <c r="F230" s="57" t="s">
        <v>12</v>
      </c>
      <c r="G230" s="72" t="s">
        <v>109</v>
      </c>
      <c r="H230" s="169">
        <v>0.09375</v>
      </c>
      <c r="I230" s="170">
        <v>54275.0</v>
      </c>
      <c r="J230" s="170">
        <v>45891.0</v>
      </c>
      <c r="K230" s="170">
        <v>45895.0</v>
      </c>
      <c r="L230" s="169">
        <f t="shared" si="1"/>
        <v>0.1134547528</v>
      </c>
      <c r="M230" s="171">
        <v>84.0</v>
      </c>
      <c r="N230" s="171">
        <v>250000.0</v>
      </c>
      <c r="O230" s="172">
        <v>214622.4</v>
      </c>
      <c r="P230" s="172">
        <f t="shared" si="37"/>
        <v>210000</v>
      </c>
      <c r="Q230" s="172"/>
      <c r="R230" s="172"/>
      <c r="S230" s="173"/>
      <c r="T230" s="173"/>
      <c r="U230" s="72"/>
      <c r="V230" s="72"/>
      <c r="W230" s="72"/>
      <c r="X230" s="72"/>
      <c r="Y230" s="72"/>
      <c r="Z230" s="72"/>
    </row>
    <row r="231" ht="13.5" customHeight="1">
      <c r="A231" s="57"/>
      <c r="B231" s="57" t="s">
        <v>113</v>
      </c>
      <c r="C231" s="57" t="s">
        <v>58</v>
      </c>
      <c r="D231" s="57" t="s">
        <v>59</v>
      </c>
      <c r="E231" s="57" t="s">
        <v>153</v>
      </c>
      <c r="F231" s="57" t="s">
        <v>12</v>
      </c>
      <c r="G231" s="57" t="s">
        <v>141</v>
      </c>
      <c r="H231" s="87">
        <v>0.085</v>
      </c>
      <c r="I231" s="89">
        <v>53723.0</v>
      </c>
      <c r="J231" s="89">
        <v>45891.0</v>
      </c>
      <c r="K231" s="89">
        <v>45895.0</v>
      </c>
      <c r="L231" s="87">
        <f t="shared" si="1"/>
        <v>0.1017343153</v>
      </c>
      <c r="M231" s="111">
        <v>85.5</v>
      </c>
      <c r="N231" s="111">
        <v>250000.0</v>
      </c>
      <c r="O231" s="27">
        <f>IFERROR((N231*M231/100)+ACCRINT(COUPPCD(K231,I231,2,0),COUPNCD(K231,I231,2,0),K231,H231,N231,2,0),N231*M231/100)</f>
        <v>215284.7222</v>
      </c>
      <c r="P231" s="27">
        <f t="shared" si="37"/>
        <v>213750</v>
      </c>
      <c r="Q231" s="27">
        <f>IFERROR(ACCRINT(COUPPCD(K231,I231,2,0),COUPNCD(K231,I231,2,0),K231,H231,N231,2,0),"")</f>
        <v>1534.722222</v>
      </c>
      <c r="R231" s="27"/>
      <c r="S231" s="110"/>
      <c r="T231" s="110"/>
      <c r="U231" s="57"/>
      <c r="V231" s="57"/>
      <c r="W231" s="57"/>
      <c r="X231" s="57"/>
      <c r="Y231" s="57"/>
      <c r="Z231" s="57"/>
    </row>
    <row r="232" ht="13.5" customHeight="1">
      <c r="A232" s="72"/>
      <c r="B232" s="57" t="s">
        <v>113</v>
      </c>
      <c r="C232" s="57" t="s">
        <v>58</v>
      </c>
      <c r="D232" s="57" t="s">
        <v>59</v>
      </c>
      <c r="E232" s="57" t="s">
        <v>153</v>
      </c>
      <c r="F232" s="57" t="s">
        <v>12</v>
      </c>
      <c r="G232" s="72" t="s">
        <v>109</v>
      </c>
      <c r="H232" s="169">
        <v>0.09375</v>
      </c>
      <c r="I232" s="170">
        <v>54275.0</v>
      </c>
      <c r="J232" s="170">
        <v>45891.0</v>
      </c>
      <c r="K232" s="170">
        <v>45895.0</v>
      </c>
      <c r="L232" s="169">
        <f t="shared" si="1"/>
        <v>0.1138125473</v>
      </c>
      <c r="M232" s="171">
        <v>83.75</v>
      </c>
      <c r="N232" s="171">
        <v>250000.0</v>
      </c>
      <c r="O232" s="172">
        <v>213997.4</v>
      </c>
      <c r="P232" s="172">
        <f t="shared" si="37"/>
        <v>209375</v>
      </c>
      <c r="Q232" s="172"/>
      <c r="R232" s="172"/>
      <c r="S232" s="173"/>
      <c r="T232" s="173"/>
      <c r="U232" s="72"/>
      <c r="V232" s="72"/>
      <c r="W232" s="72"/>
      <c r="X232" s="72"/>
      <c r="Y232" s="72"/>
      <c r="Z232" s="72"/>
    </row>
    <row r="233" ht="13.5" customHeight="1">
      <c r="A233" s="72"/>
      <c r="B233" s="57" t="s">
        <v>110</v>
      </c>
      <c r="C233" s="57" t="s">
        <v>58</v>
      </c>
      <c r="D233" s="57" t="s">
        <v>59</v>
      </c>
      <c r="E233" s="72" t="s">
        <v>188</v>
      </c>
      <c r="F233" s="57" t="s">
        <v>12</v>
      </c>
      <c r="G233" s="72" t="s">
        <v>109</v>
      </c>
      <c r="H233" s="169">
        <v>0.09375</v>
      </c>
      <c r="I233" s="170">
        <v>54275.0</v>
      </c>
      <c r="J233" s="170">
        <v>45891.0</v>
      </c>
      <c r="K233" s="170">
        <v>45895.0</v>
      </c>
      <c r="L233" s="169">
        <f t="shared" si="1"/>
        <v>0.1135261662</v>
      </c>
      <c r="M233" s="171">
        <v>83.95</v>
      </c>
      <c r="N233" s="171">
        <v>2000000.0</v>
      </c>
      <c r="O233" s="172">
        <v>1715979.17</v>
      </c>
      <c r="P233" s="172">
        <f t="shared" si="37"/>
        <v>1679000</v>
      </c>
      <c r="Q233" s="172"/>
      <c r="R233" s="172"/>
      <c r="S233" s="173"/>
      <c r="T233" s="173"/>
      <c r="U233" s="72"/>
      <c r="V233" s="72"/>
      <c r="W233" s="72"/>
      <c r="X233" s="72"/>
      <c r="Y233" s="72"/>
      <c r="Z233" s="72"/>
    </row>
    <row r="234" ht="13.5" customHeight="1">
      <c r="A234" s="57"/>
      <c r="B234" s="57" t="s">
        <v>110</v>
      </c>
      <c r="C234" s="57" t="s">
        <v>58</v>
      </c>
      <c r="D234" s="57" t="s">
        <v>59</v>
      </c>
      <c r="E234" s="57" t="s">
        <v>188</v>
      </c>
      <c r="F234" s="57" t="s">
        <v>12</v>
      </c>
      <c r="G234" s="57" t="s">
        <v>114</v>
      </c>
      <c r="H234" s="87">
        <v>0.09125</v>
      </c>
      <c r="I234" s="89">
        <v>54753.0</v>
      </c>
      <c r="J234" s="89">
        <v>45891.0</v>
      </c>
      <c r="K234" s="89">
        <v>45895.0</v>
      </c>
      <c r="L234" s="87">
        <f t="shared" si="1"/>
        <v>0.1135187712</v>
      </c>
      <c r="M234" s="111">
        <v>81.7</v>
      </c>
      <c r="N234" s="111">
        <v>2000000.0</v>
      </c>
      <c r="O234" s="27">
        <f>IFERROR((N234*M234/100)+ACCRINT(COUPPCD(K234,I234,2,0),COUPNCD(K234,I234,2,0),K234,H234,N234,2,0),N234*M234/100)</f>
        <v>1679625</v>
      </c>
      <c r="P234" s="27">
        <f t="shared" si="37"/>
        <v>1634000</v>
      </c>
      <c r="Q234" s="27">
        <f>IFERROR(ACCRINT(COUPPCD(K234,I234,2,0),COUPNCD(K234,I234,2,0),K234,H234,N234,2,0),"")</f>
        <v>45625</v>
      </c>
      <c r="R234" s="27"/>
      <c r="S234" s="110"/>
      <c r="T234" s="110"/>
      <c r="U234" s="57"/>
      <c r="V234" s="57"/>
      <c r="W234" s="57"/>
      <c r="X234" s="57"/>
      <c r="Y234" s="57"/>
      <c r="Z234" s="57"/>
    </row>
    <row r="235" ht="13.5" customHeight="1">
      <c r="A235" s="1"/>
      <c r="B235" s="1" t="s">
        <v>73</v>
      </c>
      <c r="C235" s="57" t="s">
        <v>58</v>
      </c>
      <c r="D235" s="57" t="s">
        <v>59</v>
      </c>
      <c r="E235" s="57" t="s">
        <v>163</v>
      </c>
      <c r="F235" s="57" t="s">
        <v>14</v>
      </c>
      <c r="G235" s="1" t="s">
        <v>212</v>
      </c>
      <c r="H235" s="62">
        <v>0.0475</v>
      </c>
      <c r="I235" s="89">
        <v>56841.0</v>
      </c>
      <c r="J235" s="22">
        <v>45916.0</v>
      </c>
      <c r="K235" s="22">
        <v>45917.0</v>
      </c>
      <c r="L235" s="87">
        <f t="shared" si="1"/>
        <v>0.04670067756</v>
      </c>
      <c r="M235" s="111">
        <v>101.27734</v>
      </c>
      <c r="N235" s="111">
        <v>2000000.0</v>
      </c>
      <c r="O235" s="172">
        <f t="shared" ref="O235:O237" si="43">IFERROR((N235*M235/100)+Q235,N235*M235/100)</f>
        <v>2034065.822</v>
      </c>
      <c r="P235" s="27">
        <f t="shared" si="37"/>
        <v>2025546.8</v>
      </c>
      <c r="Q235" s="27">
        <f t="shared" ref="Q235:Q237" si="44">IFERROR(ACCRINT(COUPPCD(K235,I235,2,0),COUPNCD(K235,I235,2,0),K235,H235,N235,2,1),"")</f>
        <v>8519.021739</v>
      </c>
      <c r="R235" s="15"/>
      <c r="S235" s="3"/>
      <c r="T235" s="3"/>
      <c r="U235" s="1"/>
      <c r="V235" s="1"/>
      <c r="W235" s="1"/>
      <c r="X235" s="1"/>
      <c r="Y235" s="1"/>
      <c r="Z235" s="1"/>
    </row>
    <row r="236" ht="13.5" customHeight="1">
      <c r="A236" s="1"/>
      <c r="B236" s="57" t="s">
        <v>118</v>
      </c>
      <c r="C236" s="57" t="s">
        <v>58</v>
      </c>
      <c r="D236" s="57" t="s">
        <v>59</v>
      </c>
      <c r="E236" s="57" t="s">
        <v>163</v>
      </c>
      <c r="F236" s="1" t="s">
        <v>12</v>
      </c>
      <c r="G236" s="1" t="s">
        <v>212</v>
      </c>
      <c r="H236" s="62">
        <v>0.0475</v>
      </c>
      <c r="I236" s="89">
        <v>56841.0</v>
      </c>
      <c r="J236" s="22">
        <v>45917.0</v>
      </c>
      <c r="K236" s="22">
        <v>45918.0</v>
      </c>
      <c r="L236" s="87">
        <f t="shared" si="1"/>
        <v>0.04627055456</v>
      </c>
      <c r="M236" s="63">
        <v>101.976563</v>
      </c>
      <c r="N236" s="111">
        <v>2000000.0</v>
      </c>
      <c r="O236" s="172">
        <f t="shared" si="43"/>
        <v>2048308.434</v>
      </c>
      <c r="P236" s="27">
        <f t="shared" si="37"/>
        <v>2039531.26</v>
      </c>
      <c r="Q236" s="27">
        <f t="shared" si="44"/>
        <v>8777.173913</v>
      </c>
      <c r="R236" s="15"/>
      <c r="S236" s="3"/>
      <c r="T236" s="3"/>
      <c r="U236" s="1"/>
      <c r="V236" s="1"/>
      <c r="W236" s="1"/>
      <c r="X236" s="1"/>
      <c r="Y236" s="1"/>
      <c r="Z236" s="1"/>
    </row>
    <row r="237" ht="13.5" customHeight="1">
      <c r="A237" s="1"/>
      <c r="B237" s="1" t="s">
        <v>73</v>
      </c>
      <c r="C237" s="57" t="s">
        <v>58</v>
      </c>
      <c r="D237" s="57" t="s">
        <v>59</v>
      </c>
      <c r="E237" s="57" t="s">
        <v>163</v>
      </c>
      <c r="F237" s="57" t="s">
        <v>14</v>
      </c>
      <c r="G237" s="1" t="s">
        <v>211</v>
      </c>
      <c r="H237" s="62">
        <v>0.0475</v>
      </c>
      <c r="I237" s="89">
        <v>56749.0</v>
      </c>
      <c r="J237" s="22">
        <v>45917.0</v>
      </c>
      <c r="K237" s="22">
        <v>45918.0</v>
      </c>
      <c r="L237" s="87">
        <f t="shared" si="1"/>
        <v>0.04626945111</v>
      </c>
      <c r="M237" s="63">
        <f>101+(31/32)</f>
        <v>101.96875</v>
      </c>
      <c r="N237" s="111">
        <v>2000000.0</v>
      </c>
      <c r="O237" s="172">
        <f t="shared" si="43"/>
        <v>2071902.174</v>
      </c>
      <c r="P237" s="27">
        <f t="shared" si="37"/>
        <v>2039375</v>
      </c>
      <c r="Q237" s="27">
        <f t="shared" si="44"/>
        <v>32527.17391</v>
      </c>
      <c r="R237" s="15"/>
      <c r="S237" s="3"/>
      <c r="T237" s="3"/>
      <c r="U237" s="1"/>
      <c r="V237" s="1"/>
      <c r="W237" s="1"/>
      <c r="X237" s="1"/>
      <c r="Y237" s="1"/>
      <c r="Z237" s="1"/>
    </row>
    <row r="238" ht="13.5" customHeight="1">
      <c r="A238" s="182"/>
      <c r="B238" s="182" t="s">
        <v>73</v>
      </c>
      <c r="C238" s="182" t="s">
        <v>58</v>
      </c>
      <c r="D238" s="182" t="s">
        <v>59</v>
      </c>
      <c r="E238" s="182" t="s">
        <v>163</v>
      </c>
      <c r="F238" s="182" t="s">
        <v>14</v>
      </c>
      <c r="G238" s="182" t="s">
        <v>141</v>
      </c>
      <c r="H238" s="183">
        <v>0.085</v>
      </c>
      <c r="I238" s="184">
        <v>53723.0</v>
      </c>
      <c r="J238" s="185">
        <v>45917.0</v>
      </c>
      <c r="K238" s="185">
        <v>45919.0</v>
      </c>
      <c r="L238" s="183">
        <f t="shared" si="1"/>
        <v>0.09822708975</v>
      </c>
      <c r="M238" s="186">
        <v>88.25</v>
      </c>
      <c r="N238" s="186">
        <v>750000.0</v>
      </c>
      <c r="O238" s="187">
        <f t="shared" ref="O238:O259" si="45">IFERROR((N238*M238/100)+ACCRINT(COUPPCD(K238,I238,2,0),COUPNCD(K238,I238,2,0),K238,H238,N238,2,0),N238*M238/100)</f>
        <v>670552.0833</v>
      </c>
      <c r="P238" s="187">
        <f t="shared" si="37"/>
        <v>661875</v>
      </c>
      <c r="Q238" s="187">
        <f t="shared" ref="Q238:Q272" si="46">IFERROR(ACCRINT(COUPPCD(K238,I238,2,0),COUPNCD(K238,I238,2,0),K238,H238,N238,2,0),"")</f>
        <v>8677.083333</v>
      </c>
      <c r="R238" s="187"/>
      <c r="S238" s="188"/>
      <c r="T238" s="188"/>
      <c r="U238" s="182"/>
      <c r="V238" s="182"/>
      <c r="W238" s="182"/>
      <c r="X238" s="182"/>
      <c r="Y238" s="182"/>
      <c r="Z238" s="182"/>
    </row>
    <row r="239" ht="13.5" customHeight="1">
      <c r="A239" s="182"/>
      <c r="B239" s="182" t="s">
        <v>73</v>
      </c>
      <c r="C239" s="182" t="s">
        <v>58</v>
      </c>
      <c r="D239" s="182" t="s">
        <v>59</v>
      </c>
      <c r="E239" s="182" t="s">
        <v>163</v>
      </c>
      <c r="F239" s="182" t="s">
        <v>14</v>
      </c>
      <c r="G239" s="182" t="s">
        <v>109</v>
      </c>
      <c r="H239" s="183">
        <v>0.09375</v>
      </c>
      <c r="I239" s="184">
        <v>54407.0</v>
      </c>
      <c r="J239" s="185">
        <v>45917.0</v>
      </c>
      <c r="K239" s="185">
        <v>45919.0</v>
      </c>
      <c r="L239" s="183">
        <f t="shared" si="1"/>
        <v>0.1124805804</v>
      </c>
      <c r="M239" s="186">
        <v>84.625</v>
      </c>
      <c r="N239" s="186">
        <v>264000.0</v>
      </c>
      <c r="O239" s="187">
        <f t="shared" si="45"/>
        <v>229872.5</v>
      </c>
      <c r="P239" s="187">
        <f t="shared" si="37"/>
        <v>223410</v>
      </c>
      <c r="Q239" s="187">
        <f t="shared" si="46"/>
        <v>6462.5</v>
      </c>
      <c r="R239" s="187"/>
      <c r="S239" s="188"/>
      <c r="T239" s="188"/>
      <c r="U239" s="182"/>
      <c r="V239" s="182"/>
      <c r="W239" s="182"/>
      <c r="X239" s="182"/>
      <c r="Y239" s="182"/>
      <c r="Z239" s="182"/>
    </row>
    <row r="240" ht="13.5" customHeight="1">
      <c r="A240" s="182"/>
      <c r="B240" s="182" t="s">
        <v>73</v>
      </c>
      <c r="C240" s="182" t="s">
        <v>58</v>
      </c>
      <c r="D240" s="182" t="s">
        <v>59</v>
      </c>
      <c r="E240" s="182" t="s">
        <v>163</v>
      </c>
      <c r="F240" s="182" t="s">
        <v>14</v>
      </c>
      <c r="G240" s="182" t="s">
        <v>109</v>
      </c>
      <c r="H240" s="183">
        <v>0.09375</v>
      </c>
      <c r="I240" s="184">
        <v>54407.0</v>
      </c>
      <c r="J240" s="185">
        <v>45917.0</v>
      </c>
      <c r="K240" s="185">
        <v>45919.0</v>
      </c>
      <c r="L240" s="183">
        <f t="shared" si="1"/>
        <v>0.1124805804</v>
      </c>
      <c r="M240" s="186">
        <v>84.625</v>
      </c>
      <c r="N240" s="186">
        <v>1000000.0</v>
      </c>
      <c r="O240" s="187">
        <f t="shared" si="45"/>
        <v>870729.1667</v>
      </c>
      <c r="P240" s="187">
        <f t="shared" si="37"/>
        <v>846250</v>
      </c>
      <c r="Q240" s="187">
        <f t="shared" si="46"/>
        <v>24479.16667</v>
      </c>
      <c r="R240" s="187"/>
      <c r="S240" s="188"/>
      <c r="T240" s="188"/>
      <c r="U240" s="182"/>
      <c r="V240" s="182"/>
      <c r="W240" s="182"/>
      <c r="X240" s="182"/>
      <c r="Y240" s="182"/>
      <c r="Z240" s="182"/>
    </row>
    <row r="241" ht="13.5" customHeight="1">
      <c r="A241" s="182"/>
      <c r="B241" s="182" t="s">
        <v>73</v>
      </c>
      <c r="C241" s="182" t="s">
        <v>58</v>
      </c>
      <c r="D241" s="182" t="s">
        <v>59</v>
      </c>
      <c r="E241" s="182" t="s">
        <v>163</v>
      </c>
      <c r="F241" s="182" t="s">
        <v>14</v>
      </c>
      <c r="G241" s="182" t="s">
        <v>109</v>
      </c>
      <c r="H241" s="183">
        <v>0.09375</v>
      </c>
      <c r="I241" s="184">
        <v>54407.0</v>
      </c>
      <c r="J241" s="185">
        <v>45917.0</v>
      </c>
      <c r="K241" s="185">
        <v>45919.0</v>
      </c>
      <c r="L241" s="183">
        <f t="shared" si="1"/>
        <v>0.1124805804</v>
      </c>
      <c r="M241" s="186">
        <v>84.625</v>
      </c>
      <c r="N241" s="186">
        <v>1500000.0</v>
      </c>
      <c r="O241" s="187">
        <f t="shared" si="45"/>
        <v>1306093.75</v>
      </c>
      <c r="P241" s="187">
        <f t="shared" si="37"/>
        <v>1269375</v>
      </c>
      <c r="Q241" s="187">
        <f t="shared" si="46"/>
        <v>36718.75</v>
      </c>
      <c r="R241" s="187"/>
      <c r="S241" s="188"/>
      <c r="T241" s="188"/>
      <c r="U241" s="182"/>
      <c r="V241" s="182"/>
      <c r="W241" s="182"/>
      <c r="X241" s="182"/>
      <c r="Y241" s="182"/>
      <c r="Z241" s="182"/>
    </row>
    <row r="242" ht="13.5" customHeight="1">
      <c r="A242" s="182"/>
      <c r="B242" s="182" t="s">
        <v>73</v>
      </c>
      <c r="C242" s="182" t="s">
        <v>58</v>
      </c>
      <c r="D242" s="182" t="s">
        <v>59</v>
      </c>
      <c r="E242" s="182" t="s">
        <v>163</v>
      </c>
      <c r="F242" s="182" t="s">
        <v>14</v>
      </c>
      <c r="G242" s="182" t="s">
        <v>114</v>
      </c>
      <c r="H242" s="183">
        <v>0.0913</v>
      </c>
      <c r="I242" s="184">
        <v>54753.0</v>
      </c>
      <c r="J242" s="185">
        <v>45917.0</v>
      </c>
      <c r="K242" s="185">
        <v>45919.0</v>
      </c>
      <c r="L242" s="183">
        <f t="shared" si="1"/>
        <v>0.1120896896</v>
      </c>
      <c r="M242" s="186">
        <v>82.75</v>
      </c>
      <c r="N242" s="186">
        <v>1000000.0</v>
      </c>
      <c r="O242" s="187">
        <f t="shared" si="45"/>
        <v>856158.0556</v>
      </c>
      <c r="P242" s="187">
        <f t="shared" si="37"/>
        <v>827500</v>
      </c>
      <c r="Q242" s="187">
        <f t="shared" si="46"/>
        <v>28658.05556</v>
      </c>
      <c r="R242" s="187"/>
      <c r="S242" s="188"/>
      <c r="T242" s="188"/>
      <c r="U242" s="182"/>
      <c r="V242" s="182"/>
      <c r="W242" s="182"/>
      <c r="X242" s="182"/>
      <c r="Y242" s="182"/>
      <c r="Z242" s="182"/>
    </row>
    <row r="243" ht="13.5" customHeight="1">
      <c r="A243" s="182"/>
      <c r="B243" s="182" t="s">
        <v>73</v>
      </c>
      <c r="C243" s="182" t="s">
        <v>58</v>
      </c>
      <c r="D243" s="182" t="s">
        <v>59</v>
      </c>
      <c r="E243" s="182" t="s">
        <v>163</v>
      </c>
      <c r="F243" s="182" t="s">
        <v>14</v>
      </c>
      <c r="G243" s="182" t="s">
        <v>114</v>
      </c>
      <c r="H243" s="183">
        <v>0.0913</v>
      </c>
      <c r="I243" s="184">
        <v>54753.0</v>
      </c>
      <c r="J243" s="185">
        <v>45917.0</v>
      </c>
      <c r="K243" s="185">
        <v>45919.0</v>
      </c>
      <c r="L243" s="183">
        <f t="shared" si="1"/>
        <v>0.1120896896</v>
      </c>
      <c r="M243" s="186">
        <v>82.75</v>
      </c>
      <c r="N243" s="186">
        <v>1000000.0</v>
      </c>
      <c r="O243" s="187">
        <f t="shared" si="45"/>
        <v>856158.0556</v>
      </c>
      <c r="P243" s="187">
        <f t="shared" si="37"/>
        <v>827500</v>
      </c>
      <c r="Q243" s="187">
        <f t="shared" si="46"/>
        <v>28658.05556</v>
      </c>
      <c r="R243" s="187"/>
      <c r="S243" s="188"/>
      <c r="T243" s="188"/>
      <c r="U243" s="182"/>
      <c r="V243" s="182"/>
      <c r="W243" s="182"/>
      <c r="X243" s="182"/>
      <c r="Y243" s="182"/>
      <c r="Z243" s="182"/>
    </row>
    <row r="244" ht="13.5" customHeight="1">
      <c r="A244" s="182"/>
      <c r="B244" s="182" t="s">
        <v>73</v>
      </c>
      <c r="C244" s="182" t="s">
        <v>58</v>
      </c>
      <c r="D244" s="182" t="s">
        <v>59</v>
      </c>
      <c r="E244" s="182" t="s">
        <v>163</v>
      </c>
      <c r="F244" s="182" t="s">
        <v>14</v>
      </c>
      <c r="G244" s="182" t="s">
        <v>114</v>
      </c>
      <c r="H244" s="183">
        <v>0.0913</v>
      </c>
      <c r="I244" s="184">
        <v>54753.0</v>
      </c>
      <c r="J244" s="185">
        <v>45917.0</v>
      </c>
      <c r="K244" s="185">
        <v>45919.0</v>
      </c>
      <c r="L244" s="183">
        <f t="shared" si="1"/>
        <v>0.1119126996</v>
      </c>
      <c r="M244" s="186">
        <v>82.875</v>
      </c>
      <c r="N244" s="186">
        <v>1000000.0</v>
      </c>
      <c r="O244" s="187">
        <f t="shared" si="45"/>
        <v>857408.0556</v>
      </c>
      <c r="P244" s="187">
        <f t="shared" si="37"/>
        <v>828750</v>
      </c>
      <c r="Q244" s="187">
        <f t="shared" si="46"/>
        <v>28658.05556</v>
      </c>
      <c r="R244" s="187"/>
      <c r="S244" s="188"/>
      <c r="T244" s="188"/>
      <c r="U244" s="182"/>
      <c r="V244" s="182"/>
      <c r="W244" s="182"/>
      <c r="X244" s="182"/>
      <c r="Y244" s="182"/>
      <c r="Z244" s="182"/>
    </row>
    <row r="245" ht="13.5" customHeight="1">
      <c r="A245" s="182"/>
      <c r="B245" s="182" t="s">
        <v>73</v>
      </c>
      <c r="C245" s="182" t="s">
        <v>58</v>
      </c>
      <c r="D245" s="182" t="s">
        <v>59</v>
      </c>
      <c r="E245" s="182" t="s">
        <v>163</v>
      </c>
      <c r="F245" s="182" t="s">
        <v>14</v>
      </c>
      <c r="G245" s="182" t="s">
        <v>114</v>
      </c>
      <c r="H245" s="183">
        <v>0.0913</v>
      </c>
      <c r="I245" s="184">
        <v>54753.0</v>
      </c>
      <c r="J245" s="185">
        <v>45917.0</v>
      </c>
      <c r="K245" s="185">
        <v>45919.0</v>
      </c>
      <c r="L245" s="183">
        <f t="shared" si="1"/>
        <v>0.1117361691</v>
      </c>
      <c r="M245" s="186">
        <v>83.0</v>
      </c>
      <c r="N245" s="186">
        <v>1700000.0</v>
      </c>
      <c r="O245" s="187">
        <f t="shared" si="45"/>
        <v>1459718.694</v>
      </c>
      <c r="P245" s="187">
        <f t="shared" si="37"/>
        <v>1411000</v>
      </c>
      <c r="Q245" s="187">
        <f t="shared" si="46"/>
        <v>48718.69444</v>
      </c>
      <c r="R245" s="187"/>
      <c r="S245" s="188"/>
      <c r="T245" s="188"/>
      <c r="U245" s="182"/>
      <c r="V245" s="182"/>
      <c r="W245" s="182"/>
      <c r="X245" s="182"/>
      <c r="Y245" s="182"/>
      <c r="Z245" s="182"/>
    </row>
    <row r="246" ht="13.5" customHeight="1">
      <c r="A246" s="182"/>
      <c r="B246" s="182" t="s">
        <v>73</v>
      </c>
      <c r="C246" s="182" t="s">
        <v>58</v>
      </c>
      <c r="D246" s="182" t="s">
        <v>59</v>
      </c>
      <c r="E246" s="182" t="s">
        <v>163</v>
      </c>
      <c r="F246" s="182" t="s">
        <v>14</v>
      </c>
      <c r="G246" s="182" t="s">
        <v>206</v>
      </c>
      <c r="H246" s="183">
        <v>0.087</v>
      </c>
      <c r="I246" s="184">
        <v>54483.0</v>
      </c>
      <c r="J246" s="185">
        <v>45917.0</v>
      </c>
      <c r="K246" s="185">
        <v>45919.0</v>
      </c>
      <c r="L246" s="183">
        <f t="shared" si="1"/>
        <v>0.09885059032</v>
      </c>
      <c r="M246" s="186">
        <v>89.25</v>
      </c>
      <c r="N246" s="186">
        <v>1000000.0</v>
      </c>
      <c r="O246" s="187">
        <f t="shared" si="45"/>
        <v>896850</v>
      </c>
      <c r="P246" s="187">
        <f t="shared" si="37"/>
        <v>892500</v>
      </c>
      <c r="Q246" s="187">
        <f t="shared" si="46"/>
        <v>4350</v>
      </c>
      <c r="R246" s="187"/>
      <c r="S246" s="188"/>
      <c r="T246" s="188"/>
      <c r="U246" s="182"/>
      <c r="V246" s="182"/>
      <c r="W246" s="182"/>
      <c r="X246" s="182"/>
      <c r="Y246" s="182"/>
      <c r="Z246" s="182"/>
    </row>
    <row r="247" ht="13.5" customHeight="1">
      <c r="A247" s="182"/>
      <c r="B247" s="182" t="s">
        <v>73</v>
      </c>
      <c r="C247" s="182" t="s">
        <v>58</v>
      </c>
      <c r="D247" s="182" t="s">
        <v>59</v>
      </c>
      <c r="E247" s="182" t="s">
        <v>163</v>
      </c>
      <c r="F247" s="182" t="s">
        <v>14</v>
      </c>
      <c r="G247" s="182" t="s">
        <v>209</v>
      </c>
      <c r="H247" s="183">
        <v>0.0825</v>
      </c>
      <c r="I247" s="184">
        <v>54116.0</v>
      </c>
      <c r="J247" s="185">
        <v>45917.0</v>
      </c>
      <c r="K247" s="185">
        <v>45919.0</v>
      </c>
      <c r="L247" s="183">
        <f t="shared" si="1"/>
        <v>0.09227547988</v>
      </c>
      <c r="M247" s="186">
        <v>90.75</v>
      </c>
      <c r="N247" s="186">
        <v>1700000.0</v>
      </c>
      <c r="O247" s="187">
        <f t="shared" si="45"/>
        <v>1550931.25</v>
      </c>
      <c r="P247" s="187">
        <f t="shared" si="37"/>
        <v>1542750</v>
      </c>
      <c r="Q247" s="187">
        <f t="shared" si="46"/>
        <v>8181.25</v>
      </c>
      <c r="R247" s="187"/>
      <c r="S247" s="188"/>
      <c r="T247" s="188"/>
      <c r="U247" s="182"/>
      <c r="V247" s="182"/>
      <c r="W247" s="182"/>
      <c r="X247" s="182"/>
      <c r="Y247" s="182"/>
      <c r="Z247" s="182"/>
    </row>
    <row r="248" ht="13.5" customHeight="1">
      <c r="A248" s="182"/>
      <c r="B248" s="182" t="s">
        <v>73</v>
      </c>
      <c r="C248" s="182" t="s">
        <v>58</v>
      </c>
      <c r="D248" s="182" t="s">
        <v>59</v>
      </c>
      <c r="E248" s="182" t="s">
        <v>163</v>
      </c>
      <c r="F248" s="182" t="s">
        <v>14</v>
      </c>
      <c r="G248" s="182" t="s">
        <v>109</v>
      </c>
      <c r="H248" s="183">
        <v>0.09375</v>
      </c>
      <c r="I248" s="184">
        <v>54407.0</v>
      </c>
      <c r="J248" s="185">
        <v>45917.0</v>
      </c>
      <c r="K248" s="185">
        <v>45919.0</v>
      </c>
      <c r="L248" s="183">
        <f t="shared" si="1"/>
        <v>0.1119557453</v>
      </c>
      <c r="M248" s="186">
        <v>85.0</v>
      </c>
      <c r="N248" s="186">
        <v>1000000.0</v>
      </c>
      <c r="O248" s="187">
        <f t="shared" si="45"/>
        <v>874479.1667</v>
      </c>
      <c r="P248" s="187">
        <f t="shared" si="37"/>
        <v>850000</v>
      </c>
      <c r="Q248" s="187">
        <f t="shared" si="46"/>
        <v>24479.16667</v>
      </c>
      <c r="R248" s="187"/>
      <c r="S248" s="188"/>
      <c r="T248" s="188"/>
      <c r="U248" s="182"/>
      <c r="V248" s="182"/>
      <c r="W248" s="182"/>
      <c r="X248" s="182"/>
      <c r="Y248" s="182"/>
      <c r="Z248" s="182"/>
    </row>
    <row r="249" ht="13.5" customHeight="1">
      <c r="A249" s="182"/>
      <c r="B249" s="182" t="s">
        <v>73</v>
      </c>
      <c r="C249" s="182" t="s">
        <v>58</v>
      </c>
      <c r="D249" s="182" t="s">
        <v>59</v>
      </c>
      <c r="E249" s="182" t="s">
        <v>163</v>
      </c>
      <c r="F249" s="182" t="s">
        <v>14</v>
      </c>
      <c r="G249" s="182" t="s">
        <v>109</v>
      </c>
      <c r="H249" s="183">
        <v>0.09375</v>
      </c>
      <c r="I249" s="184">
        <v>54407.0</v>
      </c>
      <c r="J249" s="185">
        <v>45917.0</v>
      </c>
      <c r="K249" s="185">
        <v>45919.0</v>
      </c>
      <c r="L249" s="183">
        <f t="shared" si="1"/>
        <v>0.1117816771</v>
      </c>
      <c r="M249" s="186">
        <v>85.125</v>
      </c>
      <c r="N249" s="186">
        <v>1000000.0</v>
      </c>
      <c r="O249" s="187">
        <f t="shared" si="45"/>
        <v>875729.1667</v>
      </c>
      <c r="P249" s="187">
        <f t="shared" si="37"/>
        <v>851250</v>
      </c>
      <c r="Q249" s="187">
        <f t="shared" si="46"/>
        <v>24479.16667</v>
      </c>
      <c r="R249" s="187"/>
      <c r="S249" s="188"/>
      <c r="T249" s="188"/>
      <c r="U249" s="182"/>
      <c r="V249" s="182"/>
      <c r="W249" s="182"/>
      <c r="X249" s="182"/>
      <c r="Y249" s="182"/>
      <c r="Z249" s="182"/>
    </row>
    <row r="250" ht="13.5" customHeight="1">
      <c r="A250" s="182"/>
      <c r="B250" s="182" t="s">
        <v>73</v>
      </c>
      <c r="C250" s="182" t="s">
        <v>58</v>
      </c>
      <c r="D250" s="182" t="s">
        <v>59</v>
      </c>
      <c r="E250" s="182" t="s">
        <v>163</v>
      </c>
      <c r="F250" s="182" t="s">
        <v>14</v>
      </c>
      <c r="G250" s="182" t="s">
        <v>191</v>
      </c>
      <c r="H250" s="183">
        <v>0.0763</v>
      </c>
      <c r="I250" s="184">
        <v>54024.0</v>
      </c>
      <c r="J250" s="185">
        <v>45917.0</v>
      </c>
      <c r="K250" s="185">
        <v>45919.0</v>
      </c>
      <c r="L250" s="183">
        <f t="shared" si="1"/>
        <v>0.08990154445</v>
      </c>
      <c r="M250" s="186">
        <v>87.0</v>
      </c>
      <c r="N250" s="186">
        <v>2200000.0</v>
      </c>
      <c r="O250" s="187">
        <f t="shared" si="45"/>
        <v>1965756.833</v>
      </c>
      <c r="P250" s="187">
        <f t="shared" si="37"/>
        <v>1914000</v>
      </c>
      <c r="Q250" s="187">
        <f t="shared" si="46"/>
        <v>51756.83333</v>
      </c>
      <c r="R250" s="187"/>
      <c r="S250" s="188"/>
      <c r="T250" s="188"/>
      <c r="U250" s="182"/>
      <c r="V250" s="182"/>
      <c r="W250" s="182"/>
      <c r="X250" s="182"/>
      <c r="Y250" s="182"/>
      <c r="Z250" s="182"/>
    </row>
    <row r="251" ht="13.5" customHeight="1">
      <c r="A251" s="182"/>
      <c r="B251" s="182" t="s">
        <v>73</v>
      </c>
      <c r="C251" s="182" t="s">
        <v>58</v>
      </c>
      <c r="D251" s="182" t="s">
        <v>59</v>
      </c>
      <c r="E251" s="182" t="s">
        <v>163</v>
      </c>
      <c r="F251" s="182" t="s">
        <v>14</v>
      </c>
      <c r="G251" s="182" t="s">
        <v>170</v>
      </c>
      <c r="H251" s="183">
        <v>0.0825</v>
      </c>
      <c r="I251" s="184">
        <v>55424.0</v>
      </c>
      <c r="J251" s="185">
        <v>45917.0</v>
      </c>
      <c r="K251" s="185">
        <v>45919.0</v>
      </c>
      <c r="L251" s="183">
        <f t="shared" si="1"/>
        <v>0.09162939061</v>
      </c>
      <c r="M251" s="186">
        <v>91.0</v>
      </c>
      <c r="N251" s="186">
        <v>2400000.0</v>
      </c>
      <c r="O251" s="187">
        <f t="shared" si="45"/>
        <v>2278050</v>
      </c>
      <c r="P251" s="187">
        <f t="shared" si="37"/>
        <v>2184000</v>
      </c>
      <c r="Q251" s="187">
        <f t="shared" si="46"/>
        <v>94050</v>
      </c>
      <c r="R251" s="187"/>
      <c r="S251" s="188"/>
      <c r="T251" s="188"/>
      <c r="U251" s="182"/>
      <c r="V251" s="182"/>
      <c r="W251" s="182"/>
      <c r="X251" s="182"/>
      <c r="Y251" s="182"/>
      <c r="Z251" s="182"/>
    </row>
    <row r="252" ht="13.5" customHeight="1">
      <c r="A252" s="182"/>
      <c r="B252" s="182" t="s">
        <v>73</v>
      </c>
      <c r="C252" s="182" t="s">
        <v>58</v>
      </c>
      <c r="D252" s="182" t="s">
        <v>59</v>
      </c>
      <c r="E252" s="182" t="s">
        <v>163</v>
      </c>
      <c r="F252" s="182" t="s">
        <v>14</v>
      </c>
      <c r="G252" s="182" t="s">
        <v>156</v>
      </c>
      <c r="H252" s="183">
        <v>0.0925</v>
      </c>
      <c r="I252" s="184">
        <v>54444.0</v>
      </c>
      <c r="J252" s="185">
        <v>45917.0</v>
      </c>
      <c r="K252" s="185">
        <v>45919.0</v>
      </c>
      <c r="L252" s="183">
        <f t="shared" si="1"/>
        <v>0.09040581794</v>
      </c>
      <c r="M252" s="186">
        <v>102.0</v>
      </c>
      <c r="N252" s="186">
        <v>1700000.0</v>
      </c>
      <c r="O252" s="187">
        <f t="shared" si="45"/>
        <v>1759334.722</v>
      </c>
      <c r="P252" s="187">
        <f t="shared" si="37"/>
        <v>1734000</v>
      </c>
      <c r="Q252" s="187">
        <f t="shared" si="46"/>
        <v>25334.72222</v>
      </c>
      <c r="R252" s="187"/>
      <c r="S252" s="188"/>
      <c r="T252" s="188"/>
      <c r="U252" s="182"/>
      <c r="V252" s="182"/>
      <c r="W252" s="182"/>
      <c r="X252" s="182"/>
      <c r="Y252" s="182"/>
      <c r="Z252" s="182"/>
    </row>
    <row r="253" ht="13.5" customHeight="1">
      <c r="A253" s="182"/>
      <c r="B253" s="182" t="s">
        <v>73</v>
      </c>
      <c r="C253" s="182" t="s">
        <v>58</v>
      </c>
      <c r="D253" s="182" t="s">
        <v>59</v>
      </c>
      <c r="E253" s="182" t="s">
        <v>163</v>
      </c>
      <c r="F253" s="182" t="s">
        <v>14</v>
      </c>
      <c r="G253" s="182" t="s">
        <v>109</v>
      </c>
      <c r="H253" s="183">
        <v>0.09375</v>
      </c>
      <c r="I253" s="184">
        <v>54407.0</v>
      </c>
      <c r="J253" s="185">
        <v>45917.0</v>
      </c>
      <c r="K253" s="185">
        <v>45919.0</v>
      </c>
      <c r="L253" s="183">
        <f t="shared" si="1"/>
        <v>0.111608044</v>
      </c>
      <c r="M253" s="186">
        <v>85.25</v>
      </c>
      <c r="N253" s="186">
        <v>1500000.0</v>
      </c>
      <c r="O253" s="187">
        <f t="shared" si="45"/>
        <v>1315468.75</v>
      </c>
      <c r="P253" s="187">
        <f t="shared" si="37"/>
        <v>1278750</v>
      </c>
      <c r="Q253" s="187">
        <f t="shared" si="46"/>
        <v>36718.75</v>
      </c>
      <c r="R253" s="187"/>
      <c r="S253" s="188"/>
      <c r="T253" s="188"/>
      <c r="U253" s="182"/>
      <c r="V253" s="182"/>
      <c r="W253" s="182"/>
      <c r="X253" s="182"/>
      <c r="Y253" s="182"/>
      <c r="Z253" s="182"/>
    </row>
    <row r="254" ht="13.5" customHeight="1">
      <c r="A254" s="182"/>
      <c r="B254" s="182" t="s">
        <v>172</v>
      </c>
      <c r="C254" s="182" t="s">
        <v>45</v>
      </c>
      <c r="D254" s="182" t="s">
        <v>59</v>
      </c>
      <c r="E254" s="182" t="s">
        <v>188</v>
      </c>
      <c r="F254" s="182" t="s">
        <v>14</v>
      </c>
      <c r="G254" s="182" t="s">
        <v>106</v>
      </c>
      <c r="H254" s="183">
        <v>0.08875</v>
      </c>
      <c r="I254" s="184">
        <v>54937.0</v>
      </c>
      <c r="J254" s="185">
        <v>45917.0</v>
      </c>
      <c r="K254" s="185">
        <v>45919.0</v>
      </c>
      <c r="L254" s="183">
        <f t="shared" si="1"/>
        <v>0.09863799639</v>
      </c>
      <c r="M254" s="186">
        <v>90.88</v>
      </c>
      <c r="N254" s="186">
        <v>500000.0</v>
      </c>
      <c r="O254" s="187">
        <f t="shared" si="45"/>
        <v>467959.0278</v>
      </c>
      <c r="P254" s="187">
        <f t="shared" si="37"/>
        <v>454400</v>
      </c>
      <c r="Q254" s="187">
        <f t="shared" si="46"/>
        <v>13559.02778</v>
      </c>
      <c r="R254" s="187"/>
      <c r="S254" s="188"/>
      <c r="T254" s="188"/>
      <c r="U254" s="182"/>
      <c r="V254" s="182"/>
      <c r="W254" s="182"/>
      <c r="X254" s="182"/>
      <c r="Y254" s="182"/>
      <c r="Z254" s="182"/>
    </row>
    <row r="255" ht="13.5" customHeight="1">
      <c r="A255" s="182"/>
      <c r="B255" s="182" t="s">
        <v>172</v>
      </c>
      <c r="C255" s="182" t="s">
        <v>58</v>
      </c>
      <c r="D255" s="182" t="s">
        <v>59</v>
      </c>
      <c r="E255" s="182" t="s">
        <v>188</v>
      </c>
      <c r="F255" s="182" t="s">
        <v>14</v>
      </c>
      <c r="G255" s="182" t="s">
        <v>141</v>
      </c>
      <c r="H255" s="183">
        <v>0.085</v>
      </c>
      <c r="I255" s="184">
        <v>53723.0</v>
      </c>
      <c r="J255" s="185">
        <v>45917.0</v>
      </c>
      <c r="K255" s="185">
        <v>45919.0</v>
      </c>
      <c r="L255" s="183">
        <f t="shared" si="1"/>
        <v>0.09822708975</v>
      </c>
      <c r="M255" s="186">
        <v>88.25</v>
      </c>
      <c r="N255" s="186">
        <v>2000000.0</v>
      </c>
      <c r="O255" s="187">
        <f t="shared" si="45"/>
        <v>1788138.889</v>
      </c>
      <c r="P255" s="187">
        <f t="shared" si="37"/>
        <v>1765000</v>
      </c>
      <c r="Q255" s="187">
        <f t="shared" si="46"/>
        <v>23138.88889</v>
      </c>
      <c r="R255" s="187"/>
      <c r="S255" s="188"/>
      <c r="T255" s="188"/>
      <c r="U255" s="182"/>
      <c r="V255" s="182"/>
      <c r="W255" s="182"/>
      <c r="X255" s="182"/>
      <c r="Y255" s="182"/>
      <c r="Z255" s="182"/>
    </row>
    <row r="256" ht="13.5" customHeight="1">
      <c r="A256" s="182"/>
      <c r="B256" s="182" t="s">
        <v>130</v>
      </c>
      <c r="C256" s="182" t="s">
        <v>58</v>
      </c>
      <c r="D256" s="182" t="s">
        <v>59</v>
      </c>
      <c r="E256" s="182" t="s">
        <v>163</v>
      </c>
      <c r="F256" s="182" t="s">
        <v>14</v>
      </c>
      <c r="G256" s="182" t="s">
        <v>109</v>
      </c>
      <c r="H256" s="183">
        <v>0.09375</v>
      </c>
      <c r="I256" s="184">
        <v>54407.0</v>
      </c>
      <c r="J256" s="185">
        <v>45917.0</v>
      </c>
      <c r="K256" s="185">
        <v>45919.0</v>
      </c>
      <c r="L256" s="183">
        <f t="shared" si="1"/>
        <v>0.112305195</v>
      </c>
      <c r="M256" s="186">
        <v>84.75</v>
      </c>
      <c r="N256" s="186">
        <v>1000000.0</v>
      </c>
      <c r="O256" s="187">
        <f t="shared" si="45"/>
        <v>871979.1667</v>
      </c>
      <c r="P256" s="187">
        <f t="shared" si="37"/>
        <v>847500</v>
      </c>
      <c r="Q256" s="187">
        <f t="shared" si="46"/>
        <v>24479.16667</v>
      </c>
      <c r="R256" s="187"/>
      <c r="S256" s="188"/>
      <c r="T256" s="188"/>
      <c r="U256" s="182"/>
      <c r="V256" s="182"/>
      <c r="W256" s="182"/>
      <c r="X256" s="182"/>
      <c r="Y256" s="182"/>
      <c r="Z256" s="182"/>
    </row>
    <row r="257" ht="13.5" customHeight="1">
      <c r="A257" s="182"/>
      <c r="B257" s="182" t="s">
        <v>130</v>
      </c>
      <c r="C257" s="182" t="s">
        <v>58</v>
      </c>
      <c r="D257" s="182" t="s">
        <v>59</v>
      </c>
      <c r="E257" s="182" t="s">
        <v>163</v>
      </c>
      <c r="F257" s="182" t="s">
        <v>14</v>
      </c>
      <c r="G257" s="182" t="s">
        <v>109</v>
      </c>
      <c r="H257" s="183">
        <v>0.09375</v>
      </c>
      <c r="I257" s="184">
        <v>54407.0</v>
      </c>
      <c r="J257" s="185">
        <v>45917.0</v>
      </c>
      <c r="K257" s="185">
        <v>45919.0</v>
      </c>
      <c r="L257" s="183">
        <f t="shared" si="1"/>
        <v>0.1119557453</v>
      </c>
      <c r="M257" s="186">
        <v>85.0</v>
      </c>
      <c r="N257" s="186">
        <v>2000000.0</v>
      </c>
      <c r="O257" s="187">
        <f t="shared" si="45"/>
        <v>1748958.333</v>
      </c>
      <c r="P257" s="187">
        <f t="shared" si="37"/>
        <v>1700000</v>
      </c>
      <c r="Q257" s="187">
        <f t="shared" si="46"/>
        <v>48958.33333</v>
      </c>
      <c r="R257" s="187"/>
      <c r="S257" s="188"/>
      <c r="T257" s="188"/>
      <c r="U257" s="182"/>
      <c r="V257" s="182"/>
      <c r="W257" s="182"/>
      <c r="X257" s="182"/>
      <c r="Y257" s="182"/>
      <c r="Z257" s="182"/>
    </row>
    <row r="258" ht="13.5" customHeight="1">
      <c r="A258" s="182"/>
      <c r="B258" s="182" t="s">
        <v>104</v>
      </c>
      <c r="C258" s="182" t="s">
        <v>58</v>
      </c>
      <c r="D258" s="182" t="s">
        <v>59</v>
      </c>
      <c r="E258" s="182" t="s">
        <v>163</v>
      </c>
      <c r="F258" s="182" t="s">
        <v>14</v>
      </c>
      <c r="G258" s="182" t="s">
        <v>109</v>
      </c>
      <c r="H258" s="183">
        <v>0.09375</v>
      </c>
      <c r="I258" s="184">
        <v>54407.0</v>
      </c>
      <c r="J258" s="185">
        <v>45917.0</v>
      </c>
      <c r="K258" s="185">
        <v>45919.0</v>
      </c>
      <c r="L258" s="183">
        <f t="shared" si="1"/>
        <v>0.1115387122</v>
      </c>
      <c r="M258" s="186">
        <v>85.3</v>
      </c>
      <c r="N258" s="186">
        <v>1000000.0</v>
      </c>
      <c r="O258" s="187">
        <f t="shared" si="45"/>
        <v>877479.1667</v>
      </c>
      <c r="P258" s="187">
        <f t="shared" si="37"/>
        <v>853000</v>
      </c>
      <c r="Q258" s="187">
        <f t="shared" si="46"/>
        <v>24479.16667</v>
      </c>
      <c r="R258" s="187"/>
      <c r="S258" s="188"/>
      <c r="T258" s="188"/>
      <c r="U258" s="182"/>
      <c r="V258" s="182"/>
      <c r="W258" s="182"/>
      <c r="X258" s="182"/>
      <c r="Y258" s="182"/>
      <c r="Z258" s="182"/>
    </row>
    <row r="259" ht="13.5" customHeight="1">
      <c r="A259" s="182"/>
      <c r="B259" s="182" t="s">
        <v>104</v>
      </c>
      <c r="C259" s="182" t="s">
        <v>58</v>
      </c>
      <c r="D259" s="182" t="s">
        <v>59</v>
      </c>
      <c r="E259" s="182" t="s">
        <v>163</v>
      </c>
      <c r="F259" s="182" t="s">
        <v>14</v>
      </c>
      <c r="G259" s="182" t="s">
        <v>109</v>
      </c>
      <c r="H259" s="183">
        <v>0.09375</v>
      </c>
      <c r="I259" s="184">
        <v>54407.0</v>
      </c>
      <c r="J259" s="185">
        <v>45917.0</v>
      </c>
      <c r="K259" s="185">
        <v>45919.0</v>
      </c>
      <c r="L259" s="183">
        <f t="shared" si="1"/>
        <v>0.1114002561</v>
      </c>
      <c r="M259" s="186">
        <v>85.4</v>
      </c>
      <c r="N259" s="186">
        <v>236000.0</v>
      </c>
      <c r="O259" s="187">
        <f t="shared" si="45"/>
        <v>207321.0833</v>
      </c>
      <c r="P259" s="187">
        <f t="shared" si="37"/>
        <v>201544</v>
      </c>
      <c r="Q259" s="187">
        <f t="shared" si="46"/>
        <v>5777.083333</v>
      </c>
      <c r="R259" s="187"/>
      <c r="S259" s="188"/>
      <c r="T259" s="188"/>
      <c r="U259" s="182"/>
      <c r="V259" s="182"/>
      <c r="W259" s="182"/>
      <c r="X259" s="182"/>
      <c r="Y259" s="182"/>
      <c r="Z259" s="182"/>
    </row>
    <row r="260" ht="13.5" customHeight="1">
      <c r="A260" s="1" t="s">
        <v>213</v>
      </c>
      <c r="B260" s="57" t="s">
        <v>118</v>
      </c>
      <c r="C260" s="57" t="s">
        <v>58</v>
      </c>
      <c r="D260" s="57" t="s">
        <v>59</v>
      </c>
      <c r="E260" s="57" t="s">
        <v>163</v>
      </c>
      <c r="F260" s="57" t="s">
        <v>14</v>
      </c>
      <c r="G260" s="1" t="s">
        <v>109</v>
      </c>
      <c r="H260" s="62">
        <v>0.09375</v>
      </c>
      <c r="I260" s="89">
        <v>54186.0</v>
      </c>
      <c r="J260" s="42">
        <v>45930.0</v>
      </c>
      <c r="K260" s="42">
        <v>45932.0</v>
      </c>
      <c r="L260" s="62">
        <f t="shared" si="1"/>
        <v>0.1352098039</v>
      </c>
      <c r="M260" s="63">
        <v>70.9059</v>
      </c>
      <c r="N260" s="63">
        <v>2000000.0</v>
      </c>
      <c r="O260" s="15">
        <v>1418119.34</v>
      </c>
      <c r="P260" s="15">
        <f t="shared" si="37"/>
        <v>1418118</v>
      </c>
      <c r="Q260" s="15">
        <f t="shared" si="46"/>
        <v>75000</v>
      </c>
      <c r="R260" s="15"/>
      <c r="S260" s="3"/>
      <c r="T260" s="3"/>
      <c r="U260" s="1"/>
      <c r="V260" s="1"/>
      <c r="W260" s="1"/>
      <c r="X260" s="1"/>
      <c r="Y260" s="1"/>
      <c r="Z260" s="1"/>
    </row>
    <row r="261" ht="13.5" customHeight="1">
      <c r="A261" s="1" t="s">
        <v>213</v>
      </c>
      <c r="B261" s="57" t="s">
        <v>118</v>
      </c>
      <c r="C261" s="57" t="s">
        <v>58</v>
      </c>
      <c r="D261" s="57" t="s">
        <v>59</v>
      </c>
      <c r="E261" s="57" t="s">
        <v>163</v>
      </c>
      <c r="F261" s="57" t="s">
        <v>14</v>
      </c>
      <c r="G261" s="57" t="s">
        <v>207</v>
      </c>
      <c r="H261" s="87">
        <v>0.09125</v>
      </c>
      <c r="I261" s="89">
        <v>47563.0</v>
      </c>
      <c r="J261" s="42">
        <v>45930.0</v>
      </c>
      <c r="K261" s="42">
        <v>45932.0</v>
      </c>
      <c r="L261" s="62">
        <f t="shared" si="1"/>
        <v>0.1481676391</v>
      </c>
      <c r="M261" s="63">
        <v>81.8554</v>
      </c>
      <c r="N261" s="63">
        <v>3500000.0</v>
      </c>
      <c r="O261" s="15">
        <v>2874698.94</v>
      </c>
      <c r="P261" s="15">
        <f t="shared" si="37"/>
        <v>2864939</v>
      </c>
      <c r="Q261" s="15">
        <f t="shared" si="46"/>
        <v>9758.680556</v>
      </c>
      <c r="R261" s="15"/>
      <c r="S261" s="3"/>
      <c r="T261" s="3"/>
      <c r="U261" s="1"/>
      <c r="V261" s="1"/>
      <c r="W261" s="1"/>
      <c r="X261" s="1"/>
      <c r="Y261" s="1"/>
      <c r="Z261" s="1"/>
    </row>
    <row r="262" ht="13.5" customHeight="1">
      <c r="A262" s="1" t="s">
        <v>213</v>
      </c>
      <c r="B262" s="57" t="s">
        <v>118</v>
      </c>
      <c r="C262" s="57" t="s">
        <v>58</v>
      </c>
      <c r="D262" s="57" t="s">
        <v>59</v>
      </c>
      <c r="E262" s="57" t="s">
        <v>163</v>
      </c>
      <c r="F262" s="57" t="s">
        <v>14</v>
      </c>
      <c r="G262" s="57" t="s">
        <v>169</v>
      </c>
      <c r="H262" s="87">
        <v>0.095</v>
      </c>
      <c r="I262" s="89">
        <v>49739.0</v>
      </c>
      <c r="J262" s="42">
        <v>45930.0</v>
      </c>
      <c r="K262" s="42">
        <v>45932.0</v>
      </c>
      <c r="L262" s="62">
        <f t="shared" si="1"/>
        <v>0.126963128</v>
      </c>
      <c r="M262" s="63">
        <v>81.7831</v>
      </c>
      <c r="N262" s="63">
        <v>500000.0</v>
      </c>
      <c r="O262" s="15">
        <f>IFERROR((N262*M262/100)+ACCRINT(COUPPCD(K262,I262,2,0),COUPNCD(K262,I262,2,0),K262,H262,N262,2,0),N262*M262/100)</f>
        <v>412478</v>
      </c>
      <c r="P262" s="15">
        <f t="shared" si="37"/>
        <v>408915.5</v>
      </c>
      <c r="Q262" s="15">
        <f t="shared" si="46"/>
        <v>3562.5</v>
      </c>
      <c r="R262" s="15"/>
      <c r="S262" s="3"/>
      <c r="T262" s="3"/>
      <c r="U262" s="1"/>
      <c r="V262" s="1"/>
      <c r="W262" s="1"/>
      <c r="X262" s="1"/>
      <c r="Y262" s="1"/>
      <c r="Z262" s="1"/>
    </row>
    <row r="263" ht="13.5" customHeight="1">
      <c r="A263" s="1" t="s">
        <v>213</v>
      </c>
      <c r="B263" s="57" t="s">
        <v>118</v>
      </c>
      <c r="C263" s="57" t="s">
        <v>58</v>
      </c>
      <c r="D263" s="57" t="s">
        <v>59</v>
      </c>
      <c r="E263" s="57" t="s">
        <v>163</v>
      </c>
      <c r="F263" s="57" t="s">
        <v>14</v>
      </c>
      <c r="G263" s="57" t="s">
        <v>75</v>
      </c>
      <c r="H263" s="87">
        <v>0.10125</v>
      </c>
      <c r="I263" s="89">
        <v>47406.0</v>
      </c>
      <c r="J263" s="42">
        <v>45930.0</v>
      </c>
      <c r="K263" s="42">
        <v>45932.0</v>
      </c>
      <c r="L263" s="62">
        <f t="shared" si="1"/>
        <v>0.1551538823</v>
      </c>
      <c r="M263" s="63">
        <v>84.2526</v>
      </c>
      <c r="N263" s="63">
        <v>500000.0</v>
      </c>
      <c r="O263" s="15">
        <v>444747.51</v>
      </c>
      <c r="P263" s="15">
        <f t="shared" si="37"/>
        <v>421263</v>
      </c>
      <c r="Q263" s="15">
        <f t="shared" si="46"/>
        <v>23484.375</v>
      </c>
      <c r="R263" s="15"/>
      <c r="S263" s="3"/>
      <c r="T263" s="3"/>
      <c r="U263" s="1"/>
      <c r="V263" s="1"/>
      <c r="W263" s="1"/>
      <c r="X263" s="1"/>
      <c r="Y263" s="1"/>
      <c r="Z263" s="1"/>
    </row>
    <row r="264" ht="13.5" customHeight="1">
      <c r="A264" s="113"/>
      <c r="B264" s="113" t="s">
        <v>118</v>
      </c>
      <c r="C264" s="113" t="s">
        <v>58</v>
      </c>
      <c r="D264" s="113" t="s">
        <v>59</v>
      </c>
      <c r="E264" s="113" t="s">
        <v>163</v>
      </c>
      <c r="F264" s="113" t="s">
        <v>12</v>
      </c>
      <c r="G264" s="113" t="s">
        <v>207</v>
      </c>
      <c r="H264" s="190">
        <v>0.09125</v>
      </c>
      <c r="I264" s="115">
        <v>47563.0</v>
      </c>
      <c r="J264" s="115">
        <v>45933.0</v>
      </c>
      <c r="K264" s="115">
        <v>45937.0</v>
      </c>
      <c r="L264" s="114">
        <f t="shared" si="1"/>
        <v>0.08373501598</v>
      </c>
      <c r="M264" s="116">
        <v>102.74</v>
      </c>
      <c r="N264" s="116">
        <v>500000.0</v>
      </c>
      <c r="O264" s="109">
        <f t="shared" ref="O264:O272" si="47">IFERROR((N264*M264/100)+ACCRINT(COUPPCD(K264,I264,2,0),COUPNCD(K264,I264,2,0),K264,H264,N264,2,0),N264*M264/100)</f>
        <v>515727.7778</v>
      </c>
      <c r="P264" s="109">
        <f t="shared" si="37"/>
        <v>513700</v>
      </c>
      <c r="Q264" s="109">
        <f t="shared" si="46"/>
        <v>2027.777778</v>
      </c>
      <c r="R264" s="109"/>
      <c r="S264" s="117"/>
      <c r="T264" s="117"/>
      <c r="U264" s="113"/>
      <c r="V264" s="113"/>
      <c r="W264" s="113"/>
      <c r="X264" s="113"/>
      <c r="Y264" s="113"/>
      <c r="Z264" s="113"/>
    </row>
    <row r="265" ht="13.5" customHeight="1">
      <c r="A265" s="113"/>
      <c r="B265" s="113" t="s">
        <v>130</v>
      </c>
      <c r="C265" s="113" t="s">
        <v>58</v>
      </c>
      <c r="D265" s="113" t="s">
        <v>59</v>
      </c>
      <c r="E265" s="113" t="s">
        <v>163</v>
      </c>
      <c r="F265" s="113" t="s">
        <v>12</v>
      </c>
      <c r="G265" s="113" t="s">
        <v>75</v>
      </c>
      <c r="H265" s="190">
        <v>0.10125</v>
      </c>
      <c r="I265" s="115">
        <v>47406.0</v>
      </c>
      <c r="J265" s="115">
        <v>45933.0</v>
      </c>
      <c r="K265" s="115">
        <v>45937.0</v>
      </c>
      <c r="L265" s="114">
        <f t="shared" si="1"/>
        <v>0.07981066536</v>
      </c>
      <c r="M265" s="116">
        <v>107.25</v>
      </c>
      <c r="N265" s="116">
        <v>500000.0</v>
      </c>
      <c r="O265" s="109">
        <f t="shared" si="47"/>
        <v>560437.5</v>
      </c>
      <c r="P265" s="109">
        <f t="shared" si="37"/>
        <v>536250</v>
      </c>
      <c r="Q265" s="109">
        <f t="shared" si="46"/>
        <v>24187.5</v>
      </c>
      <c r="R265" s="109"/>
      <c r="S265" s="117"/>
      <c r="T265" s="117"/>
      <c r="U265" s="113"/>
      <c r="V265" s="113"/>
      <c r="W265" s="113"/>
      <c r="X265" s="113"/>
      <c r="Y265" s="113"/>
      <c r="Z265" s="113"/>
    </row>
    <row r="266" ht="13.5" customHeight="1">
      <c r="A266" s="113" t="s">
        <v>215</v>
      </c>
      <c r="B266" s="113" t="s">
        <v>118</v>
      </c>
      <c r="C266" s="113" t="s">
        <v>58</v>
      </c>
      <c r="D266" s="113" t="s">
        <v>59</v>
      </c>
      <c r="E266" s="113" t="s">
        <v>163</v>
      </c>
      <c r="F266" s="113" t="s">
        <v>12</v>
      </c>
      <c r="G266" s="113" t="s">
        <v>162</v>
      </c>
      <c r="H266" s="190">
        <v>0.10375</v>
      </c>
      <c r="I266" s="115">
        <v>49287.0</v>
      </c>
      <c r="J266" s="115">
        <v>45936.0</v>
      </c>
      <c r="K266" s="115">
        <v>45939.0</v>
      </c>
      <c r="L266" s="114">
        <f t="shared" si="1"/>
        <v>0.08514819473</v>
      </c>
      <c r="M266" s="116">
        <v>111.65</v>
      </c>
      <c r="N266" s="116">
        <v>865000.0</v>
      </c>
      <c r="O266" s="109">
        <f t="shared" si="47"/>
        <v>995687.0833</v>
      </c>
      <c r="P266" s="109">
        <f t="shared" si="37"/>
        <v>965772.5</v>
      </c>
      <c r="Q266" s="109">
        <f t="shared" si="46"/>
        <v>29914.58333</v>
      </c>
      <c r="R266" s="109"/>
      <c r="S266" s="117"/>
      <c r="T266" s="117"/>
      <c r="U266" s="113"/>
      <c r="V266" s="113"/>
      <c r="W266" s="113"/>
      <c r="X266" s="113"/>
      <c r="Y266" s="113"/>
      <c r="Z266" s="113"/>
    </row>
    <row r="267" ht="13.5" customHeight="1">
      <c r="A267" s="194"/>
      <c r="B267" s="194" t="s">
        <v>118</v>
      </c>
      <c r="C267" s="194" t="s">
        <v>58</v>
      </c>
      <c r="D267" s="194" t="s">
        <v>59</v>
      </c>
      <c r="E267" s="194" t="s">
        <v>163</v>
      </c>
      <c r="F267" s="194" t="s">
        <v>12</v>
      </c>
      <c r="G267" s="125" t="s">
        <v>216</v>
      </c>
      <c r="H267" s="195">
        <v>0.09875</v>
      </c>
      <c r="I267" s="127">
        <v>49597.0</v>
      </c>
      <c r="J267" s="196">
        <v>45939.0</v>
      </c>
      <c r="K267" s="196">
        <v>45945.0</v>
      </c>
      <c r="L267" s="126">
        <f t="shared" si="1"/>
        <v>0.1007950371</v>
      </c>
      <c r="M267" s="129">
        <v>98.73</v>
      </c>
      <c r="N267" s="129">
        <v>1000000.0</v>
      </c>
      <c r="O267" s="124">
        <f t="shared" si="47"/>
        <v>987300</v>
      </c>
      <c r="P267" s="197">
        <f t="shared" si="37"/>
        <v>987300</v>
      </c>
      <c r="Q267" s="197">
        <f t="shared" si="46"/>
        <v>0</v>
      </c>
      <c r="R267" s="197"/>
      <c r="S267" s="198"/>
      <c r="T267" s="198"/>
      <c r="U267" s="194"/>
      <c r="V267" s="194"/>
      <c r="W267" s="194"/>
      <c r="X267" s="194"/>
      <c r="Y267" s="194"/>
      <c r="Z267" s="194"/>
    </row>
    <row r="268" ht="13.5" customHeight="1">
      <c r="A268" s="199"/>
      <c r="B268" s="199" t="s">
        <v>172</v>
      </c>
      <c r="C268" s="199" t="s">
        <v>58</v>
      </c>
      <c r="D268" s="199" t="s">
        <v>59</v>
      </c>
      <c r="E268" s="199" t="s">
        <v>163</v>
      </c>
      <c r="F268" s="199" t="s">
        <v>12</v>
      </c>
      <c r="G268" s="200" t="s">
        <v>216</v>
      </c>
      <c r="H268" s="201">
        <v>0.09875</v>
      </c>
      <c r="I268" s="202">
        <v>49597.0</v>
      </c>
      <c r="J268" s="203">
        <v>45939.0</v>
      </c>
      <c r="K268" s="196">
        <v>45945.0</v>
      </c>
      <c r="L268" s="204">
        <f t="shared" si="1"/>
        <v>0.1006002791</v>
      </c>
      <c r="M268" s="205">
        <v>98.85</v>
      </c>
      <c r="N268" s="205">
        <v>1000000.0</v>
      </c>
      <c r="O268" s="206">
        <f t="shared" si="47"/>
        <v>988500</v>
      </c>
      <c r="P268" s="207">
        <f t="shared" si="37"/>
        <v>988500</v>
      </c>
      <c r="Q268" s="207">
        <f t="shared" si="46"/>
        <v>0</v>
      </c>
      <c r="R268" s="207"/>
      <c r="S268" s="208"/>
      <c r="T268" s="208"/>
      <c r="U268" s="199"/>
      <c r="V268" s="199"/>
      <c r="W268" s="199"/>
      <c r="X268" s="199"/>
      <c r="Y268" s="199"/>
      <c r="Z268" s="199"/>
    </row>
    <row r="269" ht="13.5" customHeight="1">
      <c r="A269" s="199"/>
      <c r="B269" s="199" t="s">
        <v>172</v>
      </c>
      <c r="C269" s="199" t="s">
        <v>58</v>
      </c>
      <c r="D269" s="199" t="s">
        <v>59</v>
      </c>
      <c r="E269" s="199" t="s">
        <v>163</v>
      </c>
      <c r="F269" s="199" t="s">
        <v>12</v>
      </c>
      <c r="G269" s="200" t="s">
        <v>216</v>
      </c>
      <c r="H269" s="201">
        <v>0.09875</v>
      </c>
      <c r="I269" s="202">
        <v>49597.0</v>
      </c>
      <c r="J269" s="203">
        <v>45939.0</v>
      </c>
      <c r="K269" s="196">
        <v>45945.0</v>
      </c>
      <c r="L269" s="204">
        <f t="shared" si="1"/>
        <v>0.100762555</v>
      </c>
      <c r="M269" s="205">
        <v>98.75</v>
      </c>
      <c r="N269" s="205">
        <v>1000000.0</v>
      </c>
      <c r="O269" s="206">
        <f t="shared" si="47"/>
        <v>987500</v>
      </c>
      <c r="P269" s="207">
        <f t="shared" si="37"/>
        <v>987500</v>
      </c>
      <c r="Q269" s="207">
        <f t="shared" si="46"/>
        <v>0</v>
      </c>
      <c r="R269" s="207"/>
      <c r="S269" s="208"/>
      <c r="T269" s="208"/>
      <c r="U269" s="199"/>
      <c r="V269" s="199"/>
      <c r="W269" s="199"/>
      <c r="X269" s="199"/>
      <c r="Y269" s="199"/>
      <c r="Z269" s="199"/>
    </row>
    <row r="270" ht="13.5" customHeight="1">
      <c r="A270" s="194"/>
      <c r="B270" s="194" t="s">
        <v>73</v>
      </c>
      <c r="C270" s="194" t="s">
        <v>58</v>
      </c>
      <c r="D270" s="194" t="s">
        <v>59</v>
      </c>
      <c r="E270" s="194" t="s">
        <v>163</v>
      </c>
      <c r="F270" s="194" t="s">
        <v>12</v>
      </c>
      <c r="G270" s="125" t="s">
        <v>216</v>
      </c>
      <c r="H270" s="195">
        <v>0.09875</v>
      </c>
      <c r="I270" s="127">
        <v>49597.0</v>
      </c>
      <c r="J270" s="196">
        <v>45939.0</v>
      </c>
      <c r="K270" s="196">
        <v>45945.0</v>
      </c>
      <c r="L270" s="126">
        <f t="shared" si="1"/>
        <v>0.1009657146</v>
      </c>
      <c r="M270" s="129">
        <v>98.625</v>
      </c>
      <c r="N270" s="129">
        <v>1000000.0</v>
      </c>
      <c r="O270" s="124">
        <f t="shared" si="47"/>
        <v>986250</v>
      </c>
      <c r="P270" s="197">
        <f t="shared" si="37"/>
        <v>986250</v>
      </c>
      <c r="Q270" s="197">
        <f t="shared" si="46"/>
        <v>0</v>
      </c>
      <c r="R270" s="197"/>
      <c r="S270" s="198"/>
      <c r="T270" s="198"/>
      <c r="U270" s="194"/>
      <c r="V270" s="194"/>
      <c r="W270" s="194"/>
      <c r="X270" s="194"/>
      <c r="Y270" s="194"/>
      <c r="Z270" s="194"/>
    </row>
    <row r="271" ht="13.5" customHeight="1">
      <c r="A271" s="194"/>
      <c r="B271" s="194" t="s">
        <v>118</v>
      </c>
      <c r="C271" s="194" t="s">
        <v>58</v>
      </c>
      <c r="D271" s="194" t="s">
        <v>59</v>
      </c>
      <c r="E271" s="194" t="s">
        <v>163</v>
      </c>
      <c r="F271" s="194" t="s">
        <v>12</v>
      </c>
      <c r="G271" s="125" t="s">
        <v>216</v>
      </c>
      <c r="H271" s="195">
        <v>0.09875</v>
      </c>
      <c r="I271" s="127">
        <v>49597.0</v>
      </c>
      <c r="J271" s="196">
        <v>45939.0</v>
      </c>
      <c r="K271" s="196">
        <v>45945.0</v>
      </c>
      <c r="L271" s="126">
        <f t="shared" si="1"/>
        <v>0.1009250547</v>
      </c>
      <c r="M271" s="129">
        <v>98.65</v>
      </c>
      <c r="N271" s="129">
        <v>1000000.0</v>
      </c>
      <c r="O271" s="124">
        <f t="shared" si="47"/>
        <v>986500</v>
      </c>
      <c r="P271" s="197">
        <f t="shared" si="37"/>
        <v>986500</v>
      </c>
      <c r="Q271" s="197">
        <f t="shared" si="46"/>
        <v>0</v>
      </c>
      <c r="R271" s="197"/>
      <c r="S271" s="198"/>
      <c r="T271" s="198"/>
      <c r="U271" s="194"/>
      <c r="V271" s="194"/>
      <c r="W271" s="194"/>
      <c r="X271" s="194"/>
      <c r="Y271" s="194"/>
      <c r="Z271" s="194"/>
    </row>
    <row r="272" ht="13.5" customHeight="1">
      <c r="A272" s="194"/>
      <c r="B272" s="194" t="s">
        <v>172</v>
      </c>
      <c r="C272" s="194" t="s">
        <v>58</v>
      </c>
      <c r="D272" s="194" t="s">
        <v>59</v>
      </c>
      <c r="E272" s="194" t="s">
        <v>163</v>
      </c>
      <c r="F272" s="194" t="s">
        <v>12</v>
      </c>
      <c r="G272" s="125" t="s">
        <v>217</v>
      </c>
      <c r="H272" s="195">
        <v>0.10375</v>
      </c>
      <c r="I272" s="127">
        <v>49287.0</v>
      </c>
      <c r="J272" s="196">
        <v>45940.0</v>
      </c>
      <c r="K272" s="196">
        <v>45945.0</v>
      </c>
      <c r="L272" s="126">
        <f t="shared" si="1"/>
        <v>0.08654515622</v>
      </c>
      <c r="M272" s="129">
        <v>110.7</v>
      </c>
      <c r="N272" s="129">
        <v>1500000.0</v>
      </c>
      <c r="O272" s="124">
        <f t="shared" si="47"/>
        <v>1714968.75</v>
      </c>
      <c r="P272" s="197">
        <f t="shared" si="37"/>
        <v>1660500</v>
      </c>
      <c r="Q272" s="197">
        <f t="shared" si="46"/>
        <v>54468.75</v>
      </c>
      <c r="R272" s="197"/>
      <c r="S272" s="198"/>
      <c r="T272" s="198"/>
      <c r="U272" s="194"/>
      <c r="V272" s="194"/>
      <c r="W272" s="194"/>
      <c r="X272" s="194"/>
      <c r="Y272" s="194"/>
      <c r="Z272" s="194"/>
    </row>
    <row r="273" ht="13.5" customHeight="1">
      <c r="A273" s="1" t="s">
        <v>202</v>
      </c>
      <c r="B273" s="1" t="s">
        <v>118</v>
      </c>
      <c r="C273" s="57" t="s">
        <v>58</v>
      </c>
      <c r="D273" s="57" t="s">
        <v>59</v>
      </c>
      <c r="E273" s="57" t="s">
        <v>163</v>
      </c>
      <c r="F273" s="57" t="s">
        <v>12</v>
      </c>
      <c r="G273" s="1" t="s">
        <v>109</v>
      </c>
      <c r="H273" s="123">
        <v>0.09375</v>
      </c>
      <c r="I273" s="89">
        <v>54186.0</v>
      </c>
      <c r="J273" s="209">
        <v>45944.0</v>
      </c>
      <c r="K273" s="209">
        <v>45945.0</v>
      </c>
      <c r="L273" s="210"/>
      <c r="M273" s="63"/>
      <c r="N273" s="211" t="s">
        <v>218</v>
      </c>
      <c r="O273" s="15">
        <v>1421063.91</v>
      </c>
      <c r="P273" s="15"/>
      <c r="Q273" s="15"/>
      <c r="R273" s="15"/>
      <c r="S273" s="3"/>
      <c r="T273" s="3"/>
      <c r="U273" s="1"/>
      <c r="V273" s="1"/>
      <c r="W273" s="1"/>
      <c r="X273" s="1"/>
      <c r="Y273" s="1"/>
      <c r="Z273" s="1"/>
    </row>
    <row r="274" ht="13.5" customHeight="1">
      <c r="A274" s="1" t="s">
        <v>202</v>
      </c>
      <c r="B274" s="1" t="s">
        <v>118</v>
      </c>
      <c r="C274" s="57" t="s">
        <v>58</v>
      </c>
      <c r="D274" s="57" t="s">
        <v>59</v>
      </c>
      <c r="E274" s="57" t="s">
        <v>163</v>
      </c>
      <c r="F274" s="57" t="s">
        <v>12</v>
      </c>
      <c r="G274" s="1" t="s">
        <v>207</v>
      </c>
      <c r="H274" s="123">
        <v>0.09125</v>
      </c>
      <c r="I274" s="89">
        <v>47563.0</v>
      </c>
      <c r="J274" s="209">
        <v>45944.0</v>
      </c>
      <c r="K274" s="209">
        <v>45945.0</v>
      </c>
      <c r="L274" s="62"/>
      <c r="M274" s="63"/>
      <c r="N274" s="211" t="s">
        <v>219</v>
      </c>
      <c r="O274" s="15">
        <v>2880667.93</v>
      </c>
      <c r="P274" s="15"/>
      <c r="Q274" s="15"/>
      <c r="R274" s="15"/>
      <c r="S274" s="3"/>
      <c r="T274" s="3"/>
      <c r="U274" s="1"/>
      <c r="V274" s="1"/>
      <c r="W274" s="1"/>
      <c r="X274" s="1"/>
      <c r="Y274" s="1"/>
      <c r="Z274" s="1"/>
    </row>
    <row r="275" ht="13.5" customHeight="1">
      <c r="A275" s="1" t="s">
        <v>202</v>
      </c>
      <c r="B275" s="1" t="s">
        <v>118</v>
      </c>
      <c r="C275" s="57" t="s">
        <v>58</v>
      </c>
      <c r="D275" s="57" t="s">
        <v>59</v>
      </c>
      <c r="E275" s="57" t="s">
        <v>163</v>
      </c>
      <c r="F275" s="57" t="s">
        <v>12</v>
      </c>
      <c r="G275" s="1" t="s">
        <v>169</v>
      </c>
      <c r="H275" s="87">
        <v>0.095</v>
      </c>
      <c r="I275" s="89">
        <v>49739.0</v>
      </c>
      <c r="J275" s="209">
        <v>45944.0</v>
      </c>
      <c r="K275" s="209">
        <v>45945.0</v>
      </c>
      <c r="L275" s="62"/>
      <c r="M275" s="63"/>
      <c r="N275" s="212">
        <v>500000.0</v>
      </c>
      <c r="O275" s="15">
        <v>413334.46</v>
      </c>
      <c r="P275" s="15"/>
      <c r="Q275" s="15"/>
      <c r="R275" s="15"/>
      <c r="S275" s="3"/>
      <c r="T275" s="3"/>
      <c r="U275" s="1"/>
      <c r="V275" s="1"/>
      <c r="W275" s="1"/>
      <c r="X275" s="1"/>
      <c r="Y275" s="1"/>
      <c r="Z275" s="1"/>
    </row>
    <row r="276" ht="13.5" customHeight="1">
      <c r="A276" s="1" t="s">
        <v>213</v>
      </c>
      <c r="B276" s="1" t="s">
        <v>118</v>
      </c>
      <c r="C276" s="57" t="s">
        <v>58</v>
      </c>
      <c r="D276" s="57" t="s">
        <v>59</v>
      </c>
      <c r="E276" s="57" t="s">
        <v>163</v>
      </c>
      <c r="F276" s="1" t="s">
        <v>14</v>
      </c>
      <c r="G276" s="1" t="s">
        <v>207</v>
      </c>
      <c r="H276" s="123">
        <v>0.09125</v>
      </c>
      <c r="I276" s="89">
        <v>47563.0</v>
      </c>
      <c r="J276" s="209">
        <v>45944.0</v>
      </c>
      <c r="K276" s="209">
        <v>45945.0</v>
      </c>
      <c r="L276" s="213">
        <f t="shared" ref="L276:L279" si="48">IFERROR(YIELD(K276,I276,H276,M276,100,2,0),"")</f>
        <v>0.1509585714</v>
      </c>
      <c r="M276" s="63">
        <v>81.1759333</v>
      </c>
      <c r="N276" s="211">
        <v>2000000.0</v>
      </c>
      <c r="O276" s="197">
        <f>IFERROR((N276*M276/100)+ACCRINT(COUPPCD(K276,I276,2,0),COUPNCD(K276,I276,2,0),K276,H276,N276,2,0),N276*M276/100)</f>
        <v>1635685.333</v>
      </c>
      <c r="P276" s="197">
        <f t="shared" ref="P276:P279" si="49">N276*M276/100</f>
        <v>1623518.666</v>
      </c>
      <c r="Q276" s="197">
        <f>IFERROR(ACCRINT(COUPPCD(K276,I276,2,0),COUPNCD(K276,I276,2,0),K276,H276,N276,2,0),"")</f>
        <v>12166.66667</v>
      </c>
      <c r="R276" s="15"/>
      <c r="S276" s="3"/>
      <c r="T276" s="3"/>
      <c r="U276" s="1"/>
      <c r="V276" s="1"/>
      <c r="W276" s="1"/>
      <c r="X276" s="1"/>
      <c r="Y276" s="1"/>
      <c r="Z276" s="1"/>
    </row>
    <row r="277" ht="13.5" customHeight="1">
      <c r="A277" s="1"/>
      <c r="B277" s="194" t="s">
        <v>73</v>
      </c>
      <c r="C277" s="57" t="s">
        <v>58</v>
      </c>
      <c r="D277" s="57" t="s">
        <v>59</v>
      </c>
      <c r="E277" s="57" t="s">
        <v>163</v>
      </c>
      <c r="F277" s="1" t="s">
        <v>14</v>
      </c>
      <c r="G277" s="1" t="s">
        <v>109</v>
      </c>
      <c r="H277" s="123">
        <v>0.09375</v>
      </c>
      <c r="I277" s="89">
        <v>54186.0</v>
      </c>
      <c r="J277" s="22">
        <v>45944.0</v>
      </c>
      <c r="K277" s="22">
        <v>45946.0</v>
      </c>
      <c r="L277" s="213">
        <f t="shared" si="48"/>
        <v>0.114258526</v>
      </c>
      <c r="M277" s="63">
        <v>83.5</v>
      </c>
      <c r="N277" s="63">
        <v>1000000.0</v>
      </c>
      <c r="O277" s="197">
        <v>866510.42</v>
      </c>
      <c r="P277" s="197">
        <f t="shared" si="49"/>
        <v>835000</v>
      </c>
      <c r="Q277" s="197">
        <v>31510.42</v>
      </c>
      <c r="R277" s="15"/>
      <c r="S277" s="3"/>
      <c r="T277" s="3"/>
      <c r="U277" s="1"/>
      <c r="V277" s="1"/>
      <c r="W277" s="1"/>
      <c r="X277" s="1"/>
      <c r="Y277" s="1"/>
      <c r="Z277" s="1"/>
    </row>
    <row r="278" ht="13.5" customHeight="1">
      <c r="A278" s="1"/>
      <c r="B278" s="194" t="s">
        <v>73</v>
      </c>
      <c r="C278" s="57" t="s">
        <v>58</v>
      </c>
      <c r="D278" s="57" t="s">
        <v>59</v>
      </c>
      <c r="E278" s="57" t="s">
        <v>163</v>
      </c>
      <c r="F278" s="1" t="s">
        <v>14</v>
      </c>
      <c r="G278" s="1" t="s">
        <v>109</v>
      </c>
      <c r="H278" s="123">
        <v>0.09375</v>
      </c>
      <c r="I278" s="89">
        <v>54186.0</v>
      </c>
      <c r="J278" s="22">
        <v>45944.0</v>
      </c>
      <c r="K278" s="22">
        <v>45946.0</v>
      </c>
      <c r="L278" s="213">
        <f t="shared" si="48"/>
        <v>0.114258526</v>
      </c>
      <c r="M278" s="63">
        <v>83.5</v>
      </c>
      <c r="N278" s="63">
        <v>1000000.0</v>
      </c>
      <c r="O278" s="197">
        <v>866510.42</v>
      </c>
      <c r="P278" s="197">
        <f t="shared" si="49"/>
        <v>835000</v>
      </c>
      <c r="Q278" s="197">
        <v>31510.42</v>
      </c>
      <c r="R278" s="15"/>
      <c r="S278" s="3"/>
      <c r="T278" s="3"/>
      <c r="U278" s="1"/>
      <c r="V278" s="1"/>
      <c r="W278" s="1"/>
      <c r="X278" s="1"/>
      <c r="Y278" s="1"/>
      <c r="Z278" s="1"/>
    </row>
    <row r="279" ht="13.5" customHeight="1">
      <c r="A279" s="1"/>
      <c r="B279" s="113" t="s">
        <v>130</v>
      </c>
      <c r="C279" s="57" t="s">
        <v>58</v>
      </c>
      <c r="D279" s="57" t="s">
        <v>59</v>
      </c>
      <c r="E279" s="57" t="s">
        <v>163</v>
      </c>
      <c r="F279" s="1" t="s">
        <v>14</v>
      </c>
      <c r="G279" s="1" t="s">
        <v>169</v>
      </c>
      <c r="H279" s="123">
        <v>0.095</v>
      </c>
      <c r="I279" s="89">
        <v>49739.0</v>
      </c>
      <c r="J279" s="22">
        <v>45944.0</v>
      </c>
      <c r="K279" s="22">
        <v>45946.0</v>
      </c>
      <c r="L279" s="213">
        <f t="shared" si="48"/>
        <v>0.09651565537</v>
      </c>
      <c r="M279" s="63">
        <v>99.0</v>
      </c>
      <c r="N279" s="63">
        <v>500000.0</v>
      </c>
      <c r="O279" s="197">
        <f>IFERROR((N279*M279/100)+ACCRINT(COUPPCD(K279,I279,2,0),COUPNCD(K279,I279,2,0),K279,H279,N279,2,0),N279*M279/100)</f>
        <v>500409.7222</v>
      </c>
      <c r="P279" s="197">
        <f t="shared" si="49"/>
        <v>495000</v>
      </c>
      <c r="Q279" s="197">
        <f>IFERROR(ACCRINT(COUPPCD(K279,I279,2,0),COUPNCD(K279,I279,2,0),K279,H279,N279,2,0),"")</f>
        <v>5409.722222</v>
      </c>
      <c r="R279" s="15"/>
      <c r="S279" s="3"/>
      <c r="T279" s="3"/>
      <c r="U279" s="1"/>
      <c r="V279" s="1"/>
      <c r="W279" s="1"/>
      <c r="X279" s="1"/>
      <c r="Y279" s="1"/>
      <c r="Z279" s="1"/>
    </row>
    <row r="280" ht="13.5" customHeight="1">
      <c r="A280" s="214" t="s">
        <v>202</v>
      </c>
      <c r="B280" s="214" t="s">
        <v>118</v>
      </c>
      <c r="C280" s="214" t="s">
        <v>58</v>
      </c>
      <c r="D280" s="214" t="s">
        <v>59</v>
      </c>
      <c r="E280" s="214" t="s">
        <v>163</v>
      </c>
      <c r="F280" s="214" t="s">
        <v>12</v>
      </c>
      <c r="G280" s="214" t="s">
        <v>75</v>
      </c>
      <c r="H280" s="215">
        <v>0.10125</v>
      </c>
      <c r="I280" s="216">
        <v>47406.0</v>
      </c>
      <c r="J280" s="216">
        <v>45981.0</v>
      </c>
      <c r="K280" s="216">
        <v>45985.0</v>
      </c>
      <c r="L280" s="217"/>
      <c r="M280" s="218"/>
      <c r="N280" s="218">
        <v>500000.0</v>
      </c>
      <c r="O280" s="219">
        <v>448234.46</v>
      </c>
      <c r="P280" s="219"/>
      <c r="Q280" s="219"/>
      <c r="R280" s="219"/>
      <c r="S280" s="220"/>
      <c r="T280" s="220"/>
      <c r="U280" s="214"/>
      <c r="V280" s="214"/>
      <c r="W280" s="214"/>
      <c r="X280" s="214"/>
      <c r="Y280" s="214"/>
      <c r="Z280" s="214"/>
    </row>
    <row r="281" ht="13.5" customHeight="1">
      <c r="A281" s="156"/>
      <c r="B281" s="156" t="s">
        <v>73</v>
      </c>
      <c r="C281" s="156" t="s">
        <v>58</v>
      </c>
      <c r="D281" s="156" t="s">
        <v>59</v>
      </c>
      <c r="E281" s="156" t="s">
        <v>153</v>
      </c>
      <c r="F281" s="156" t="s">
        <v>14</v>
      </c>
      <c r="G281" s="156" t="s">
        <v>75</v>
      </c>
      <c r="H281" s="221">
        <v>0.10125</v>
      </c>
      <c r="I281" s="158">
        <v>47406.0</v>
      </c>
      <c r="J281" s="158">
        <v>45981.0</v>
      </c>
      <c r="K281" s="158">
        <v>45985.0</v>
      </c>
      <c r="L281" s="157">
        <f t="shared" ref="L281:L284" si="50">IFERROR(YIELD(K281,I281,H281,M281,100,2,0),"")</f>
        <v>0.08655778551</v>
      </c>
      <c r="M281" s="159">
        <v>104.75</v>
      </c>
      <c r="N281" s="159">
        <v>500000.0</v>
      </c>
      <c r="O281" s="120">
        <f t="shared" ref="O281:O285" si="51">IFERROR((N281*M281/100)+ACCRINT(COUPPCD(K281,I281,2,0),COUPNCD(K281,I281,2,0),K281,H281,N281,2,0),N281*M281/100)</f>
        <v>529234.375</v>
      </c>
      <c r="P281" s="120">
        <f t="shared" ref="P281:P285" si="52">N281*M281/100</f>
        <v>523750</v>
      </c>
      <c r="Q281" s="120">
        <f t="shared" ref="Q281:Q285" si="53">IFERROR(ACCRINT(COUPPCD(K281,I281,2,0),COUPNCD(K281,I281,2,0),K281,H281,N281,2,0),"")</f>
        <v>5484.375</v>
      </c>
      <c r="R281" s="120"/>
      <c r="S281" s="160"/>
      <c r="T281" s="160"/>
      <c r="U281" s="156"/>
      <c r="V281" s="156"/>
      <c r="W281" s="156"/>
      <c r="X281" s="156"/>
      <c r="Y281" s="156"/>
      <c r="Z281" s="156"/>
    </row>
    <row r="282" ht="13.5" customHeight="1">
      <c r="A282" s="156"/>
      <c r="B282" s="156" t="s">
        <v>73</v>
      </c>
      <c r="C282" s="156" t="s">
        <v>58</v>
      </c>
      <c r="D282" s="156" t="s">
        <v>59</v>
      </c>
      <c r="E282" s="156" t="s">
        <v>153</v>
      </c>
      <c r="F282" s="156" t="s">
        <v>14</v>
      </c>
      <c r="G282" s="156" t="s">
        <v>75</v>
      </c>
      <c r="H282" s="221">
        <v>0.10125</v>
      </c>
      <c r="I282" s="158">
        <v>47406.0</v>
      </c>
      <c r="J282" s="158">
        <v>45981.0</v>
      </c>
      <c r="K282" s="158">
        <v>45985.0</v>
      </c>
      <c r="L282" s="157">
        <f t="shared" si="50"/>
        <v>0.08881138542</v>
      </c>
      <c r="M282" s="159">
        <v>104.0</v>
      </c>
      <c r="N282" s="159">
        <v>500000.0</v>
      </c>
      <c r="O282" s="120">
        <f t="shared" si="51"/>
        <v>525484.375</v>
      </c>
      <c r="P282" s="120">
        <f t="shared" si="52"/>
        <v>520000</v>
      </c>
      <c r="Q282" s="120">
        <f t="shared" si="53"/>
        <v>5484.375</v>
      </c>
      <c r="R282" s="120"/>
      <c r="S282" s="160"/>
      <c r="T282" s="160"/>
      <c r="U282" s="156"/>
      <c r="V282" s="156"/>
      <c r="W282" s="156"/>
      <c r="X282" s="156"/>
      <c r="Y282" s="156"/>
      <c r="Z282" s="156"/>
    </row>
    <row r="283" ht="13.5" customHeight="1">
      <c r="A283" s="156" t="s">
        <v>152</v>
      </c>
      <c r="B283" s="156" t="s">
        <v>73</v>
      </c>
      <c r="C283" s="156" t="s">
        <v>58</v>
      </c>
      <c r="D283" s="156" t="s">
        <v>59</v>
      </c>
      <c r="E283" s="156" t="s">
        <v>153</v>
      </c>
      <c r="F283" s="156" t="s">
        <v>14</v>
      </c>
      <c r="G283" s="156" t="s">
        <v>222</v>
      </c>
      <c r="H283" s="221">
        <v>0.07125</v>
      </c>
      <c r="I283" s="158">
        <v>46069.0</v>
      </c>
      <c r="J283" s="158">
        <v>45982.0</v>
      </c>
      <c r="K283" s="158">
        <v>45986.0</v>
      </c>
      <c r="L283" s="157">
        <f t="shared" si="50"/>
        <v>0.643781931</v>
      </c>
      <c r="M283" s="159">
        <v>88.5</v>
      </c>
      <c r="N283" s="159">
        <v>394000.0</v>
      </c>
      <c r="O283" s="120">
        <f t="shared" si="51"/>
        <v>356409.9375</v>
      </c>
      <c r="P283" s="120">
        <f t="shared" si="52"/>
        <v>348690</v>
      </c>
      <c r="Q283" s="120">
        <f t="shared" si="53"/>
        <v>7719.9375</v>
      </c>
      <c r="R283" s="120"/>
      <c r="S283" s="160"/>
      <c r="T283" s="160"/>
      <c r="U283" s="156"/>
      <c r="V283" s="156"/>
      <c r="W283" s="156"/>
      <c r="X283" s="156"/>
      <c r="Y283" s="156"/>
      <c r="Z283" s="156"/>
    </row>
    <row r="284" ht="13.5" customHeight="1">
      <c r="A284" s="156" t="s">
        <v>152</v>
      </c>
      <c r="B284" s="156" t="s">
        <v>73</v>
      </c>
      <c r="C284" s="156" t="s">
        <v>58</v>
      </c>
      <c r="D284" s="156" t="s">
        <v>59</v>
      </c>
      <c r="E284" s="156" t="s">
        <v>153</v>
      </c>
      <c r="F284" s="156" t="s">
        <v>12</v>
      </c>
      <c r="G284" s="156" t="s">
        <v>222</v>
      </c>
      <c r="H284" s="221">
        <v>0.07125</v>
      </c>
      <c r="I284" s="158">
        <v>46069.0</v>
      </c>
      <c r="J284" s="158">
        <v>45982.0</v>
      </c>
      <c r="K284" s="158">
        <v>45986.0</v>
      </c>
      <c r="L284" s="157">
        <f t="shared" si="50"/>
        <v>0.643781931</v>
      </c>
      <c r="M284" s="159">
        <v>88.5</v>
      </c>
      <c r="N284" s="159">
        <v>200000.0</v>
      </c>
      <c r="O284" s="120">
        <f t="shared" si="51"/>
        <v>180918.75</v>
      </c>
      <c r="P284" s="120">
        <f t="shared" si="52"/>
        <v>177000</v>
      </c>
      <c r="Q284" s="120">
        <f t="shared" si="53"/>
        <v>3918.75</v>
      </c>
      <c r="R284" s="120"/>
      <c r="S284" s="160"/>
      <c r="T284" s="160"/>
      <c r="U284" s="156"/>
      <c r="V284" s="156"/>
      <c r="W284" s="156"/>
      <c r="X284" s="156"/>
      <c r="Y284" s="156"/>
      <c r="Z284" s="156"/>
    </row>
    <row r="285" ht="13.5" customHeight="1">
      <c r="A285" s="1"/>
      <c r="B285" s="1" t="s">
        <v>73</v>
      </c>
      <c r="C285" s="1" t="s">
        <v>45</v>
      </c>
      <c r="D285" s="1" t="s">
        <v>59</v>
      </c>
      <c r="E285" s="1" t="s">
        <v>163</v>
      </c>
      <c r="F285" s="1" t="s">
        <v>12</v>
      </c>
      <c r="G285" s="1" t="s">
        <v>216</v>
      </c>
      <c r="H285" s="123">
        <v>0.09875</v>
      </c>
      <c r="I285" s="89">
        <v>49597.0</v>
      </c>
      <c r="J285" s="22">
        <v>45996.0</v>
      </c>
      <c r="K285" s="22">
        <v>46000.0</v>
      </c>
      <c r="L285" s="62">
        <v>0.10096571460743918</v>
      </c>
      <c r="M285" s="63">
        <v>100.25</v>
      </c>
      <c r="N285" s="63">
        <v>500000.0</v>
      </c>
      <c r="O285" s="120">
        <f t="shared" si="51"/>
        <v>508656.25</v>
      </c>
      <c r="P285" s="120">
        <f t="shared" si="52"/>
        <v>501250</v>
      </c>
      <c r="Q285" s="120">
        <f t="shared" si="53"/>
        <v>7406.25</v>
      </c>
      <c r="R285" s="15"/>
      <c r="S285" s="3"/>
      <c r="T285" s="3"/>
      <c r="U285" s="1"/>
      <c r="V285" s="1"/>
      <c r="W285" s="1"/>
      <c r="X285" s="1"/>
      <c r="Y285" s="1"/>
      <c r="Z285" s="1"/>
    </row>
    <row r="286" ht="13.5" customHeight="1">
      <c r="A286" s="1" t="s">
        <v>202</v>
      </c>
      <c r="B286" s="57" t="s">
        <v>118</v>
      </c>
      <c r="C286" s="57" t="s">
        <v>58</v>
      </c>
      <c r="D286" s="1" t="s">
        <v>59</v>
      </c>
      <c r="E286" s="1" t="s">
        <v>163</v>
      </c>
      <c r="F286" s="1" t="s">
        <v>12</v>
      </c>
      <c r="G286" s="1" t="s">
        <v>155</v>
      </c>
      <c r="H286" s="62">
        <v>0.09125</v>
      </c>
      <c r="I286" s="42">
        <v>46210.0</v>
      </c>
      <c r="J286" s="42">
        <v>46050.0</v>
      </c>
      <c r="K286" s="42">
        <v>46049.0</v>
      </c>
      <c r="L286" s="62"/>
      <c r="M286" s="63"/>
      <c r="N286" s="63">
        <v>313000.0</v>
      </c>
      <c r="O286" s="15">
        <v>206403.66</v>
      </c>
      <c r="P286" s="15"/>
      <c r="Q286" s="15"/>
      <c r="R286" s="15"/>
      <c r="S286" s="3"/>
      <c r="T286" s="3"/>
      <c r="U286" s="1"/>
      <c r="V286" s="1"/>
      <c r="W286" s="1"/>
      <c r="X286" s="1"/>
      <c r="Y286" s="1"/>
      <c r="Z286" s="1"/>
    </row>
    <row r="287" ht="13.5" customHeight="1">
      <c r="A287" s="1" t="s">
        <v>224</v>
      </c>
      <c r="B287" s="57" t="s">
        <v>118</v>
      </c>
      <c r="C287" s="57" t="s">
        <v>58</v>
      </c>
      <c r="D287" s="1" t="s">
        <v>59</v>
      </c>
      <c r="E287" s="1" t="s">
        <v>163</v>
      </c>
      <c r="F287" s="1" t="s">
        <v>14</v>
      </c>
      <c r="G287" s="1" t="s">
        <v>155</v>
      </c>
      <c r="H287" s="62">
        <v>0.09125</v>
      </c>
      <c r="I287" s="42">
        <v>46210.0</v>
      </c>
      <c r="J287" s="42">
        <v>46049.0</v>
      </c>
      <c r="K287" s="42">
        <v>46052.0</v>
      </c>
      <c r="L287" s="157">
        <f t="shared" ref="L287:L289" si="54">IFERROR(YIELD(K287,I287,H287,M287,100,2,0),"")</f>
        <v>0.0930933656</v>
      </c>
      <c r="M287" s="63">
        <v>99.9</v>
      </c>
      <c r="N287" s="63">
        <v>308000.0</v>
      </c>
      <c r="O287" s="120">
        <f t="shared" ref="O287:O294" si="55">IFERROR((N287*M287/100)+ACCRINT(COUPPCD(K287,I287,2,0),COUPNCD(K287,I287,2,0),K287,H287,N287,2,0),N287*M287/100)</f>
        <v>309487.5972</v>
      </c>
      <c r="P287" s="120">
        <f t="shared" ref="P287:P294" si="56">N287*M287/100</f>
        <v>307692</v>
      </c>
      <c r="Q287" s="120">
        <f t="shared" ref="Q287:Q294" si="57">IFERROR(ACCRINT(COUPPCD(K287,I287,2,0),COUPNCD(K287,I287,2,0),K287,H287,N287,2,0),"")</f>
        <v>1795.597222</v>
      </c>
      <c r="R287" s="15"/>
      <c r="S287" s="3"/>
      <c r="T287" s="3"/>
      <c r="U287" s="1"/>
      <c r="V287" s="1"/>
      <c r="W287" s="1"/>
      <c r="X287" s="1"/>
      <c r="Y287" s="1"/>
      <c r="Z287" s="1"/>
    </row>
    <row r="288" ht="13.5" customHeight="1">
      <c r="A288" s="1" t="s">
        <v>224</v>
      </c>
      <c r="B288" s="57" t="s">
        <v>118</v>
      </c>
      <c r="C288" s="57" t="s">
        <v>58</v>
      </c>
      <c r="D288" s="1" t="s">
        <v>59</v>
      </c>
      <c r="E288" s="1" t="s">
        <v>163</v>
      </c>
      <c r="F288" s="1" t="s">
        <v>12</v>
      </c>
      <c r="G288" s="1" t="s">
        <v>155</v>
      </c>
      <c r="H288" s="62">
        <v>0.09125</v>
      </c>
      <c r="I288" s="42">
        <v>46210.0</v>
      </c>
      <c r="J288" s="42">
        <v>46049.0</v>
      </c>
      <c r="K288" s="42">
        <v>46052.0</v>
      </c>
      <c r="L288" s="157">
        <f t="shared" si="54"/>
        <v>0.0930933656</v>
      </c>
      <c r="M288" s="63">
        <v>99.9</v>
      </c>
      <c r="N288" s="63">
        <v>200000.0</v>
      </c>
      <c r="O288" s="120">
        <f t="shared" si="55"/>
        <v>200965.9722</v>
      </c>
      <c r="P288" s="120">
        <f t="shared" si="56"/>
        <v>199800</v>
      </c>
      <c r="Q288" s="120">
        <f t="shared" si="57"/>
        <v>1165.972222</v>
      </c>
      <c r="R288" s="15"/>
      <c r="S288" s="3"/>
      <c r="T288" s="3"/>
      <c r="U288" s="1"/>
      <c r="V288" s="1"/>
      <c r="W288" s="1"/>
      <c r="X288" s="1"/>
      <c r="Y288" s="1"/>
      <c r="Z288" s="1"/>
    </row>
    <row r="289" ht="13.5" customHeight="1">
      <c r="A289" s="1"/>
      <c r="B289" s="57" t="s">
        <v>73</v>
      </c>
      <c r="C289" s="57" t="s">
        <v>58</v>
      </c>
      <c r="D289" s="1" t="s">
        <v>59</v>
      </c>
      <c r="E289" s="1" t="s">
        <v>153</v>
      </c>
      <c r="F289" s="1" t="s">
        <v>14</v>
      </c>
      <c r="G289" s="1" t="s">
        <v>217</v>
      </c>
      <c r="H289" s="62">
        <v>0.10375</v>
      </c>
      <c r="I289" s="42">
        <v>49287.0</v>
      </c>
      <c r="J289" s="42">
        <v>46112.0</v>
      </c>
      <c r="K289" s="42">
        <v>46114.0</v>
      </c>
      <c r="L289" s="157">
        <f t="shared" si="54"/>
        <v>0.08039838108</v>
      </c>
      <c r="M289" s="63">
        <v>114.375</v>
      </c>
      <c r="N289" s="63">
        <v>1000000.0</v>
      </c>
      <c r="O289" s="120">
        <f t="shared" si="55"/>
        <v>1176315.972</v>
      </c>
      <c r="P289" s="120">
        <f t="shared" si="56"/>
        <v>1143750</v>
      </c>
      <c r="Q289" s="120">
        <f t="shared" si="57"/>
        <v>32565.97222</v>
      </c>
      <c r="R289" s="197"/>
      <c r="S289" s="198"/>
      <c r="T289" s="198"/>
      <c r="U289" s="194"/>
      <c r="V289" s="194"/>
      <c r="W289" s="194"/>
      <c r="X289" s="194"/>
      <c r="Y289" s="194"/>
      <c r="Z289" s="194"/>
    </row>
    <row r="290" ht="13.5" customHeight="1">
      <c r="A290" s="1"/>
      <c r="B290" s="57" t="s">
        <v>118</v>
      </c>
      <c r="C290" s="57" t="s">
        <v>58</v>
      </c>
      <c r="D290" s="1" t="s">
        <v>59</v>
      </c>
      <c r="E290" s="1" t="s">
        <v>227</v>
      </c>
      <c r="F290" s="1" t="s">
        <v>14</v>
      </c>
      <c r="G290" s="1" t="s">
        <v>216</v>
      </c>
      <c r="H290" s="123">
        <v>0.09875</v>
      </c>
      <c r="I290" s="89">
        <v>49597.0</v>
      </c>
      <c r="J290" s="42">
        <v>46112.0</v>
      </c>
      <c r="K290" s="42">
        <v>46114.0</v>
      </c>
      <c r="L290" s="62">
        <v>0.10096571460743918</v>
      </c>
      <c r="M290" s="63">
        <v>99.75</v>
      </c>
      <c r="N290" s="63">
        <v>2000000.0</v>
      </c>
      <c r="O290" s="120">
        <f t="shared" si="55"/>
        <v>2086618.056</v>
      </c>
      <c r="P290" s="120">
        <f t="shared" si="56"/>
        <v>1995000</v>
      </c>
      <c r="Q290" s="120">
        <f t="shared" si="57"/>
        <v>91618.05556</v>
      </c>
      <c r="R290" s="15"/>
      <c r="S290" s="3"/>
      <c r="T290" s="3"/>
      <c r="U290" s="1"/>
      <c r="V290" s="1"/>
      <c r="W290" s="1"/>
      <c r="X290" s="1"/>
      <c r="Y290" s="1"/>
      <c r="Z290" s="1"/>
    </row>
    <row r="291" ht="13.5" customHeight="1">
      <c r="A291" s="1"/>
      <c r="B291" s="57" t="s">
        <v>104</v>
      </c>
      <c r="C291" s="57" t="s">
        <v>58</v>
      </c>
      <c r="D291" s="1" t="s">
        <v>59</v>
      </c>
      <c r="E291" s="1" t="s">
        <v>227</v>
      </c>
      <c r="F291" s="1" t="s">
        <v>14</v>
      </c>
      <c r="G291" s="1" t="s">
        <v>217</v>
      </c>
      <c r="H291" s="62">
        <v>0.10375</v>
      </c>
      <c r="I291" s="42">
        <v>49287.0</v>
      </c>
      <c r="J291" s="42">
        <v>46114.0</v>
      </c>
      <c r="K291" s="42">
        <v>46118.0</v>
      </c>
      <c r="L291" s="157">
        <f t="shared" ref="L291:L294" si="58">IFERROR(YIELD(K291,I291,H291,M291,100,2,0),"")</f>
        <v>0.08019467642</v>
      </c>
      <c r="M291" s="63">
        <v>114.5</v>
      </c>
      <c r="N291" s="63">
        <v>500000.0</v>
      </c>
      <c r="O291" s="120">
        <f t="shared" si="55"/>
        <v>589359.375</v>
      </c>
      <c r="P291" s="120">
        <f t="shared" si="56"/>
        <v>572500</v>
      </c>
      <c r="Q291" s="120">
        <f t="shared" si="57"/>
        <v>16859.375</v>
      </c>
      <c r="R291" s="197"/>
      <c r="S291" s="198"/>
      <c r="T291" s="198"/>
      <c r="U291" s="194"/>
      <c r="V291" s="194"/>
      <c r="W291" s="194"/>
      <c r="X291" s="194"/>
      <c r="Y291" s="194"/>
      <c r="Z291" s="194"/>
    </row>
    <row r="292" ht="13.5" customHeight="1">
      <c r="A292" s="1"/>
      <c r="B292" s="57" t="s">
        <v>73</v>
      </c>
      <c r="C292" s="57" t="s">
        <v>58</v>
      </c>
      <c r="D292" s="1" t="s">
        <v>59</v>
      </c>
      <c r="E292" s="1" t="s">
        <v>227</v>
      </c>
      <c r="F292" s="1" t="s">
        <v>14</v>
      </c>
      <c r="G292" s="1" t="s">
        <v>207</v>
      </c>
      <c r="H292" s="62">
        <v>0.09125</v>
      </c>
      <c r="I292" s="42">
        <v>47563.0</v>
      </c>
      <c r="J292" s="42">
        <v>46114.0</v>
      </c>
      <c r="K292" s="42">
        <v>46119.0</v>
      </c>
      <c r="L292" s="157">
        <f t="shared" si="58"/>
        <v>0.07347588453</v>
      </c>
      <c r="M292" s="63">
        <v>106.0</v>
      </c>
      <c r="N292" s="63">
        <v>2000000.0</v>
      </c>
      <c r="O292" s="120">
        <f t="shared" si="55"/>
        <v>2128111.111</v>
      </c>
      <c r="P292" s="120">
        <f t="shared" si="56"/>
        <v>2120000</v>
      </c>
      <c r="Q292" s="120">
        <f t="shared" si="57"/>
        <v>8111.111111</v>
      </c>
      <c r="R292" s="197"/>
      <c r="S292" s="198"/>
      <c r="T292" s="198"/>
      <c r="U292" s="194"/>
      <c r="V292" s="194"/>
      <c r="W292" s="194"/>
      <c r="X292" s="194"/>
      <c r="Y292" s="194"/>
      <c r="Z292" s="194"/>
    </row>
    <row r="293" ht="13.5" customHeight="1">
      <c r="A293" s="1"/>
      <c r="B293" s="57" t="s">
        <v>73</v>
      </c>
      <c r="C293" s="57" t="s">
        <v>45</v>
      </c>
      <c r="D293" s="1" t="s">
        <v>59</v>
      </c>
      <c r="E293" s="1" t="s">
        <v>227</v>
      </c>
      <c r="F293" s="1" t="s">
        <v>14</v>
      </c>
      <c r="G293" s="1" t="s">
        <v>216</v>
      </c>
      <c r="H293" s="123">
        <v>0.09875</v>
      </c>
      <c r="I293" s="89">
        <v>49597.0</v>
      </c>
      <c r="J293" s="42">
        <v>46114.0</v>
      </c>
      <c r="K293" s="42">
        <v>46119.0</v>
      </c>
      <c r="L293" s="157">
        <f t="shared" si="58"/>
        <v>0.09792244336</v>
      </c>
      <c r="M293" s="63">
        <v>100.5</v>
      </c>
      <c r="N293" s="63">
        <v>500000.0</v>
      </c>
      <c r="O293" s="120">
        <f t="shared" si="55"/>
        <v>526090.2778</v>
      </c>
      <c r="P293" s="120">
        <f t="shared" si="56"/>
        <v>502500</v>
      </c>
      <c r="Q293" s="120">
        <f t="shared" si="57"/>
        <v>23590.27778</v>
      </c>
      <c r="R293" s="15"/>
      <c r="S293" s="3"/>
      <c r="T293" s="3"/>
      <c r="U293" s="1"/>
      <c r="V293" s="1"/>
      <c r="W293" s="1"/>
      <c r="X293" s="1"/>
      <c r="Y293" s="1"/>
      <c r="Z293" s="1"/>
    </row>
    <row r="294" ht="13.5" customHeight="1">
      <c r="A294" s="1"/>
      <c r="B294" s="57" t="s">
        <v>73</v>
      </c>
      <c r="C294" s="57" t="s">
        <v>58</v>
      </c>
      <c r="D294" s="1" t="s">
        <v>59</v>
      </c>
      <c r="E294" s="1" t="s">
        <v>227</v>
      </c>
      <c r="F294" s="1" t="s">
        <v>14</v>
      </c>
      <c r="G294" s="1" t="s">
        <v>216</v>
      </c>
      <c r="H294" s="123">
        <v>0.09875</v>
      </c>
      <c r="I294" s="89">
        <v>49597.0</v>
      </c>
      <c r="J294" s="42">
        <v>46114.0</v>
      </c>
      <c r="K294" s="42">
        <v>46119.0</v>
      </c>
      <c r="L294" s="157">
        <f t="shared" si="58"/>
        <v>0.09751490105</v>
      </c>
      <c r="M294" s="63">
        <v>100.75</v>
      </c>
      <c r="N294" s="63">
        <v>3000000.0</v>
      </c>
      <c r="O294" s="120">
        <f t="shared" si="55"/>
        <v>3164041.667</v>
      </c>
      <c r="P294" s="120">
        <f t="shared" si="56"/>
        <v>3022500</v>
      </c>
      <c r="Q294" s="120">
        <f t="shared" si="57"/>
        <v>141541.6667</v>
      </c>
      <c r="R294" s="15"/>
      <c r="S294" s="3"/>
      <c r="T294" s="3"/>
      <c r="U294" s="1"/>
      <c r="V294" s="1"/>
      <c r="W294" s="1"/>
      <c r="X294" s="1"/>
      <c r="Y294" s="1"/>
      <c r="Z294" s="1"/>
    </row>
    <row r="295" ht="13.5" customHeight="1">
      <c r="A295" s="214" t="s">
        <v>202</v>
      </c>
      <c r="B295" s="214" t="s">
        <v>118</v>
      </c>
      <c r="C295" s="214" t="s">
        <v>58</v>
      </c>
      <c r="D295" s="214" t="s">
        <v>59</v>
      </c>
      <c r="E295" s="214" t="s">
        <v>230</v>
      </c>
      <c r="F295" s="214" t="s">
        <v>12</v>
      </c>
      <c r="G295" s="214" t="s">
        <v>137</v>
      </c>
      <c r="H295" s="215">
        <v>0.0875</v>
      </c>
      <c r="I295" s="216">
        <v>48016.0</v>
      </c>
      <c r="J295" s="216">
        <v>46181.0</v>
      </c>
      <c r="K295" s="216">
        <v>46182.0</v>
      </c>
      <c r="L295" s="217"/>
      <c r="M295" s="218"/>
      <c r="N295" s="218">
        <v>358000.0</v>
      </c>
      <c r="O295" s="219">
        <v>251981.64</v>
      </c>
      <c r="P295" s="219"/>
      <c r="Q295" s="219"/>
      <c r="R295" s="219"/>
      <c r="S295" s="220"/>
      <c r="T295" s="220"/>
      <c r="U295" s="214"/>
      <c r="V295" s="214"/>
      <c r="W295" s="214"/>
      <c r="X295" s="214"/>
      <c r="Y295" s="214"/>
      <c r="Z295" s="214"/>
    </row>
    <row r="296" ht="13.5" customHeight="1">
      <c r="A296" s="57" t="s">
        <v>231</v>
      </c>
      <c r="B296" s="57" t="s">
        <v>130</v>
      </c>
      <c r="C296" s="57" t="s">
        <v>58</v>
      </c>
      <c r="D296" s="57" t="s">
        <v>59</v>
      </c>
      <c r="E296" s="1" t="s">
        <v>227</v>
      </c>
      <c r="F296" s="57" t="s">
        <v>12</v>
      </c>
      <c r="G296" s="57" t="s">
        <v>137</v>
      </c>
      <c r="H296" s="225">
        <v>0.0875</v>
      </c>
      <c r="I296" s="89">
        <v>48016.0</v>
      </c>
      <c r="J296" s="89">
        <v>46178.0</v>
      </c>
      <c r="K296" s="89">
        <v>46183.0</v>
      </c>
      <c r="L296" s="157">
        <f t="shared" ref="L296:L297" si="59">IFERROR(YIELD(K296,I296,H296,M296,100,2,0),"")</f>
        <v>0.08749117598</v>
      </c>
      <c r="M296" s="63">
        <v>100.0</v>
      </c>
      <c r="N296" s="63">
        <v>200000.0</v>
      </c>
      <c r="O296" s="120">
        <f t="shared" ref="O296:O297" si="60">IFERROR((N296*M296/100)+ACCRINT(COUPPCD(K296,I296,2,0),COUPNCD(K296,I296,2,0),K296,H296,N296,2,0),N296*M296/100)</f>
        <v>208409.7222</v>
      </c>
      <c r="P296" s="120">
        <f t="shared" ref="P296:P297" si="61">N296*M296/100</f>
        <v>200000</v>
      </c>
      <c r="Q296" s="120">
        <f t="shared" ref="Q296:Q297" si="62">IFERROR(ACCRINT(COUPPCD(K296,I296,2,0),COUPNCD(K296,I296,2,0),K296,H296,N296,2,0),"")</f>
        <v>8409.722222</v>
      </c>
      <c r="R296" s="27"/>
      <c r="S296" s="110"/>
      <c r="T296" s="110"/>
      <c r="U296" s="57"/>
      <c r="V296" s="57"/>
      <c r="W296" s="57"/>
      <c r="X296" s="57"/>
      <c r="Y296" s="57"/>
      <c r="Z296" s="57"/>
    </row>
    <row r="297" ht="13.5" customHeight="1">
      <c r="A297" s="57" t="s">
        <v>231</v>
      </c>
      <c r="B297" s="57" t="s">
        <v>130</v>
      </c>
      <c r="C297" s="57" t="s">
        <v>58</v>
      </c>
      <c r="D297" s="57" t="s">
        <v>59</v>
      </c>
      <c r="E297" s="1" t="s">
        <v>227</v>
      </c>
      <c r="F297" s="57" t="s">
        <v>14</v>
      </c>
      <c r="G297" s="57" t="s">
        <v>137</v>
      </c>
      <c r="H297" s="225">
        <v>0.0875</v>
      </c>
      <c r="I297" s="89">
        <v>48016.0</v>
      </c>
      <c r="J297" s="89">
        <v>46178.0</v>
      </c>
      <c r="K297" s="89">
        <v>46183.0</v>
      </c>
      <c r="L297" s="157">
        <f t="shared" si="59"/>
        <v>0.08749117598</v>
      </c>
      <c r="M297" s="63">
        <v>100.0</v>
      </c>
      <c r="N297" s="63">
        <v>316000.0</v>
      </c>
      <c r="O297" s="120">
        <f t="shared" si="60"/>
        <v>329287.3611</v>
      </c>
      <c r="P297" s="120">
        <f t="shared" si="61"/>
        <v>316000</v>
      </c>
      <c r="Q297" s="120">
        <f t="shared" si="62"/>
        <v>13287.36111</v>
      </c>
      <c r="R297" s="27"/>
      <c r="S297" s="110"/>
      <c r="T297" s="110"/>
      <c r="U297" s="57"/>
      <c r="V297" s="57"/>
      <c r="W297" s="57"/>
      <c r="X297" s="57"/>
      <c r="Y297" s="57"/>
      <c r="Z297" s="57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89"/>
      <c r="J298" s="1"/>
      <c r="K298" s="1"/>
      <c r="L298" s="62"/>
      <c r="M298" s="63"/>
      <c r="N298" s="63"/>
      <c r="O298" s="15"/>
      <c r="P298" s="15"/>
      <c r="Q298" s="15"/>
      <c r="R298" s="15"/>
      <c r="S298" s="3"/>
      <c r="T298" s="3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89"/>
      <c r="J299" s="1"/>
      <c r="K299" s="1"/>
      <c r="L299" s="62"/>
      <c r="M299" s="63"/>
      <c r="N299" s="63"/>
      <c r="O299" s="15"/>
      <c r="P299" s="15"/>
      <c r="Q299" s="15"/>
      <c r="R299" s="15"/>
      <c r="S299" s="3"/>
      <c r="T299" s="3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89"/>
      <c r="J300" s="1"/>
      <c r="K300" s="1"/>
      <c r="L300" s="62"/>
      <c r="M300" s="63"/>
      <c r="N300" s="63"/>
      <c r="O300" s="15"/>
      <c r="P300" s="15"/>
      <c r="Q300" s="15"/>
      <c r="R300" s="15"/>
      <c r="S300" s="3"/>
      <c r="T300" s="3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89"/>
      <c r="J301" s="1"/>
      <c r="K301" s="1"/>
      <c r="L301" s="62"/>
      <c r="M301" s="63"/>
      <c r="N301" s="63"/>
      <c r="O301" s="15"/>
      <c r="P301" s="15"/>
      <c r="Q301" s="15"/>
      <c r="R301" s="15"/>
      <c r="S301" s="3"/>
      <c r="T301" s="3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89"/>
      <c r="J302" s="1"/>
      <c r="K302" s="1"/>
      <c r="L302" s="62"/>
      <c r="M302" s="63"/>
      <c r="N302" s="63"/>
      <c r="O302" s="15"/>
      <c r="P302" s="15"/>
      <c r="Q302" s="15"/>
      <c r="R302" s="15"/>
      <c r="S302" s="3"/>
      <c r="T302" s="3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89"/>
      <c r="J303" s="1"/>
      <c r="K303" s="1"/>
      <c r="L303" s="62"/>
      <c r="M303" s="63"/>
      <c r="N303" s="63"/>
      <c r="O303" s="15"/>
      <c r="P303" s="15"/>
      <c r="Q303" s="15"/>
      <c r="R303" s="15"/>
      <c r="S303" s="3"/>
      <c r="T303" s="3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89"/>
      <c r="J304" s="1"/>
      <c r="K304" s="1"/>
      <c r="L304" s="62"/>
      <c r="M304" s="63"/>
      <c r="N304" s="63"/>
      <c r="O304" s="15"/>
      <c r="P304" s="15"/>
      <c r="Q304" s="15"/>
      <c r="R304" s="15"/>
      <c r="S304" s="3"/>
      <c r="T304" s="3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89"/>
      <c r="J305" s="1"/>
      <c r="K305" s="1"/>
      <c r="L305" s="62"/>
      <c r="M305" s="63"/>
      <c r="N305" s="63"/>
      <c r="O305" s="15"/>
      <c r="P305" s="15"/>
      <c r="Q305" s="15"/>
      <c r="R305" s="15"/>
      <c r="S305" s="3"/>
      <c r="T305" s="3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89"/>
      <c r="J306" s="1"/>
      <c r="K306" s="1"/>
      <c r="L306" s="62"/>
      <c r="M306" s="63"/>
      <c r="N306" s="63"/>
      <c r="O306" s="15"/>
      <c r="P306" s="15"/>
      <c r="Q306" s="15"/>
      <c r="R306" s="15"/>
      <c r="S306" s="3"/>
      <c r="T306" s="3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89"/>
      <c r="J307" s="1"/>
      <c r="K307" s="1"/>
      <c r="L307" s="62"/>
      <c r="M307" s="63"/>
      <c r="N307" s="63"/>
      <c r="O307" s="15"/>
      <c r="P307" s="15"/>
      <c r="Q307" s="15"/>
      <c r="R307" s="15"/>
      <c r="S307" s="3"/>
      <c r="T307" s="3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89"/>
      <c r="J308" s="1"/>
      <c r="K308" s="1"/>
      <c r="L308" s="62"/>
      <c r="M308" s="63"/>
      <c r="N308" s="63"/>
      <c r="O308" s="15"/>
      <c r="P308" s="15"/>
      <c r="Q308" s="15"/>
      <c r="R308" s="15"/>
      <c r="S308" s="3"/>
      <c r="T308" s="3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89"/>
      <c r="J309" s="1"/>
      <c r="K309" s="1"/>
      <c r="L309" s="62"/>
      <c r="M309" s="63"/>
      <c r="N309" s="63"/>
      <c r="O309" s="15"/>
      <c r="P309" s="15"/>
      <c r="Q309" s="15"/>
      <c r="R309" s="15"/>
      <c r="S309" s="3"/>
      <c r="T309" s="3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89"/>
      <c r="J310" s="1"/>
      <c r="K310" s="1"/>
      <c r="L310" s="62"/>
      <c r="M310" s="63"/>
      <c r="N310" s="63"/>
      <c r="O310" s="15"/>
      <c r="P310" s="15"/>
      <c r="Q310" s="15"/>
      <c r="R310" s="15"/>
      <c r="S310" s="3"/>
      <c r="T310" s="3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89"/>
      <c r="J311" s="1"/>
      <c r="K311" s="1"/>
      <c r="L311" s="62"/>
      <c r="M311" s="63"/>
      <c r="N311" s="63"/>
      <c r="O311" s="15"/>
      <c r="P311" s="15"/>
      <c r="Q311" s="15"/>
      <c r="R311" s="15"/>
      <c r="S311" s="3"/>
      <c r="T311" s="3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89"/>
      <c r="J312" s="1"/>
      <c r="K312" s="1"/>
      <c r="L312" s="62"/>
      <c r="M312" s="63"/>
      <c r="N312" s="63"/>
      <c r="O312" s="15"/>
      <c r="P312" s="15"/>
      <c r="Q312" s="15"/>
      <c r="R312" s="15"/>
      <c r="S312" s="3"/>
      <c r="T312" s="3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89"/>
      <c r="J313" s="1"/>
      <c r="K313" s="1"/>
      <c r="L313" s="62"/>
      <c r="M313" s="63"/>
      <c r="N313" s="63"/>
      <c r="O313" s="15"/>
      <c r="P313" s="15"/>
      <c r="Q313" s="15"/>
      <c r="R313" s="15"/>
      <c r="S313" s="3"/>
      <c r="T313" s="3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89"/>
      <c r="J314" s="1"/>
      <c r="K314" s="1"/>
      <c r="L314" s="62"/>
      <c r="M314" s="63"/>
      <c r="N314" s="63"/>
      <c r="O314" s="15"/>
      <c r="P314" s="15"/>
      <c r="Q314" s="15"/>
      <c r="R314" s="15"/>
      <c r="S314" s="3"/>
      <c r="T314" s="3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89"/>
      <c r="J315" s="1"/>
      <c r="K315" s="1"/>
      <c r="L315" s="62"/>
      <c r="M315" s="63"/>
      <c r="N315" s="63"/>
      <c r="O315" s="15"/>
      <c r="P315" s="15"/>
      <c r="Q315" s="15"/>
      <c r="R315" s="15"/>
      <c r="S315" s="3"/>
      <c r="T315" s="3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89"/>
      <c r="J316" s="1"/>
      <c r="K316" s="1"/>
      <c r="L316" s="62"/>
      <c r="M316" s="63"/>
      <c r="N316" s="63"/>
      <c r="O316" s="15"/>
      <c r="P316" s="15"/>
      <c r="Q316" s="15"/>
      <c r="R316" s="15"/>
      <c r="S316" s="3"/>
      <c r="T316" s="3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89"/>
      <c r="J317" s="1"/>
      <c r="K317" s="1"/>
      <c r="L317" s="62"/>
      <c r="M317" s="63"/>
      <c r="N317" s="63"/>
      <c r="O317" s="15"/>
      <c r="P317" s="15"/>
      <c r="Q317" s="15"/>
      <c r="R317" s="15"/>
      <c r="S317" s="3"/>
      <c r="T317" s="3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89"/>
      <c r="J318" s="1"/>
      <c r="K318" s="1"/>
      <c r="L318" s="62"/>
      <c r="M318" s="63"/>
      <c r="N318" s="63"/>
      <c r="O318" s="15"/>
      <c r="P318" s="15"/>
      <c r="Q318" s="15"/>
      <c r="R318" s="15"/>
      <c r="S318" s="3"/>
      <c r="T318" s="3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89"/>
      <c r="J319" s="1"/>
      <c r="K319" s="1"/>
      <c r="L319" s="62"/>
      <c r="M319" s="63"/>
      <c r="N319" s="63"/>
      <c r="O319" s="15"/>
      <c r="P319" s="15"/>
      <c r="Q319" s="15"/>
      <c r="R319" s="15"/>
      <c r="S319" s="3"/>
      <c r="T319" s="3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89"/>
      <c r="J320" s="1"/>
      <c r="K320" s="1"/>
      <c r="L320" s="62"/>
      <c r="M320" s="63"/>
      <c r="N320" s="63"/>
      <c r="O320" s="15"/>
      <c r="P320" s="15"/>
      <c r="Q320" s="15"/>
      <c r="R320" s="15"/>
      <c r="S320" s="3"/>
      <c r="T320" s="3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89"/>
      <c r="J321" s="1"/>
      <c r="K321" s="1"/>
      <c r="L321" s="62"/>
      <c r="M321" s="63"/>
      <c r="N321" s="63"/>
      <c r="O321" s="15"/>
      <c r="P321" s="15"/>
      <c r="Q321" s="15"/>
      <c r="R321" s="15"/>
      <c r="S321" s="3"/>
      <c r="T321" s="3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89"/>
      <c r="J322" s="1"/>
      <c r="K322" s="1"/>
      <c r="L322" s="62"/>
      <c r="M322" s="63"/>
      <c r="N322" s="63"/>
      <c r="O322" s="15"/>
      <c r="P322" s="15"/>
      <c r="Q322" s="15"/>
      <c r="R322" s="15"/>
      <c r="S322" s="3"/>
      <c r="T322" s="3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89"/>
      <c r="J323" s="1"/>
      <c r="K323" s="1"/>
      <c r="L323" s="62"/>
      <c r="M323" s="63"/>
      <c r="N323" s="63"/>
      <c r="O323" s="15"/>
      <c r="P323" s="15"/>
      <c r="Q323" s="15"/>
      <c r="R323" s="15"/>
      <c r="S323" s="3"/>
      <c r="T323" s="3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89"/>
      <c r="J324" s="1"/>
      <c r="K324" s="1"/>
      <c r="L324" s="62"/>
      <c r="M324" s="63"/>
      <c r="N324" s="63"/>
      <c r="O324" s="15"/>
      <c r="P324" s="15"/>
      <c r="Q324" s="15"/>
      <c r="R324" s="15"/>
      <c r="S324" s="3"/>
      <c r="T324" s="3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89"/>
      <c r="J325" s="1"/>
      <c r="K325" s="1"/>
      <c r="L325" s="62"/>
      <c r="M325" s="63"/>
      <c r="N325" s="63"/>
      <c r="O325" s="15"/>
      <c r="P325" s="15"/>
      <c r="Q325" s="15"/>
      <c r="R325" s="15"/>
      <c r="S325" s="3"/>
      <c r="T325" s="3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89"/>
      <c r="J326" s="1"/>
      <c r="K326" s="1"/>
      <c r="L326" s="62"/>
      <c r="M326" s="63"/>
      <c r="N326" s="63"/>
      <c r="O326" s="15"/>
      <c r="P326" s="15"/>
      <c r="Q326" s="15"/>
      <c r="R326" s="15"/>
      <c r="S326" s="3"/>
      <c r="T326" s="3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89"/>
      <c r="J327" s="1"/>
      <c r="K327" s="1"/>
      <c r="L327" s="62"/>
      <c r="M327" s="63"/>
      <c r="N327" s="63"/>
      <c r="O327" s="15"/>
      <c r="P327" s="15"/>
      <c r="Q327" s="15"/>
      <c r="R327" s="15"/>
      <c r="S327" s="3"/>
      <c r="T327" s="3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89"/>
      <c r="J328" s="1"/>
      <c r="K328" s="1"/>
      <c r="L328" s="62"/>
      <c r="M328" s="63"/>
      <c r="N328" s="63"/>
      <c r="O328" s="15"/>
      <c r="P328" s="15"/>
      <c r="Q328" s="15"/>
      <c r="R328" s="15"/>
      <c r="S328" s="3"/>
      <c r="T328" s="3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89"/>
      <c r="J329" s="1"/>
      <c r="K329" s="1"/>
      <c r="L329" s="62"/>
      <c r="M329" s="63"/>
      <c r="N329" s="63"/>
      <c r="O329" s="15"/>
      <c r="P329" s="15"/>
      <c r="Q329" s="15"/>
      <c r="R329" s="15"/>
      <c r="S329" s="3"/>
      <c r="T329" s="3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89"/>
      <c r="J330" s="1"/>
      <c r="K330" s="1"/>
      <c r="L330" s="62"/>
      <c r="M330" s="63"/>
      <c r="N330" s="63"/>
      <c r="O330" s="15"/>
      <c r="P330" s="15"/>
      <c r="Q330" s="15"/>
      <c r="R330" s="15"/>
      <c r="S330" s="3"/>
      <c r="T330" s="3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89"/>
      <c r="J331" s="1"/>
      <c r="K331" s="1"/>
      <c r="L331" s="62"/>
      <c r="M331" s="63"/>
      <c r="N331" s="63"/>
      <c r="O331" s="15"/>
      <c r="P331" s="15"/>
      <c r="Q331" s="15"/>
      <c r="R331" s="15"/>
      <c r="S331" s="3"/>
      <c r="T331" s="3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89"/>
      <c r="J332" s="1"/>
      <c r="K332" s="1"/>
      <c r="L332" s="62"/>
      <c r="M332" s="63"/>
      <c r="N332" s="63"/>
      <c r="O332" s="15"/>
      <c r="P332" s="15"/>
      <c r="Q332" s="15"/>
      <c r="R332" s="15"/>
      <c r="S332" s="3"/>
      <c r="T332" s="3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89"/>
      <c r="J333" s="1"/>
      <c r="K333" s="1"/>
      <c r="L333" s="62"/>
      <c r="M333" s="63"/>
      <c r="N333" s="63"/>
      <c r="O333" s="15"/>
      <c r="P333" s="15"/>
      <c r="Q333" s="15"/>
      <c r="R333" s="15"/>
      <c r="S333" s="3"/>
      <c r="T333" s="3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89"/>
      <c r="J334" s="1"/>
      <c r="K334" s="1"/>
      <c r="L334" s="62"/>
      <c r="M334" s="63"/>
      <c r="N334" s="63"/>
      <c r="O334" s="15"/>
      <c r="P334" s="15"/>
      <c r="Q334" s="15"/>
      <c r="R334" s="15"/>
      <c r="S334" s="3"/>
      <c r="T334" s="3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89"/>
      <c r="J335" s="1"/>
      <c r="K335" s="1"/>
      <c r="L335" s="62"/>
      <c r="M335" s="63"/>
      <c r="N335" s="63"/>
      <c r="O335" s="15"/>
      <c r="P335" s="15"/>
      <c r="Q335" s="15"/>
      <c r="R335" s="15"/>
      <c r="S335" s="3"/>
      <c r="T335" s="3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89"/>
      <c r="J336" s="1"/>
      <c r="K336" s="1"/>
      <c r="L336" s="62"/>
      <c r="M336" s="63"/>
      <c r="N336" s="63"/>
      <c r="O336" s="15"/>
      <c r="P336" s="15"/>
      <c r="Q336" s="15"/>
      <c r="R336" s="15"/>
      <c r="S336" s="3"/>
      <c r="T336" s="3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89"/>
      <c r="J337" s="1"/>
      <c r="K337" s="1"/>
      <c r="L337" s="62"/>
      <c r="M337" s="63"/>
      <c r="N337" s="63"/>
      <c r="O337" s="15"/>
      <c r="P337" s="15"/>
      <c r="Q337" s="15"/>
      <c r="R337" s="15"/>
      <c r="S337" s="3"/>
      <c r="T337" s="3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89"/>
      <c r="J338" s="1"/>
      <c r="K338" s="1"/>
      <c r="L338" s="62"/>
      <c r="M338" s="63"/>
      <c r="N338" s="63"/>
      <c r="O338" s="15"/>
      <c r="P338" s="15"/>
      <c r="Q338" s="15"/>
      <c r="R338" s="15"/>
      <c r="S338" s="3"/>
      <c r="T338" s="3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89"/>
      <c r="J339" s="1"/>
      <c r="K339" s="1"/>
      <c r="L339" s="62"/>
      <c r="M339" s="63"/>
      <c r="N339" s="63"/>
      <c r="O339" s="15"/>
      <c r="P339" s="15"/>
      <c r="Q339" s="15"/>
      <c r="R339" s="15"/>
      <c r="S339" s="3"/>
      <c r="T339" s="3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89"/>
      <c r="J340" s="1"/>
      <c r="K340" s="1"/>
      <c r="L340" s="62"/>
      <c r="M340" s="63"/>
      <c r="N340" s="63"/>
      <c r="O340" s="15"/>
      <c r="P340" s="15"/>
      <c r="Q340" s="15"/>
      <c r="R340" s="15"/>
      <c r="S340" s="3"/>
      <c r="T340" s="3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89"/>
      <c r="J341" s="1"/>
      <c r="K341" s="1"/>
      <c r="L341" s="62"/>
      <c r="M341" s="63"/>
      <c r="N341" s="63"/>
      <c r="O341" s="15"/>
      <c r="P341" s="15"/>
      <c r="Q341" s="15"/>
      <c r="R341" s="15"/>
      <c r="S341" s="3"/>
      <c r="T341" s="3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89"/>
      <c r="J342" s="1"/>
      <c r="K342" s="1"/>
      <c r="L342" s="62"/>
      <c r="M342" s="63"/>
      <c r="N342" s="63"/>
      <c r="O342" s="15"/>
      <c r="P342" s="15"/>
      <c r="Q342" s="15"/>
      <c r="R342" s="15"/>
      <c r="S342" s="3"/>
      <c r="T342" s="3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89"/>
      <c r="J343" s="1"/>
      <c r="K343" s="1"/>
      <c r="L343" s="62"/>
      <c r="M343" s="63"/>
      <c r="N343" s="63"/>
      <c r="O343" s="15"/>
      <c r="P343" s="15"/>
      <c r="Q343" s="15"/>
      <c r="R343" s="15"/>
      <c r="S343" s="3"/>
      <c r="T343" s="3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89"/>
      <c r="J344" s="1"/>
      <c r="K344" s="1"/>
      <c r="L344" s="62"/>
      <c r="M344" s="63"/>
      <c r="N344" s="63"/>
      <c r="O344" s="15"/>
      <c r="P344" s="15"/>
      <c r="Q344" s="15"/>
      <c r="R344" s="15"/>
      <c r="S344" s="3"/>
      <c r="T344" s="3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89"/>
      <c r="J345" s="1"/>
      <c r="K345" s="1"/>
      <c r="L345" s="62"/>
      <c r="M345" s="63"/>
      <c r="N345" s="63"/>
      <c r="O345" s="15"/>
      <c r="P345" s="15"/>
      <c r="Q345" s="15"/>
      <c r="R345" s="15"/>
      <c r="S345" s="3"/>
      <c r="T345" s="3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89"/>
      <c r="J346" s="1"/>
      <c r="K346" s="1"/>
      <c r="L346" s="62"/>
      <c r="M346" s="63"/>
      <c r="N346" s="63"/>
      <c r="O346" s="15"/>
      <c r="P346" s="15"/>
      <c r="Q346" s="15"/>
      <c r="R346" s="15"/>
      <c r="S346" s="3"/>
      <c r="T346" s="3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89"/>
      <c r="J347" s="1"/>
      <c r="K347" s="1"/>
      <c r="L347" s="62"/>
      <c r="M347" s="63"/>
      <c r="N347" s="63"/>
      <c r="O347" s="15"/>
      <c r="P347" s="15"/>
      <c r="Q347" s="15"/>
      <c r="R347" s="15"/>
      <c r="S347" s="3"/>
      <c r="T347" s="3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89"/>
      <c r="J348" s="1"/>
      <c r="K348" s="1"/>
      <c r="L348" s="62"/>
      <c r="M348" s="63"/>
      <c r="N348" s="63"/>
      <c r="O348" s="15"/>
      <c r="P348" s="15"/>
      <c r="Q348" s="15"/>
      <c r="R348" s="15"/>
      <c r="S348" s="3"/>
      <c r="T348" s="3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89"/>
      <c r="J349" s="1"/>
      <c r="K349" s="1"/>
      <c r="L349" s="62"/>
      <c r="M349" s="63"/>
      <c r="N349" s="63"/>
      <c r="O349" s="15"/>
      <c r="P349" s="15"/>
      <c r="Q349" s="15"/>
      <c r="R349" s="15"/>
      <c r="S349" s="3"/>
      <c r="T349" s="3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89"/>
      <c r="J350" s="1"/>
      <c r="K350" s="1"/>
      <c r="L350" s="62"/>
      <c r="M350" s="63"/>
      <c r="N350" s="63"/>
      <c r="O350" s="15"/>
      <c r="P350" s="15"/>
      <c r="Q350" s="15"/>
      <c r="R350" s="15"/>
      <c r="S350" s="3"/>
      <c r="T350" s="3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89"/>
      <c r="J351" s="1"/>
      <c r="K351" s="1"/>
      <c r="L351" s="62"/>
      <c r="M351" s="63"/>
      <c r="N351" s="63"/>
      <c r="O351" s="15"/>
      <c r="P351" s="15"/>
      <c r="Q351" s="15"/>
      <c r="R351" s="15"/>
      <c r="S351" s="3"/>
      <c r="T351" s="3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89"/>
      <c r="J352" s="1"/>
      <c r="K352" s="1"/>
      <c r="L352" s="62"/>
      <c r="M352" s="63"/>
      <c r="N352" s="63"/>
      <c r="O352" s="15"/>
      <c r="P352" s="15"/>
      <c r="Q352" s="15"/>
      <c r="R352" s="15"/>
      <c r="S352" s="3"/>
      <c r="T352" s="3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89"/>
      <c r="J353" s="1"/>
      <c r="K353" s="1"/>
      <c r="L353" s="62"/>
      <c r="M353" s="63"/>
      <c r="N353" s="63"/>
      <c r="O353" s="15"/>
      <c r="P353" s="15"/>
      <c r="Q353" s="15"/>
      <c r="R353" s="15"/>
      <c r="S353" s="3"/>
      <c r="T353" s="3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89"/>
      <c r="J354" s="1"/>
      <c r="K354" s="1"/>
      <c r="L354" s="62"/>
      <c r="M354" s="63"/>
      <c r="N354" s="63"/>
      <c r="O354" s="15"/>
      <c r="P354" s="15"/>
      <c r="Q354" s="15"/>
      <c r="R354" s="15"/>
      <c r="S354" s="3"/>
      <c r="T354" s="3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89"/>
      <c r="J355" s="1"/>
      <c r="K355" s="1"/>
      <c r="L355" s="62"/>
      <c r="M355" s="63"/>
      <c r="N355" s="63"/>
      <c r="O355" s="15"/>
      <c r="P355" s="15"/>
      <c r="Q355" s="15"/>
      <c r="R355" s="15"/>
      <c r="S355" s="3"/>
      <c r="T355" s="3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89"/>
      <c r="J356" s="1"/>
      <c r="K356" s="1"/>
      <c r="L356" s="62"/>
      <c r="M356" s="63"/>
      <c r="N356" s="63"/>
      <c r="O356" s="15"/>
      <c r="P356" s="15"/>
      <c r="Q356" s="15"/>
      <c r="R356" s="15"/>
      <c r="S356" s="3"/>
      <c r="T356" s="3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89"/>
      <c r="J357" s="1"/>
      <c r="K357" s="1"/>
      <c r="L357" s="62"/>
      <c r="M357" s="63"/>
      <c r="N357" s="63"/>
      <c r="O357" s="15"/>
      <c r="P357" s="15"/>
      <c r="Q357" s="15"/>
      <c r="R357" s="15"/>
      <c r="S357" s="3"/>
      <c r="T357" s="3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89"/>
      <c r="J358" s="1"/>
      <c r="K358" s="1"/>
      <c r="L358" s="62"/>
      <c r="M358" s="63"/>
      <c r="N358" s="63"/>
      <c r="O358" s="15"/>
      <c r="P358" s="15"/>
      <c r="Q358" s="15"/>
      <c r="R358" s="15"/>
      <c r="S358" s="3"/>
      <c r="T358" s="3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89"/>
      <c r="J359" s="1"/>
      <c r="K359" s="1"/>
      <c r="L359" s="62"/>
      <c r="M359" s="63"/>
      <c r="N359" s="63"/>
      <c r="O359" s="15"/>
      <c r="P359" s="15"/>
      <c r="Q359" s="15"/>
      <c r="R359" s="15"/>
      <c r="S359" s="3"/>
      <c r="T359" s="3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89"/>
      <c r="J360" s="1"/>
      <c r="K360" s="1"/>
      <c r="L360" s="62"/>
      <c r="M360" s="63"/>
      <c r="N360" s="63"/>
      <c r="O360" s="15"/>
      <c r="P360" s="15"/>
      <c r="Q360" s="15"/>
      <c r="R360" s="15"/>
      <c r="S360" s="3"/>
      <c r="T360" s="3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89"/>
      <c r="J361" s="1"/>
      <c r="K361" s="1"/>
      <c r="L361" s="62"/>
      <c r="M361" s="63"/>
      <c r="N361" s="63"/>
      <c r="O361" s="15"/>
      <c r="P361" s="15"/>
      <c r="Q361" s="15"/>
      <c r="R361" s="15"/>
      <c r="S361" s="3"/>
      <c r="T361" s="3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89"/>
      <c r="J362" s="1"/>
      <c r="K362" s="1"/>
      <c r="L362" s="62"/>
      <c r="M362" s="63"/>
      <c r="N362" s="63"/>
      <c r="O362" s="15"/>
      <c r="P362" s="15"/>
      <c r="Q362" s="15"/>
      <c r="R362" s="15"/>
      <c r="S362" s="3"/>
      <c r="T362" s="3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89"/>
      <c r="J363" s="1"/>
      <c r="K363" s="1"/>
      <c r="L363" s="62"/>
      <c r="M363" s="63"/>
      <c r="N363" s="63"/>
      <c r="O363" s="15"/>
      <c r="P363" s="15"/>
      <c r="Q363" s="15"/>
      <c r="R363" s="15"/>
      <c r="S363" s="3"/>
      <c r="T363" s="3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89"/>
      <c r="J364" s="1"/>
      <c r="K364" s="1"/>
      <c r="L364" s="62"/>
      <c r="M364" s="63"/>
      <c r="N364" s="63"/>
      <c r="O364" s="15"/>
      <c r="P364" s="15"/>
      <c r="Q364" s="15"/>
      <c r="R364" s="15"/>
      <c r="S364" s="3"/>
      <c r="T364" s="3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89"/>
      <c r="J365" s="1"/>
      <c r="K365" s="1"/>
      <c r="L365" s="62"/>
      <c r="M365" s="63"/>
      <c r="N365" s="63"/>
      <c r="O365" s="15"/>
      <c r="P365" s="15"/>
      <c r="Q365" s="15"/>
      <c r="R365" s="15"/>
      <c r="S365" s="3"/>
      <c r="T365" s="3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89"/>
      <c r="J366" s="1"/>
      <c r="K366" s="1"/>
      <c r="L366" s="62"/>
      <c r="M366" s="63"/>
      <c r="N366" s="63"/>
      <c r="O366" s="15"/>
      <c r="P366" s="15"/>
      <c r="Q366" s="15"/>
      <c r="R366" s="15"/>
      <c r="S366" s="3"/>
      <c r="T366" s="3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89"/>
      <c r="J367" s="1"/>
      <c r="K367" s="1"/>
      <c r="L367" s="62"/>
      <c r="M367" s="63"/>
      <c r="N367" s="63"/>
      <c r="O367" s="15"/>
      <c r="P367" s="15"/>
      <c r="Q367" s="15"/>
      <c r="R367" s="15"/>
      <c r="S367" s="3"/>
      <c r="T367" s="3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89"/>
      <c r="J368" s="1"/>
      <c r="K368" s="1"/>
      <c r="L368" s="62"/>
      <c r="M368" s="63"/>
      <c r="N368" s="63"/>
      <c r="O368" s="15"/>
      <c r="P368" s="15"/>
      <c r="Q368" s="15"/>
      <c r="R368" s="15"/>
      <c r="S368" s="3"/>
      <c r="T368" s="3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89"/>
      <c r="J369" s="1"/>
      <c r="K369" s="1"/>
      <c r="L369" s="62"/>
      <c r="M369" s="63"/>
      <c r="N369" s="63"/>
      <c r="O369" s="15"/>
      <c r="P369" s="15"/>
      <c r="Q369" s="15"/>
      <c r="R369" s="15"/>
      <c r="S369" s="3"/>
      <c r="T369" s="3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89"/>
      <c r="J370" s="1"/>
      <c r="K370" s="1"/>
      <c r="L370" s="62"/>
      <c r="M370" s="63"/>
      <c r="N370" s="63"/>
      <c r="O370" s="15"/>
      <c r="P370" s="15"/>
      <c r="Q370" s="15"/>
      <c r="R370" s="15"/>
      <c r="S370" s="3"/>
      <c r="T370" s="3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89"/>
      <c r="J371" s="1"/>
      <c r="K371" s="1"/>
      <c r="L371" s="62"/>
      <c r="M371" s="63"/>
      <c r="N371" s="63"/>
      <c r="O371" s="15"/>
      <c r="P371" s="15"/>
      <c r="Q371" s="15"/>
      <c r="R371" s="15"/>
      <c r="S371" s="3"/>
      <c r="T371" s="3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89"/>
      <c r="J372" s="1"/>
      <c r="K372" s="1"/>
      <c r="L372" s="62"/>
      <c r="M372" s="63"/>
      <c r="N372" s="63"/>
      <c r="O372" s="15"/>
      <c r="P372" s="15"/>
      <c r="Q372" s="15"/>
      <c r="R372" s="15"/>
      <c r="S372" s="3"/>
      <c r="T372" s="3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89"/>
      <c r="J373" s="1"/>
      <c r="K373" s="1"/>
      <c r="L373" s="62"/>
      <c r="M373" s="63"/>
      <c r="N373" s="63"/>
      <c r="O373" s="15"/>
      <c r="P373" s="15"/>
      <c r="Q373" s="15"/>
      <c r="R373" s="15"/>
      <c r="S373" s="3"/>
      <c r="T373" s="3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89"/>
      <c r="J374" s="1"/>
      <c r="K374" s="1"/>
      <c r="L374" s="62"/>
      <c r="M374" s="63"/>
      <c r="N374" s="63"/>
      <c r="O374" s="15"/>
      <c r="P374" s="15"/>
      <c r="Q374" s="15"/>
      <c r="R374" s="15"/>
      <c r="S374" s="3"/>
      <c r="T374" s="3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89"/>
      <c r="J375" s="1"/>
      <c r="K375" s="1"/>
      <c r="L375" s="62"/>
      <c r="M375" s="63"/>
      <c r="N375" s="63"/>
      <c r="O375" s="15"/>
      <c r="P375" s="15"/>
      <c r="Q375" s="15"/>
      <c r="R375" s="15"/>
      <c r="S375" s="3"/>
      <c r="T375" s="3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89"/>
      <c r="J376" s="1"/>
      <c r="K376" s="1"/>
      <c r="L376" s="62"/>
      <c r="M376" s="63"/>
      <c r="N376" s="63"/>
      <c r="O376" s="15"/>
      <c r="P376" s="15"/>
      <c r="Q376" s="15"/>
      <c r="R376" s="15"/>
      <c r="S376" s="3"/>
      <c r="T376" s="3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89"/>
      <c r="J377" s="1"/>
      <c r="K377" s="1"/>
      <c r="L377" s="62"/>
      <c r="M377" s="63"/>
      <c r="N377" s="63"/>
      <c r="O377" s="15"/>
      <c r="P377" s="15"/>
      <c r="Q377" s="15"/>
      <c r="R377" s="15"/>
      <c r="S377" s="3"/>
      <c r="T377" s="3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89"/>
      <c r="J378" s="1"/>
      <c r="K378" s="1"/>
      <c r="L378" s="62"/>
      <c r="M378" s="63"/>
      <c r="N378" s="63"/>
      <c r="O378" s="15"/>
      <c r="P378" s="15"/>
      <c r="Q378" s="15"/>
      <c r="R378" s="15"/>
      <c r="S378" s="3"/>
      <c r="T378" s="3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89"/>
      <c r="J379" s="1"/>
      <c r="K379" s="1"/>
      <c r="L379" s="62"/>
      <c r="M379" s="63"/>
      <c r="N379" s="63"/>
      <c r="O379" s="15"/>
      <c r="P379" s="15"/>
      <c r="Q379" s="15"/>
      <c r="R379" s="15"/>
      <c r="S379" s="3"/>
      <c r="T379" s="3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89"/>
      <c r="J380" s="1"/>
      <c r="K380" s="1"/>
      <c r="L380" s="62"/>
      <c r="M380" s="63"/>
      <c r="N380" s="63"/>
      <c r="O380" s="15"/>
      <c r="P380" s="15"/>
      <c r="Q380" s="15"/>
      <c r="R380" s="15"/>
      <c r="S380" s="3"/>
      <c r="T380" s="3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89"/>
      <c r="J381" s="1"/>
      <c r="K381" s="1"/>
      <c r="L381" s="62"/>
      <c r="M381" s="63"/>
      <c r="N381" s="63"/>
      <c r="O381" s="15"/>
      <c r="P381" s="15"/>
      <c r="Q381" s="15"/>
      <c r="R381" s="15"/>
      <c r="S381" s="3"/>
      <c r="T381" s="3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89"/>
      <c r="J382" s="1"/>
      <c r="K382" s="1"/>
      <c r="L382" s="62"/>
      <c r="M382" s="63"/>
      <c r="N382" s="63"/>
      <c r="O382" s="15"/>
      <c r="P382" s="15"/>
      <c r="Q382" s="15"/>
      <c r="R382" s="15"/>
      <c r="S382" s="3"/>
      <c r="T382" s="3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89"/>
      <c r="J383" s="1"/>
      <c r="K383" s="1"/>
      <c r="L383" s="62"/>
      <c r="M383" s="63"/>
      <c r="N383" s="63"/>
      <c r="O383" s="15"/>
      <c r="P383" s="15"/>
      <c r="Q383" s="15"/>
      <c r="R383" s="15"/>
      <c r="S383" s="3"/>
      <c r="T383" s="3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89"/>
      <c r="J384" s="1"/>
      <c r="K384" s="1"/>
      <c r="L384" s="62"/>
      <c r="M384" s="63"/>
      <c r="N384" s="63"/>
      <c r="O384" s="15"/>
      <c r="P384" s="15"/>
      <c r="Q384" s="15"/>
      <c r="R384" s="15"/>
      <c r="S384" s="3"/>
      <c r="T384" s="3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89"/>
      <c r="J385" s="1"/>
      <c r="K385" s="1"/>
      <c r="L385" s="62"/>
      <c r="M385" s="63"/>
      <c r="N385" s="63"/>
      <c r="O385" s="15"/>
      <c r="P385" s="15"/>
      <c r="Q385" s="15"/>
      <c r="R385" s="15"/>
      <c r="S385" s="3"/>
      <c r="T385" s="3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89"/>
      <c r="J386" s="1"/>
      <c r="K386" s="1"/>
      <c r="L386" s="62"/>
      <c r="M386" s="63"/>
      <c r="N386" s="63"/>
      <c r="O386" s="15"/>
      <c r="P386" s="15"/>
      <c r="Q386" s="15"/>
      <c r="R386" s="15"/>
      <c r="S386" s="3"/>
      <c r="T386" s="3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89"/>
      <c r="J387" s="1"/>
      <c r="K387" s="1"/>
      <c r="L387" s="62"/>
      <c r="M387" s="63"/>
      <c r="N387" s="63"/>
      <c r="O387" s="15"/>
      <c r="P387" s="15"/>
      <c r="Q387" s="15"/>
      <c r="R387" s="15"/>
      <c r="S387" s="3"/>
      <c r="T387" s="3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89"/>
      <c r="J388" s="1"/>
      <c r="K388" s="1"/>
      <c r="L388" s="62"/>
      <c r="M388" s="63"/>
      <c r="N388" s="63"/>
      <c r="O388" s="15"/>
      <c r="P388" s="15"/>
      <c r="Q388" s="15"/>
      <c r="R388" s="15"/>
      <c r="S388" s="3"/>
      <c r="T388" s="3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89"/>
      <c r="J389" s="1"/>
      <c r="K389" s="1"/>
      <c r="L389" s="62"/>
      <c r="M389" s="63"/>
      <c r="N389" s="63"/>
      <c r="O389" s="15"/>
      <c r="P389" s="15"/>
      <c r="Q389" s="15"/>
      <c r="R389" s="15"/>
      <c r="S389" s="3"/>
      <c r="T389" s="3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89"/>
      <c r="J390" s="1"/>
      <c r="K390" s="1"/>
      <c r="L390" s="62"/>
      <c r="M390" s="63"/>
      <c r="N390" s="63"/>
      <c r="O390" s="15"/>
      <c r="P390" s="15"/>
      <c r="Q390" s="15"/>
      <c r="R390" s="15"/>
      <c r="S390" s="3"/>
      <c r="T390" s="3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89"/>
      <c r="J391" s="1"/>
      <c r="K391" s="1"/>
      <c r="L391" s="62"/>
      <c r="M391" s="63"/>
      <c r="N391" s="63"/>
      <c r="O391" s="15"/>
      <c r="P391" s="15"/>
      <c r="Q391" s="15"/>
      <c r="R391" s="15"/>
      <c r="S391" s="3"/>
      <c r="T391" s="3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89"/>
      <c r="J392" s="1"/>
      <c r="K392" s="1"/>
      <c r="L392" s="62"/>
      <c r="M392" s="63"/>
      <c r="N392" s="63"/>
      <c r="O392" s="15"/>
      <c r="P392" s="15"/>
      <c r="Q392" s="15"/>
      <c r="R392" s="15"/>
      <c r="S392" s="3"/>
      <c r="T392" s="3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89"/>
      <c r="J393" s="1"/>
      <c r="K393" s="1"/>
      <c r="L393" s="62"/>
      <c r="M393" s="63"/>
      <c r="N393" s="63"/>
      <c r="O393" s="15"/>
      <c r="P393" s="15"/>
      <c r="Q393" s="15"/>
      <c r="R393" s="15"/>
      <c r="S393" s="3"/>
      <c r="T393" s="3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89"/>
      <c r="J394" s="1"/>
      <c r="K394" s="1"/>
      <c r="L394" s="62"/>
      <c r="M394" s="63"/>
      <c r="N394" s="63"/>
      <c r="O394" s="15"/>
      <c r="P394" s="15"/>
      <c r="Q394" s="15"/>
      <c r="R394" s="15"/>
      <c r="S394" s="3"/>
      <c r="T394" s="3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89"/>
      <c r="J395" s="1"/>
      <c r="K395" s="1"/>
      <c r="L395" s="62"/>
      <c r="M395" s="63"/>
      <c r="N395" s="63"/>
      <c r="O395" s="15"/>
      <c r="P395" s="15"/>
      <c r="Q395" s="15"/>
      <c r="R395" s="15"/>
      <c r="S395" s="3"/>
      <c r="T395" s="3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89"/>
      <c r="J396" s="1"/>
      <c r="K396" s="1"/>
      <c r="L396" s="62"/>
      <c r="M396" s="63"/>
      <c r="N396" s="63"/>
      <c r="O396" s="15"/>
      <c r="P396" s="15"/>
      <c r="Q396" s="15"/>
      <c r="R396" s="15"/>
      <c r="S396" s="3"/>
      <c r="T396" s="3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89"/>
      <c r="J397" s="1"/>
      <c r="K397" s="1"/>
      <c r="L397" s="62"/>
      <c r="M397" s="63"/>
      <c r="N397" s="63"/>
      <c r="O397" s="15"/>
      <c r="P397" s="15"/>
      <c r="Q397" s="15"/>
      <c r="R397" s="15"/>
      <c r="S397" s="3"/>
      <c r="T397" s="3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89"/>
      <c r="J398" s="1"/>
      <c r="K398" s="1"/>
      <c r="L398" s="62"/>
      <c r="M398" s="63"/>
      <c r="N398" s="63"/>
      <c r="O398" s="15"/>
      <c r="P398" s="15"/>
      <c r="Q398" s="15"/>
      <c r="R398" s="15"/>
      <c r="S398" s="3"/>
      <c r="T398" s="3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89"/>
      <c r="J399" s="1"/>
      <c r="K399" s="1"/>
      <c r="L399" s="62"/>
      <c r="M399" s="63"/>
      <c r="N399" s="63"/>
      <c r="O399" s="15"/>
      <c r="P399" s="15"/>
      <c r="Q399" s="15"/>
      <c r="R399" s="15"/>
      <c r="S399" s="3"/>
      <c r="T399" s="3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89"/>
      <c r="J400" s="1"/>
      <c r="K400" s="1"/>
      <c r="L400" s="62"/>
      <c r="M400" s="63"/>
      <c r="N400" s="63"/>
      <c r="O400" s="15"/>
      <c r="P400" s="15"/>
      <c r="Q400" s="15"/>
      <c r="R400" s="15"/>
      <c r="S400" s="3"/>
      <c r="T400" s="3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89"/>
      <c r="J401" s="1"/>
      <c r="K401" s="1"/>
      <c r="L401" s="62"/>
      <c r="M401" s="63"/>
      <c r="N401" s="63"/>
      <c r="O401" s="15"/>
      <c r="P401" s="15"/>
      <c r="Q401" s="15"/>
      <c r="R401" s="15"/>
      <c r="S401" s="3"/>
      <c r="T401" s="3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89"/>
      <c r="J402" s="1"/>
      <c r="K402" s="1"/>
      <c r="L402" s="62"/>
      <c r="M402" s="63"/>
      <c r="N402" s="63"/>
      <c r="O402" s="15"/>
      <c r="P402" s="15"/>
      <c r="Q402" s="15"/>
      <c r="R402" s="15"/>
      <c r="S402" s="3"/>
      <c r="T402" s="3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89"/>
      <c r="J403" s="1"/>
      <c r="K403" s="1"/>
      <c r="L403" s="62"/>
      <c r="M403" s="63"/>
      <c r="N403" s="63"/>
      <c r="O403" s="15"/>
      <c r="P403" s="15"/>
      <c r="Q403" s="15"/>
      <c r="R403" s="15"/>
      <c r="S403" s="3"/>
      <c r="T403" s="3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89"/>
      <c r="J404" s="1"/>
      <c r="K404" s="1"/>
      <c r="L404" s="62"/>
      <c r="M404" s="63"/>
      <c r="N404" s="63"/>
      <c r="O404" s="15"/>
      <c r="P404" s="15"/>
      <c r="Q404" s="15"/>
      <c r="R404" s="15"/>
      <c r="S404" s="3"/>
      <c r="T404" s="3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89"/>
      <c r="J405" s="1"/>
      <c r="K405" s="1"/>
      <c r="L405" s="62"/>
      <c r="M405" s="63"/>
      <c r="N405" s="63"/>
      <c r="O405" s="15"/>
      <c r="P405" s="15"/>
      <c r="Q405" s="15"/>
      <c r="R405" s="15"/>
      <c r="S405" s="3"/>
      <c r="T405" s="3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89"/>
      <c r="J406" s="1"/>
      <c r="K406" s="1"/>
      <c r="L406" s="62"/>
      <c r="M406" s="63"/>
      <c r="N406" s="63"/>
      <c r="O406" s="15"/>
      <c r="P406" s="15"/>
      <c r="Q406" s="15"/>
      <c r="R406" s="15"/>
      <c r="S406" s="3"/>
      <c r="T406" s="3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89"/>
      <c r="J407" s="1"/>
      <c r="K407" s="1"/>
      <c r="L407" s="62"/>
      <c r="M407" s="63"/>
      <c r="N407" s="63"/>
      <c r="O407" s="15"/>
      <c r="P407" s="15"/>
      <c r="Q407" s="15"/>
      <c r="R407" s="15"/>
      <c r="S407" s="3"/>
      <c r="T407" s="3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89"/>
      <c r="J408" s="1"/>
      <c r="K408" s="1"/>
      <c r="L408" s="62"/>
      <c r="M408" s="63"/>
      <c r="N408" s="63"/>
      <c r="O408" s="15"/>
      <c r="P408" s="15"/>
      <c r="Q408" s="15"/>
      <c r="R408" s="15"/>
      <c r="S408" s="3"/>
      <c r="T408" s="3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89"/>
      <c r="J409" s="1"/>
      <c r="K409" s="1"/>
      <c r="L409" s="62"/>
      <c r="M409" s="63"/>
      <c r="N409" s="63"/>
      <c r="O409" s="15"/>
      <c r="P409" s="15"/>
      <c r="Q409" s="15"/>
      <c r="R409" s="15"/>
      <c r="S409" s="3"/>
      <c r="T409" s="3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89"/>
      <c r="J410" s="1"/>
      <c r="K410" s="1"/>
      <c r="L410" s="62"/>
      <c r="M410" s="63"/>
      <c r="N410" s="63"/>
      <c r="O410" s="15"/>
      <c r="P410" s="15"/>
      <c r="Q410" s="15"/>
      <c r="R410" s="15"/>
      <c r="S410" s="3"/>
      <c r="T410" s="3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89"/>
      <c r="J411" s="1"/>
      <c r="K411" s="1"/>
      <c r="L411" s="62"/>
      <c r="M411" s="63"/>
      <c r="N411" s="63"/>
      <c r="O411" s="15"/>
      <c r="P411" s="15"/>
      <c r="Q411" s="15"/>
      <c r="R411" s="15"/>
      <c r="S411" s="3"/>
      <c r="T411" s="3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89"/>
      <c r="J412" s="1"/>
      <c r="K412" s="1"/>
      <c r="L412" s="62"/>
      <c r="M412" s="63"/>
      <c r="N412" s="63"/>
      <c r="O412" s="15"/>
      <c r="P412" s="15"/>
      <c r="Q412" s="15"/>
      <c r="R412" s="15"/>
      <c r="S412" s="3"/>
      <c r="T412" s="3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89"/>
      <c r="J413" s="1"/>
      <c r="K413" s="1"/>
      <c r="L413" s="62"/>
      <c r="M413" s="63"/>
      <c r="N413" s="63"/>
      <c r="O413" s="15"/>
      <c r="P413" s="15"/>
      <c r="Q413" s="15"/>
      <c r="R413" s="15"/>
      <c r="S413" s="3"/>
      <c r="T413" s="3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89"/>
      <c r="J414" s="1"/>
      <c r="K414" s="1"/>
      <c r="L414" s="62"/>
      <c r="M414" s="63"/>
      <c r="N414" s="63"/>
      <c r="O414" s="15"/>
      <c r="P414" s="15"/>
      <c r="Q414" s="15"/>
      <c r="R414" s="15"/>
      <c r="S414" s="3"/>
      <c r="T414" s="3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89"/>
      <c r="J415" s="1"/>
      <c r="K415" s="1"/>
      <c r="L415" s="62"/>
      <c r="M415" s="63"/>
      <c r="N415" s="63"/>
      <c r="O415" s="15"/>
      <c r="P415" s="15"/>
      <c r="Q415" s="15"/>
      <c r="R415" s="15"/>
      <c r="S415" s="3"/>
      <c r="T415" s="3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89"/>
      <c r="J416" s="1"/>
      <c r="K416" s="1"/>
      <c r="L416" s="62"/>
      <c r="M416" s="63"/>
      <c r="N416" s="63"/>
      <c r="O416" s="15"/>
      <c r="P416" s="15"/>
      <c r="Q416" s="15"/>
      <c r="R416" s="15"/>
      <c r="S416" s="3"/>
      <c r="T416" s="3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89"/>
      <c r="J417" s="1"/>
      <c r="K417" s="1"/>
      <c r="L417" s="62"/>
      <c r="M417" s="63"/>
      <c r="N417" s="63"/>
      <c r="O417" s="15"/>
      <c r="P417" s="15"/>
      <c r="Q417" s="15"/>
      <c r="R417" s="15"/>
      <c r="S417" s="3"/>
      <c r="T417" s="3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89"/>
      <c r="J418" s="1"/>
      <c r="K418" s="1"/>
      <c r="L418" s="62"/>
      <c r="M418" s="63"/>
      <c r="N418" s="63"/>
      <c r="O418" s="15"/>
      <c r="P418" s="15"/>
      <c r="Q418" s="15"/>
      <c r="R418" s="15"/>
      <c r="S418" s="3"/>
      <c r="T418" s="3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89"/>
      <c r="J419" s="1"/>
      <c r="K419" s="1"/>
      <c r="L419" s="62"/>
      <c r="M419" s="63"/>
      <c r="N419" s="63"/>
      <c r="O419" s="15"/>
      <c r="P419" s="15"/>
      <c r="Q419" s="15"/>
      <c r="R419" s="15"/>
      <c r="S419" s="3"/>
      <c r="T419" s="3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89"/>
      <c r="J420" s="1"/>
      <c r="K420" s="1"/>
      <c r="L420" s="62"/>
      <c r="M420" s="63"/>
      <c r="N420" s="63"/>
      <c r="O420" s="15"/>
      <c r="P420" s="15"/>
      <c r="Q420" s="15"/>
      <c r="R420" s="15"/>
      <c r="S420" s="3"/>
      <c r="T420" s="3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89"/>
      <c r="J421" s="1"/>
      <c r="K421" s="1"/>
      <c r="L421" s="62"/>
      <c r="M421" s="63"/>
      <c r="N421" s="63"/>
      <c r="O421" s="15"/>
      <c r="P421" s="15"/>
      <c r="Q421" s="15"/>
      <c r="R421" s="15"/>
      <c r="S421" s="3"/>
      <c r="T421" s="3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89"/>
      <c r="J422" s="1"/>
      <c r="K422" s="1"/>
      <c r="L422" s="62"/>
      <c r="M422" s="63"/>
      <c r="N422" s="63"/>
      <c r="O422" s="15"/>
      <c r="P422" s="15"/>
      <c r="Q422" s="15"/>
      <c r="R422" s="15"/>
      <c r="S422" s="3"/>
      <c r="T422" s="3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89"/>
      <c r="J423" s="1"/>
      <c r="K423" s="1"/>
      <c r="L423" s="62"/>
      <c r="M423" s="63"/>
      <c r="N423" s="63"/>
      <c r="O423" s="15"/>
      <c r="P423" s="15"/>
      <c r="Q423" s="15"/>
      <c r="R423" s="15"/>
      <c r="S423" s="3"/>
      <c r="T423" s="3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89"/>
      <c r="J424" s="1"/>
      <c r="K424" s="1"/>
      <c r="L424" s="62"/>
      <c r="M424" s="63"/>
      <c r="N424" s="63"/>
      <c r="O424" s="15"/>
      <c r="P424" s="15"/>
      <c r="Q424" s="15"/>
      <c r="R424" s="15"/>
      <c r="S424" s="3"/>
      <c r="T424" s="3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89"/>
      <c r="J425" s="1"/>
      <c r="K425" s="1"/>
      <c r="L425" s="62"/>
      <c r="M425" s="63"/>
      <c r="N425" s="63"/>
      <c r="O425" s="15"/>
      <c r="P425" s="15"/>
      <c r="Q425" s="15"/>
      <c r="R425" s="15"/>
      <c r="S425" s="3"/>
      <c r="T425" s="3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89"/>
      <c r="J426" s="1"/>
      <c r="K426" s="1"/>
      <c r="L426" s="62"/>
      <c r="M426" s="63"/>
      <c r="N426" s="63"/>
      <c r="O426" s="15"/>
      <c r="P426" s="15"/>
      <c r="Q426" s="15"/>
      <c r="R426" s="15"/>
      <c r="S426" s="3"/>
      <c r="T426" s="3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89"/>
      <c r="J427" s="1"/>
      <c r="K427" s="1"/>
      <c r="L427" s="62"/>
      <c r="M427" s="63"/>
      <c r="N427" s="63"/>
      <c r="O427" s="15"/>
      <c r="P427" s="15"/>
      <c r="Q427" s="15"/>
      <c r="R427" s="15"/>
      <c r="S427" s="3"/>
      <c r="T427" s="3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89"/>
      <c r="J428" s="1"/>
      <c r="K428" s="1"/>
      <c r="L428" s="62"/>
      <c r="M428" s="63"/>
      <c r="N428" s="63"/>
      <c r="O428" s="15"/>
      <c r="P428" s="15"/>
      <c r="Q428" s="15"/>
      <c r="R428" s="15"/>
      <c r="S428" s="3"/>
      <c r="T428" s="3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89"/>
      <c r="J429" s="1"/>
      <c r="K429" s="1"/>
      <c r="L429" s="62"/>
      <c r="M429" s="63"/>
      <c r="N429" s="63"/>
      <c r="O429" s="15"/>
      <c r="P429" s="15"/>
      <c r="Q429" s="15"/>
      <c r="R429" s="15"/>
      <c r="S429" s="3"/>
      <c r="T429" s="3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89"/>
      <c r="J430" s="1"/>
      <c r="K430" s="1"/>
      <c r="L430" s="62"/>
      <c r="M430" s="63"/>
      <c r="N430" s="63"/>
      <c r="O430" s="15"/>
      <c r="P430" s="15"/>
      <c r="Q430" s="15"/>
      <c r="R430" s="15"/>
      <c r="S430" s="3"/>
      <c r="T430" s="3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89"/>
      <c r="J431" s="1"/>
      <c r="K431" s="1"/>
      <c r="L431" s="62"/>
      <c r="M431" s="63"/>
      <c r="N431" s="63"/>
      <c r="O431" s="15"/>
      <c r="P431" s="15"/>
      <c r="Q431" s="15"/>
      <c r="R431" s="15"/>
      <c r="S431" s="3"/>
      <c r="T431" s="3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89"/>
      <c r="J432" s="1"/>
      <c r="K432" s="1"/>
      <c r="L432" s="62"/>
      <c r="M432" s="63"/>
      <c r="N432" s="63"/>
      <c r="O432" s="15"/>
      <c r="P432" s="15"/>
      <c r="Q432" s="15"/>
      <c r="R432" s="15"/>
      <c r="S432" s="3"/>
      <c r="T432" s="3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89"/>
      <c r="J433" s="1"/>
      <c r="K433" s="1"/>
      <c r="L433" s="62"/>
      <c r="M433" s="63"/>
      <c r="N433" s="63"/>
      <c r="O433" s="15"/>
      <c r="P433" s="15"/>
      <c r="Q433" s="15"/>
      <c r="R433" s="15"/>
      <c r="S433" s="3"/>
      <c r="T433" s="3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89"/>
      <c r="J434" s="1"/>
      <c r="K434" s="1"/>
      <c r="L434" s="62"/>
      <c r="M434" s="63"/>
      <c r="N434" s="63"/>
      <c r="O434" s="15"/>
      <c r="P434" s="15"/>
      <c r="Q434" s="15"/>
      <c r="R434" s="15"/>
      <c r="S434" s="3"/>
      <c r="T434" s="3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89"/>
      <c r="J435" s="1"/>
      <c r="K435" s="1"/>
      <c r="L435" s="62"/>
      <c r="M435" s="63"/>
      <c r="N435" s="63"/>
      <c r="O435" s="15"/>
      <c r="P435" s="15"/>
      <c r="Q435" s="15"/>
      <c r="R435" s="15"/>
      <c r="S435" s="3"/>
      <c r="T435" s="3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89"/>
      <c r="J436" s="1"/>
      <c r="K436" s="1"/>
      <c r="L436" s="62"/>
      <c r="M436" s="63"/>
      <c r="N436" s="63"/>
      <c r="O436" s="15"/>
      <c r="P436" s="15"/>
      <c r="Q436" s="15"/>
      <c r="R436" s="15"/>
      <c r="S436" s="3"/>
      <c r="T436" s="3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89"/>
      <c r="J437" s="1"/>
      <c r="K437" s="1"/>
      <c r="L437" s="62"/>
      <c r="M437" s="63"/>
      <c r="N437" s="63"/>
      <c r="O437" s="15"/>
      <c r="P437" s="15"/>
      <c r="Q437" s="15"/>
      <c r="R437" s="15"/>
      <c r="S437" s="3"/>
      <c r="T437" s="3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89"/>
      <c r="J438" s="1"/>
      <c r="K438" s="1"/>
      <c r="L438" s="62"/>
      <c r="M438" s="63"/>
      <c r="N438" s="63"/>
      <c r="O438" s="15"/>
      <c r="P438" s="15"/>
      <c r="Q438" s="15"/>
      <c r="R438" s="15"/>
      <c r="S438" s="3"/>
      <c r="T438" s="3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89"/>
      <c r="J439" s="1"/>
      <c r="K439" s="1"/>
      <c r="L439" s="62"/>
      <c r="M439" s="63"/>
      <c r="N439" s="63"/>
      <c r="O439" s="15"/>
      <c r="P439" s="15"/>
      <c r="Q439" s="15"/>
      <c r="R439" s="15"/>
      <c r="S439" s="3"/>
      <c r="T439" s="3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89"/>
      <c r="J440" s="1"/>
      <c r="K440" s="1"/>
      <c r="L440" s="62"/>
      <c r="M440" s="63"/>
      <c r="N440" s="63"/>
      <c r="O440" s="15"/>
      <c r="P440" s="15"/>
      <c r="Q440" s="15"/>
      <c r="R440" s="15"/>
      <c r="S440" s="3"/>
      <c r="T440" s="3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89"/>
      <c r="J441" s="1"/>
      <c r="K441" s="1"/>
      <c r="L441" s="62"/>
      <c r="M441" s="63"/>
      <c r="N441" s="63"/>
      <c r="O441" s="15"/>
      <c r="P441" s="15"/>
      <c r="Q441" s="15"/>
      <c r="R441" s="15"/>
      <c r="S441" s="3"/>
      <c r="T441" s="3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89"/>
      <c r="J442" s="1"/>
      <c r="K442" s="1"/>
      <c r="L442" s="62"/>
      <c r="M442" s="63"/>
      <c r="N442" s="63"/>
      <c r="O442" s="15"/>
      <c r="P442" s="15"/>
      <c r="Q442" s="15"/>
      <c r="R442" s="15"/>
      <c r="S442" s="3"/>
      <c r="T442" s="3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89"/>
      <c r="J443" s="1"/>
      <c r="K443" s="1"/>
      <c r="L443" s="62"/>
      <c r="M443" s="63"/>
      <c r="N443" s="63"/>
      <c r="O443" s="15"/>
      <c r="P443" s="15"/>
      <c r="Q443" s="15"/>
      <c r="R443" s="15"/>
      <c r="S443" s="3"/>
      <c r="T443" s="3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89"/>
      <c r="J444" s="1"/>
      <c r="K444" s="1"/>
      <c r="L444" s="62"/>
      <c r="M444" s="63"/>
      <c r="N444" s="63"/>
      <c r="O444" s="15"/>
      <c r="P444" s="15"/>
      <c r="Q444" s="15"/>
      <c r="R444" s="15"/>
      <c r="S444" s="3"/>
      <c r="T444" s="3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89"/>
      <c r="J445" s="1"/>
      <c r="K445" s="1"/>
      <c r="L445" s="62"/>
      <c r="M445" s="63"/>
      <c r="N445" s="63"/>
      <c r="O445" s="15"/>
      <c r="P445" s="15"/>
      <c r="Q445" s="15"/>
      <c r="R445" s="15"/>
      <c r="S445" s="3"/>
      <c r="T445" s="3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89"/>
      <c r="J446" s="1"/>
      <c r="K446" s="1"/>
      <c r="L446" s="62"/>
      <c r="M446" s="63"/>
      <c r="N446" s="63"/>
      <c r="O446" s="15"/>
      <c r="P446" s="15"/>
      <c r="Q446" s="15"/>
      <c r="R446" s="15"/>
      <c r="S446" s="3"/>
      <c r="T446" s="3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89"/>
      <c r="J447" s="1"/>
      <c r="K447" s="1"/>
      <c r="L447" s="62"/>
      <c r="M447" s="63"/>
      <c r="N447" s="63"/>
      <c r="O447" s="15"/>
      <c r="P447" s="15"/>
      <c r="Q447" s="15"/>
      <c r="R447" s="15"/>
      <c r="S447" s="3"/>
      <c r="T447" s="3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89"/>
      <c r="J448" s="1"/>
      <c r="K448" s="1"/>
      <c r="L448" s="62"/>
      <c r="M448" s="63"/>
      <c r="N448" s="63"/>
      <c r="O448" s="15"/>
      <c r="P448" s="15"/>
      <c r="Q448" s="15"/>
      <c r="R448" s="15"/>
      <c r="S448" s="3"/>
      <c r="T448" s="3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89"/>
      <c r="J449" s="1"/>
      <c r="K449" s="1"/>
      <c r="L449" s="62"/>
      <c r="M449" s="63"/>
      <c r="N449" s="63"/>
      <c r="O449" s="15"/>
      <c r="P449" s="15"/>
      <c r="Q449" s="15"/>
      <c r="R449" s="15"/>
      <c r="S449" s="3"/>
      <c r="T449" s="3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89"/>
      <c r="J450" s="1"/>
      <c r="K450" s="1"/>
      <c r="L450" s="62"/>
      <c r="M450" s="63"/>
      <c r="N450" s="63"/>
      <c r="O450" s="15"/>
      <c r="P450" s="15"/>
      <c r="Q450" s="15"/>
      <c r="R450" s="15"/>
      <c r="S450" s="3"/>
      <c r="T450" s="3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89"/>
      <c r="J451" s="1"/>
      <c r="K451" s="1"/>
      <c r="L451" s="62"/>
      <c r="M451" s="63"/>
      <c r="N451" s="63"/>
      <c r="O451" s="15"/>
      <c r="P451" s="15"/>
      <c r="Q451" s="15"/>
      <c r="R451" s="15"/>
      <c r="S451" s="3"/>
      <c r="T451" s="3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89"/>
      <c r="J452" s="1"/>
      <c r="K452" s="1"/>
      <c r="L452" s="62"/>
      <c r="M452" s="63"/>
      <c r="N452" s="63"/>
      <c r="O452" s="15"/>
      <c r="P452" s="15"/>
      <c r="Q452" s="15"/>
      <c r="R452" s="15"/>
      <c r="S452" s="3"/>
      <c r="T452" s="3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89"/>
      <c r="J453" s="1"/>
      <c r="K453" s="1"/>
      <c r="L453" s="62"/>
      <c r="M453" s="63"/>
      <c r="N453" s="63"/>
      <c r="O453" s="15"/>
      <c r="P453" s="15"/>
      <c r="Q453" s="15"/>
      <c r="R453" s="15"/>
      <c r="S453" s="3"/>
      <c r="T453" s="3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89"/>
      <c r="J454" s="1"/>
      <c r="K454" s="1"/>
      <c r="L454" s="62"/>
      <c r="M454" s="63"/>
      <c r="N454" s="63"/>
      <c r="O454" s="15"/>
      <c r="P454" s="15"/>
      <c r="Q454" s="15"/>
      <c r="R454" s="15"/>
      <c r="S454" s="3"/>
      <c r="T454" s="3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89"/>
      <c r="J455" s="1"/>
      <c r="K455" s="1"/>
      <c r="L455" s="62"/>
      <c r="M455" s="63"/>
      <c r="N455" s="63"/>
      <c r="O455" s="15"/>
      <c r="P455" s="15"/>
      <c r="Q455" s="15"/>
      <c r="R455" s="15"/>
      <c r="S455" s="3"/>
      <c r="T455" s="3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89"/>
      <c r="J456" s="1"/>
      <c r="K456" s="1"/>
      <c r="L456" s="62"/>
      <c r="M456" s="63"/>
      <c r="N456" s="63"/>
      <c r="O456" s="15"/>
      <c r="P456" s="15"/>
      <c r="Q456" s="15"/>
      <c r="R456" s="15"/>
      <c r="S456" s="3"/>
      <c r="T456" s="3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89"/>
      <c r="J457" s="1"/>
      <c r="K457" s="1"/>
      <c r="L457" s="62"/>
      <c r="M457" s="63"/>
      <c r="N457" s="63"/>
      <c r="O457" s="15"/>
      <c r="P457" s="15"/>
      <c r="Q457" s="15"/>
      <c r="R457" s="15"/>
      <c r="S457" s="3"/>
      <c r="T457" s="3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89"/>
      <c r="J458" s="1"/>
      <c r="K458" s="1"/>
      <c r="L458" s="62"/>
      <c r="M458" s="63"/>
      <c r="N458" s="63"/>
      <c r="O458" s="15"/>
      <c r="P458" s="15"/>
      <c r="Q458" s="15"/>
      <c r="R458" s="15"/>
      <c r="S458" s="3"/>
      <c r="T458" s="3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89"/>
      <c r="J459" s="1"/>
      <c r="K459" s="1"/>
      <c r="L459" s="62"/>
      <c r="M459" s="63"/>
      <c r="N459" s="63"/>
      <c r="O459" s="15"/>
      <c r="P459" s="15"/>
      <c r="Q459" s="15"/>
      <c r="R459" s="15"/>
      <c r="S459" s="3"/>
      <c r="T459" s="3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89"/>
      <c r="J460" s="1"/>
      <c r="K460" s="1"/>
      <c r="L460" s="62"/>
      <c r="M460" s="63"/>
      <c r="N460" s="63"/>
      <c r="O460" s="15"/>
      <c r="P460" s="15"/>
      <c r="Q460" s="15"/>
      <c r="R460" s="15"/>
      <c r="S460" s="3"/>
      <c r="T460" s="3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89"/>
      <c r="J461" s="1"/>
      <c r="K461" s="1"/>
      <c r="L461" s="62"/>
      <c r="M461" s="63"/>
      <c r="N461" s="63"/>
      <c r="O461" s="15"/>
      <c r="P461" s="15"/>
      <c r="Q461" s="15"/>
      <c r="R461" s="15"/>
      <c r="S461" s="3"/>
      <c r="T461" s="3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89"/>
      <c r="J462" s="1"/>
      <c r="K462" s="1"/>
      <c r="L462" s="62"/>
      <c r="M462" s="63"/>
      <c r="N462" s="63"/>
      <c r="O462" s="15"/>
      <c r="P462" s="15"/>
      <c r="Q462" s="15"/>
      <c r="R462" s="15"/>
      <c r="S462" s="3"/>
      <c r="T462" s="3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89"/>
      <c r="J463" s="1"/>
      <c r="K463" s="1"/>
      <c r="L463" s="62"/>
      <c r="M463" s="63"/>
      <c r="N463" s="63"/>
      <c r="O463" s="15"/>
      <c r="P463" s="15"/>
      <c r="Q463" s="15"/>
      <c r="R463" s="15"/>
      <c r="S463" s="3"/>
      <c r="T463" s="3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89"/>
      <c r="J464" s="1"/>
      <c r="K464" s="1"/>
      <c r="L464" s="62"/>
      <c r="M464" s="63"/>
      <c r="N464" s="63"/>
      <c r="O464" s="15"/>
      <c r="P464" s="15"/>
      <c r="Q464" s="15"/>
      <c r="R464" s="15"/>
      <c r="S464" s="3"/>
      <c r="T464" s="3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89"/>
      <c r="J465" s="1"/>
      <c r="K465" s="1"/>
      <c r="L465" s="62"/>
      <c r="M465" s="63"/>
      <c r="N465" s="63"/>
      <c r="O465" s="15"/>
      <c r="P465" s="15"/>
      <c r="Q465" s="15"/>
      <c r="R465" s="15"/>
      <c r="S465" s="3"/>
      <c r="T465" s="3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89"/>
      <c r="J466" s="1"/>
      <c r="K466" s="1"/>
      <c r="L466" s="62"/>
      <c r="M466" s="63"/>
      <c r="N466" s="63"/>
      <c r="O466" s="15"/>
      <c r="P466" s="15"/>
      <c r="Q466" s="15"/>
      <c r="R466" s="15"/>
      <c r="S466" s="3"/>
      <c r="T466" s="3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89"/>
      <c r="J467" s="1"/>
      <c r="K467" s="1"/>
      <c r="L467" s="62"/>
      <c r="M467" s="63"/>
      <c r="N467" s="63"/>
      <c r="O467" s="15"/>
      <c r="P467" s="15"/>
      <c r="Q467" s="15"/>
      <c r="R467" s="15"/>
      <c r="S467" s="3"/>
      <c r="T467" s="3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89"/>
      <c r="J468" s="1"/>
      <c r="K468" s="1"/>
      <c r="L468" s="62"/>
      <c r="M468" s="63"/>
      <c r="N468" s="63"/>
      <c r="O468" s="15"/>
      <c r="P468" s="15"/>
      <c r="Q468" s="15"/>
      <c r="R468" s="15"/>
      <c r="S468" s="3"/>
      <c r="T468" s="3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89"/>
      <c r="J469" s="1"/>
      <c r="K469" s="1"/>
      <c r="L469" s="62"/>
      <c r="M469" s="63"/>
      <c r="N469" s="63"/>
      <c r="O469" s="15"/>
      <c r="P469" s="15"/>
      <c r="Q469" s="15"/>
      <c r="R469" s="15"/>
      <c r="S469" s="3"/>
      <c r="T469" s="3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89"/>
      <c r="J470" s="1"/>
      <c r="K470" s="1"/>
      <c r="L470" s="62"/>
      <c r="M470" s="63"/>
      <c r="N470" s="63"/>
      <c r="O470" s="15"/>
      <c r="P470" s="15"/>
      <c r="Q470" s="15"/>
      <c r="R470" s="15"/>
      <c r="S470" s="3"/>
      <c r="T470" s="3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89"/>
      <c r="J471" s="1"/>
      <c r="K471" s="1"/>
      <c r="L471" s="62"/>
      <c r="M471" s="63"/>
      <c r="N471" s="63"/>
      <c r="O471" s="15"/>
      <c r="P471" s="15"/>
      <c r="Q471" s="15"/>
      <c r="R471" s="15"/>
      <c r="S471" s="3"/>
      <c r="T471" s="3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89"/>
      <c r="J472" s="1"/>
      <c r="K472" s="1"/>
      <c r="L472" s="62"/>
      <c r="M472" s="63"/>
      <c r="N472" s="63"/>
      <c r="O472" s="15"/>
      <c r="P472" s="15"/>
      <c r="Q472" s="15"/>
      <c r="R472" s="15"/>
      <c r="S472" s="3"/>
      <c r="T472" s="3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89"/>
      <c r="J473" s="1"/>
      <c r="K473" s="1"/>
      <c r="L473" s="62"/>
      <c r="M473" s="63"/>
      <c r="N473" s="63"/>
      <c r="O473" s="15"/>
      <c r="P473" s="15"/>
      <c r="Q473" s="15"/>
      <c r="R473" s="15"/>
      <c r="S473" s="3"/>
      <c r="T473" s="3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89"/>
      <c r="J474" s="1"/>
      <c r="K474" s="1"/>
      <c r="L474" s="62"/>
      <c r="M474" s="63"/>
      <c r="N474" s="63"/>
      <c r="O474" s="15"/>
      <c r="P474" s="15"/>
      <c r="Q474" s="15"/>
      <c r="R474" s="15"/>
      <c r="S474" s="3"/>
      <c r="T474" s="3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89"/>
      <c r="J475" s="1"/>
      <c r="K475" s="1"/>
      <c r="L475" s="62"/>
      <c r="M475" s="63"/>
      <c r="N475" s="63"/>
      <c r="O475" s="15"/>
      <c r="P475" s="15"/>
      <c r="Q475" s="15"/>
      <c r="R475" s="15"/>
      <c r="S475" s="3"/>
      <c r="T475" s="3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89"/>
      <c r="J476" s="1"/>
      <c r="K476" s="1"/>
      <c r="L476" s="62"/>
      <c r="M476" s="63"/>
      <c r="N476" s="63"/>
      <c r="O476" s="15"/>
      <c r="P476" s="15"/>
      <c r="Q476" s="15"/>
      <c r="R476" s="15"/>
      <c r="S476" s="3"/>
      <c r="T476" s="3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89"/>
      <c r="J477" s="1"/>
      <c r="K477" s="1"/>
      <c r="L477" s="62"/>
      <c r="M477" s="63"/>
      <c r="N477" s="63"/>
      <c r="O477" s="15"/>
      <c r="P477" s="15"/>
      <c r="Q477" s="15"/>
      <c r="R477" s="15"/>
      <c r="S477" s="3"/>
      <c r="T477" s="3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89"/>
      <c r="J478" s="1"/>
      <c r="K478" s="1"/>
      <c r="L478" s="62"/>
      <c r="M478" s="63"/>
      <c r="N478" s="63"/>
      <c r="O478" s="15"/>
      <c r="P478" s="15"/>
      <c r="Q478" s="15"/>
      <c r="R478" s="15"/>
      <c r="S478" s="3"/>
      <c r="T478" s="3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89"/>
      <c r="J479" s="1"/>
      <c r="K479" s="1"/>
      <c r="L479" s="62"/>
      <c r="M479" s="63"/>
      <c r="N479" s="63"/>
      <c r="O479" s="15"/>
      <c r="P479" s="15"/>
      <c r="Q479" s="15"/>
      <c r="R479" s="15"/>
      <c r="S479" s="3"/>
      <c r="T479" s="3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89"/>
      <c r="J480" s="1"/>
      <c r="K480" s="1"/>
      <c r="L480" s="62"/>
      <c r="M480" s="63"/>
      <c r="N480" s="63"/>
      <c r="O480" s="15"/>
      <c r="P480" s="15"/>
      <c r="Q480" s="15"/>
      <c r="R480" s="15"/>
      <c r="S480" s="3"/>
      <c r="T480" s="3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89"/>
      <c r="J481" s="1"/>
      <c r="K481" s="1"/>
      <c r="L481" s="62"/>
      <c r="M481" s="63"/>
      <c r="N481" s="63"/>
      <c r="O481" s="15"/>
      <c r="P481" s="15"/>
      <c r="Q481" s="15"/>
      <c r="R481" s="15"/>
      <c r="S481" s="3"/>
      <c r="T481" s="3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89"/>
      <c r="J482" s="1"/>
      <c r="K482" s="1"/>
      <c r="L482" s="62"/>
      <c r="M482" s="63"/>
      <c r="N482" s="63"/>
      <c r="O482" s="15"/>
      <c r="P482" s="15"/>
      <c r="Q482" s="15"/>
      <c r="R482" s="15"/>
      <c r="S482" s="3"/>
      <c r="T482" s="3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89"/>
      <c r="J483" s="1"/>
      <c r="K483" s="1"/>
      <c r="L483" s="62"/>
      <c r="M483" s="63"/>
      <c r="N483" s="63"/>
      <c r="O483" s="15"/>
      <c r="P483" s="15"/>
      <c r="Q483" s="15"/>
      <c r="R483" s="15"/>
      <c r="S483" s="3"/>
      <c r="T483" s="3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89"/>
      <c r="J484" s="1"/>
      <c r="K484" s="1"/>
      <c r="L484" s="62"/>
      <c r="M484" s="63"/>
      <c r="N484" s="63"/>
      <c r="O484" s="15"/>
      <c r="P484" s="15"/>
      <c r="Q484" s="15"/>
      <c r="R484" s="15"/>
      <c r="S484" s="3"/>
      <c r="T484" s="3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89"/>
      <c r="J485" s="1"/>
      <c r="K485" s="1"/>
      <c r="L485" s="62"/>
      <c r="M485" s="63"/>
      <c r="N485" s="63"/>
      <c r="O485" s="15"/>
      <c r="P485" s="15"/>
      <c r="Q485" s="15"/>
      <c r="R485" s="15"/>
      <c r="S485" s="3"/>
      <c r="T485" s="3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89"/>
      <c r="J486" s="1"/>
      <c r="K486" s="1"/>
      <c r="L486" s="62"/>
      <c r="M486" s="63"/>
      <c r="N486" s="63"/>
      <c r="O486" s="15"/>
      <c r="P486" s="15"/>
      <c r="Q486" s="15"/>
      <c r="R486" s="15"/>
      <c r="S486" s="3"/>
      <c r="T486" s="3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89"/>
      <c r="J487" s="1"/>
      <c r="K487" s="1"/>
      <c r="L487" s="62"/>
      <c r="M487" s="63"/>
      <c r="N487" s="63"/>
      <c r="O487" s="15"/>
      <c r="P487" s="15"/>
      <c r="Q487" s="15"/>
      <c r="R487" s="15"/>
      <c r="S487" s="3"/>
      <c r="T487" s="3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89"/>
      <c r="J488" s="1"/>
      <c r="K488" s="1"/>
      <c r="L488" s="62"/>
      <c r="M488" s="63"/>
      <c r="N488" s="63"/>
      <c r="O488" s="15"/>
      <c r="P488" s="15"/>
      <c r="Q488" s="15"/>
      <c r="R488" s="15"/>
      <c r="S488" s="3"/>
      <c r="T488" s="3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89"/>
      <c r="J489" s="1"/>
      <c r="K489" s="1"/>
      <c r="L489" s="62"/>
      <c r="M489" s="63"/>
      <c r="N489" s="63"/>
      <c r="O489" s="15"/>
      <c r="P489" s="15"/>
      <c r="Q489" s="15"/>
      <c r="R489" s="15"/>
      <c r="S489" s="3"/>
      <c r="T489" s="3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89"/>
      <c r="J490" s="1"/>
      <c r="K490" s="1"/>
      <c r="L490" s="62"/>
      <c r="M490" s="63"/>
      <c r="N490" s="63"/>
      <c r="O490" s="15"/>
      <c r="P490" s="15"/>
      <c r="Q490" s="15"/>
      <c r="R490" s="15"/>
      <c r="S490" s="3"/>
      <c r="T490" s="3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89"/>
      <c r="J491" s="1"/>
      <c r="K491" s="1"/>
      <c r="L491" s="62"/>
      <c r="M491" s="63"/>
      <c r="N491" s="63"/>
      <c r="O491" s="15"/>
      <c r="P491" s="15"/>
      <c r="Q491" s="15"/>
      <c r="R491" s="15"/>
      <c r="S491" s="3"/>
      <c r="T491" s="3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89"/>
      <c r="J492" s="1"/>
      <c r="K492" s="1"/>
      <c r="L492" s="62"/>
      <c r="M492" s="63"/>
      <c r="N492" s="63"/>
      <c r="O492" s="15"/>
      <c r="P492" s="15"/>
      <c r="Q492" s="15"/>
      <c r="R492" s="15"/>
      <c r="S492" s="3"/>
      <c r="T492" s="3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89"/>
      <c r="J493" s="1"/>
      <c r="K493" s="1"/>
      <c r="L493" s="62"/>
      <c r="M493" s="63"/>
      <c r="N493" s="63"/>
      <c r="O493" s="15"/>
      <c r="P493" s="15"/>
      <c r="Q493" s="15"/>
      <c r="R493" s="15"/>
      <c r="S493" s="3"/>
      <c r="T493" s="3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89"/>
      <c r="J494" s="1"/>
      <c r="K494" s="1"/>
      <c r="L494" s="62"/>
      <c r="M494" s="63"/>
      <c r="N494" s="63"/>
      <c r="O494" s="15"/>
      <c r="P494" s="15"/>
      <c r="Q494" s="15"/>
      <c r="R494" s="15"/>
      <c r="S494" s="3"/>
      <c r="T494" s="3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89"/>
      <c r="J495" s="1"/>
      <c r="K495" s="1"/>
      <c r="L495" s="62"/>
      <c r="M495" s="63"/>
      <c r="N495" s="63"/>
      <c r="O495" s="15"/>
      <c r="P495" s="15"/>
      <c r="Q495" s="15"/>
      <c r="R495" s="15"/>
      <c r="S495" s="3"/>
      <c r="T495" s="3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89"/>
      <c r="J496" s="1"/>
      <c r="K496" s="1"/>
      <c r="L496" s="62"/>
      <c r="M496" s="63"/>
      <c r="N496" s="63"/>
      <c r="O496" s="15"/>
      <c r="P496" s="15"/>
      <c r="Q496" s="15"/>
      <c r="R496" s="15"/>
      <c r="S496" s="3"/>
      <c r="T496" s="3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89"/>
      <c r="J497" s="1"/>
      <c r="K497" s="1"/>
      <c r="L497" s="62"/>
      <c r="M497" s="63"/>
      <c r="N497" s="63"/>
      <c r="O497" s="15"/>
      <c r="P497" s="15"/>
      <c r="Q497" s="15"/>
      <c r="R497" s="15"/>
      <c r="S497" s="3"/>
      <c r="T497" s="3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89"/>
      <c r="J498" s="1"/>
      <c r="K498" s="1"/>
      <c r="L498" s="62"/>
      <c r="M498" s="63"/>
      <c r="N498" s="63"/>
      <c r="O498" s="15"/>
      <c r="P498" s="15"/>
      <c r="Q498" s="15"/>
      <c r="R498" s="15"/>
      <c r="S498" s="3"/>
      <c r="T498" s="3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89"/>
      <c r="J499" s="1"/>
      <c r="K499" s="1"/>
      <c r="L499" s="62"/>
      <c r="M499" s="63"/>
      <c r="N499" s="63"/>
      <c r="O499" s="15"/>
      <c r="P499" s="15"/>
      <c r="Q499" s="15"/>
      <c r="R499" s="15"/>
      <c r="S499" s="3"/>
      <c r="T499" s="3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89"/>
      <c r="J500" s="1"/>
      <c r="K500" s="1"/>
      <c r="L500" s="62"/>
      <c r="M500" s="63"/>
      <c r="N500" s="63"/>
      <c r="O500" s="15"/>
      <c r="P500" s="15"/>
      <c r="Q500" s="15"/>
      <c r="R500" s="15"/>
      <c r="S500" s="3"/>
      <c r="T500" s="3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89"/>
      <c r="J501" s="1"/>
      <c r="K501" s="1"/>
      <c r="L501" s="62"/>
      <c r="M501" s="63"/>
      <c r="N501" s="63"/>
      <c r="O501" s="15"/>
      <c r="P501" s="15"/>
      <c r="Q501" s="15"/>
      <c r="R501" s="15"/>
      <c r="S501" s="3"/>
      <c r="T501" s="3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89"/>
      <c r="J502" s="1"/>
      <c r="K502" s="1"/>
      <c r="L502" s="62"/>
      <c r="M502" s="63"/>
      <c r="N502" s="63"/>
      <c r="O502" s="15"/>
      <c r="P502" s="15"/>
      <c r="Q502" s="15"/>
      <c r="R502" s="15"/>
      <c r="S502" s="3"/>
      <c r="T502" s="3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89"/>
      <c r="J503" s="1"/>
      <c r="K503" s="1"/>
      <c r="L503" s="62"/>
      <c r="M503" s="63"/>
      <c r="N503" s="63"/>
      <c r="O503" s="15"/>
      <c r="P503" s="15"/>
      <c r="Q503" s="15"/>
      <c r="R503" s="15"/>
      <c r="S503" s="3"/>
      <c r="T503" s="3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89"/>
      <c r="J504" s="1"/>
      <c r="K504" s="1"/>
      <c r="L504" s="62"/>
      <c r="M504" s="63"/>
      <c r="N504" s="63"/>
      <c r="O504" s="15"/>
      <c r="P504" s="15"/>
      <c r="Q504" s="15"/>
      <c r="R504" s="15"/>
      <c r="S504" s="3"/>
      <c r="T504" s="3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89"/>
      <c r="J505" s="1"/>
      <c r="K505" s="1"/>
      <c r="L505" s="62"/>
      <c r="M505" s="63"/>
      <c r="N505" s="63"/>
      <c r="O505" s="15"/>
      <c r="P505" s="15"/>
      <c r="Q505" s="15"/>
      <c r="R505" s="15"/>
      <c r="S505" s="3"/>
      <c r="T505" s="3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89"/>
      <c r="J506" s="1"/>
      <c r="K506" s="1"/>
      <c r="L506" s="62"/>
      <c r="M506" s="63"/>
      <c r="N506" s="63"/>
      <c r="O506" s="15"/>
      <c r="P506" s="15"/>
      <c r="Q506" s="15"/>
      <c r="R506" s="15"/>
      <c r="S506" s="3"/>
      <c r="T506" s="3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89"/>
      <c r="J507" s="1"/>
      <c r="K507" s="1"/>
      <c r="L507" s="62"/>
      <c r="M507" s="63"/>
      <c r="N507" s="63"/>
      <c r="O507" s="15"/>
      <c r="P507" s="15"/>
      <c r="Q507" s="15"/>
      <c r="R507" s="15"/>
      <c r="S507" s="3"/>
      <c r="T507" s="3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89"/>
      <c r="J508" s="1"/>
      <c r="K508" s="1"/>
      <c r="L508" s="62"/>
      <c r="M508" s="63"/>
      <c r="N508" s="63"/>
      <c r="O508" s="15"/>
      <c r="P508" s="15"/>
      <c r="Q508" s="15"/>
      <c r="R508" s="15"/>
      <c r="S508" s="3"/>
      <c r="T508" s="3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89"/>
      <c r="J509" s="1"/>
      <c r="K509" s="1"/>
      <c r="L509" s="62"/>
      <c r="M509" s="63"/>
      <c r="N509" s="63"/>
      <c r="O509" s="15"/>
      <c r="P509" s="15"/>
      <c r="Q509" s="15"/>
      <c r="R509" s="15"/>
      <c r="S509" s="3"/>
      <c r="T509" s="3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89"/>
      <c r="J510" s="1"/>
      <c r="K510" s="1"/>
      <c r="L510" s="62"/>
      <c r="M510" s="63"/>
      <c r="N510" s="63"/>
      <c r="O510" s="15"/>
      <c r="P510" s="15"/>
      <c r="Q510" s="15"/>
      <c r="R510" s="15"/>
      <c r="S510" s="3"/>
      <c r="T510" s="3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89"/>
      <c r="J511" s="1"/>
      <c r="K511" s="1"/>
      <c r="L511" s="62"/>
      <c r="M511" s="63"/>
      <c r="N511" s="63"/>
      <c r="O511" s="15"/>
      <c r="P511" s="15"/>
      <c r="Q511" s="15"/>
      <c r="R511" s="15"/>
      <c r="S511" s="3"/>
      <c r="T511" s="3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89"/>
      <c r="J512" s="1"/>
      <c r="K512" s="1"/>
      <c r="L512" s="62"/>
      <c r="M512" s="63"/>
      <c r="N512" s="63"/>
      <c r="O512" s="15"/>
      <c r="P512" s="15"/>
      <c r="Q512" s="15"/>
      <c r="R512" s="15"/>
      <c r="S512" s="3"/>
      <c r="T512" s="3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89"/>
      <c r="J513" s="1"/>
      <c r="K513" s="1"/>
      <c r="L513" s="62"/>
      <c r="M513" s="63"/>
      <c r="N513" s="63"/>
      <c r="O513" s="15"/>
      <c r="P513" s="15"/>
      <c r="Q513" s="15"/>
      <c r="R513" s="15"/>
      <c r="S513" s="3"/>
      <c r="T513" s="3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89"/>
      <c r="J514" s="1"/>
      <c r="K514" s="1"/>
      <c r="L514" s="62"/>
      <c r="M514" s="63"/>
      <c r="N514" s="63"/>
      <c r="O514" s="15"/>
      <c r="P514" s="15"/>
      <c r="Q514" s="15"/>
      <c r="R514" s="15"/>
      <c r="S514" s="3"/>
      <c r="T514" s="3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89"/>
      <c r="J515" s="1"/>
      <c r="K515" s="1"/>
      <c r="L515" s="62"/>
      <c r="M515" s="63"/>
      <c r="N515" s="63"/>
      <c r="O515" s="15"/>
      <c r="P515" s="15"/>
      <c r="Q515" s="15"/>
      <c r="R515" s="15"/>
      <c r="S515" s="3"/>
      <c r="T515" s="3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89"/>
      <c r="J516" s="1"/>
      <c r="K516" s="1"/>
      <c r="L516" s="62"/>
      <c r="M516" s="63"/>
      <c r="N516" s="63"/>
      <c r="O516" s="15"/>
      <c r="P516" s="15"/>
      <c r="Q516" s="15"/>
      <c r="R516" s="15"/>
      <c r="S516" s="3"/>
      <c r="T516" s="3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89"/>
      <c r="J517" s="1"/>
      <c r="K517" s="1"/>
      <c r="L517" s="62"/>
      <c r="M517" s="63"/>
      <c r="N517" s="63"/>
      <c r="O517" s="15"/>
      <c r="P517" s="15"/>
      <c r="Q517" s="15"/>
      <c r="R517" s="15"/>
      <c r="S517" s="3"/>
      <c r="T517" s="3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89"/>
      <c r="J518" s="1"/>
      <c r="K518" s="1"/>
      <c r="L518" s="62"/>
      <c r="M518" s="63"/>
      <c r="N518" s="63"/>
      <c r="O518" s="15"/>
      <c r="P518" s="15"/>
      <c r="Q518" s="15"/>
      <c r="R518" s="15"/>
      <c r="S518" s="3"/>
      <c r="T518" s="3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89"/>
      <c r="J519" s="1"/>
      <c r="K519" s="1"/>
      <c r="L519" s="62"/>
      <c r="M519" s="63"/>
      <c r="N519" s="63"/>
      <c r="O519" s="15"/>
      <c r="P519" s="15"/>
      <c r="Q519" s="15"/>
      <c r="R519" s="15"/>
      <c r="S519" s="3"/>
      <c r="T519" s="3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89"/>
      <c r="J520" s="1"/>
      <c r="K520" s="1"/>
      <c r="L520" s="62"/>
      <c r="M520" s="63"/>
      <c r="N520" s="63"/>
      <c r="O520" s="15"/>
      <c r="P520" s="15"/>
      <c r="Q520" s="15"/>
      <c r="R520" s="15"/>
      <c r="S520" s="3"/>
      <c r="T520" s="3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89"/>
      <c r="J521" s="1"/>
      <c r="K521" s="1"/>
      <c r="L521" s="62"/>
      <c r="M521" s="63"/>
      <c r="N521" s="63"/>
      <c r="O521" s="15"/>
      <c r="P521" s="15"/>
      <c r="Q521" s="15"/>
      <c r="R521" s="15"/>
      <c r="S521" s="3"/>
      <c r="T521" s="3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89"/>
      <c r="J522" s="1"/>
      <c r="K522" s="1"/>
      <c r="L522" s="62"/>
      <c r="M522" s="63"/>
      <c r="N522" s="63"/>
      <c r="O522" s="15"/>
      <c r="P522" s="15"/>
      <c r="Q522" s="15"/>
      <c r="R522" s="15"/>
      <c r="S522" s="3"/>
      <c r="T522" s="3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89"/>
      <c r="J523" s="1"/>
      <c r="K523" s="1"/>
      <c r="L523" s="62"/>
      <c r="M523" s="63"/>
      <c r="N523" s="63"/>
      <c r="O523" s="15"/>
      <c r="P523" s="15"/>
      <c r="Q523" s="15"/>
      <c r="R523" s="15"/>
      <c r="S523" s="3"/>
      <c r="T523" s="3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89"/>
      <c r="J524" s="1"/>
      <c r="K524" s="1"/>
      <c r="L524" s="62"/>
      <c r="M524" s="63"/>
      <c r="N524" s="63"/>
      <c r="O524" s="15"/>
      <c r="P524" s="15"/>
      <c r="Q524" s="15"/>
      <c r="R524" s="15"/>
      <c r="S524" s="3"/>
      <c r="T524" s="3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89"/>
      <c r="J525" s="1"/>
      <c r="K525" s="1"/>
      <c r="L525" s="62"/>
      <c r="M525" s="63"/>
      <c r="N525" s="63"/>
      <c r="O525" s="15"/>
      <c r="P525" s="15"/>
      <c r="Q525" s="15"/>
      <c r="R525" s="15"/>
      <c r="S525" s="3"/>
      <c r="T525" s="3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89"/>
      <c r="J526" s="1"/>
      <c r="K526" s="1"/>
      <c r="L526" s="62"/>
      <c r="M526" s="63"/>
      <c r="N526" s="63"/>
      <c r="O526" s="15"/>
      <c r="P526" s="15"/>
      <c r="Q526" s="15"/>
      <c r="R526" s="15"/>
      <c r="S526" s="3"/>
      <c r="T526" s="3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89"/>
      <c r="J527" s="1"/>
      <c r="K527" s="1"/>
      <c r="L527" s="62"/>
      <c r="M527" s="63"/>
      <c r="N527" s="63"/>
      <c r="O527" s="15"/>
      <c r="P527" s="15"/>
      <c r="Q527" s="15"/>
      <c r="R527" s="15"/>
      <c r="S527" s="3"/>
      <c r="T527" s="3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89"/>
      <c r="J528" s="1"/>
      <c r="K528" s="1"/>
      <c r="L528" s="62"/>
      <c r="M528" s="63"/>
      <c r="N528" s="63"/>
      <c r="O528" s="15"/>
      <c r="P528" s="15"/>
      <c r="Q528" s="15"/>
      <c r="R528" s="15"/>
      <c r="S528" s="3"/>
      <c r="T528" s="3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89"/>
      <c r="J529" s="1"/>
      <c r="K529" s="1"/>
      <c r="L529" s="62"/>
      <c r="M529" s="63"/>
      <c r="N529" s="63"/>
      <c r="O529" s="15"/>
      <c r="P529" s="15"/>
      <c r="Q529" s="15"/>
      <c r="R529" s="15"/>
      <c r="S529" s="3"/>
      <c r="T529" s="3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89"/>
      <c r="J530" s="1"/>
      <c r="K530" s="1"/>
      <c r="L530" s="62"/>
      <c r="M530" s="63"/>
      <c r="N530" s="63"/>
      <c r="O530" s="15"/>
      <c r="P530" s="15"/>
      <c r="Q530" s="15"/>
      <c r="R530" s="15"/>
      <c r="S530" s="3"/>
      <c r="T530" s="3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89"/>
      <c r="J531" s="1"/>
      <c r="K531" s="1"/>
      <c r="L531" s="62"/>
      <c r="M531" s="63"/>
      <c r="N531" s="63"/>
      <c r="O531" s="15"/>
      <c r="P531" s="15"/>
      <c r="Q531" s="15"/>
      <c r="R531" s="15"/>
      <c r="S531" s="3"/>
      <c r="T531" s="3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89"/>
      <c r="J532" s="1"/>
      <c r="K532" s="1"/>
      <c r="L532" s="62"/>
      <c r="M532" s="63"/>
      <c r="N532" s="63"/>
      <c r="O532" s="15"/>
      <c r="P532" s="15"/>
      <c r="Q532" s="15"/>
      <c r="R532" s="15"/>
      <c r="S532" s="3"/>
      <c r="T532" s="3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89"/>
      <c r="J533" s="1"/>
      <c r="K533" s="1"/>
      <c r="L533" s="62"/>
      <c r="M533" s="63"/>
      <c r="N533" s="63"/>
      <c r="O533" s="15"/>
      <c r="P533" s="15"/>
      <c r="Q533" s="15"/>
      <c r="R533" s="15"/>
      <c r="S533" s="3"/>
      <c r="T533" s="3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89"/>
      <c r="J534" s="1"/>
      <c r="K534" s="1"/>
      <c r="L534" s="62"/>
      <c r="M534" s="63"/>
      <c r="N534" s="63"/>
      <c r="O534" s="15"/>
      <c r="P534" s="15"/>
      <c r="Q534" s="15"/>
      <c r="R534" s="15"/>
      <c r="S534" s="3"/>
      <c r="T534" s="3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89"/>
      <c r="J535" s="1"/>
      <c r="K535" s="1"/>
      <c r="L535" s="62"/>
      <c r="M535" s="63"/>
      <c r="N535" s="63"/>
      <c r="O535" s="15"/>
      <c r="P535" s="15"/>
      <c r="Q535" s="15"/>
      <c r="R535" s="15"/>
      <c r="S535" s="3"/>
      <c r="T535" s="3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89"/>
      <c r="J536" s="1"/>
      <c r="K536" s="1"/>
      <c r="L536" s="62"/>
      <c r="M536" s="63"/>
      <c r="N536" s="63"/>
      <c r="O536" s="15"/>
      <c r="P536" s="15"/>
      <c r="Q536" s="15"/>
      <c r="R536" s="15"/>
      <c r="S536" s="3"/>
      <c r="T536" s="3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89"/>
      <c r="J537" s="1"/>
      <c r="K537" s="1"/>
      <c r="L537" s="62"/>
      <c r="M537" s="63"/>
      <c r="N537" s="63"/>
      <c r="O537" s="15"/>
      <c r="P537" s="15"/>
      <c r="Q537" s="15"/>
      <c r="R537" s="15"/>
      <c r="S537" s="3"/>
      <c r="T537" s="3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89"/>
      <c r="J538" s="1"/>
      <c r="K538" s="1"/>
      <c r="L538" s="62"/>
      <c r="M538" s="63"/>
      <c r="N538" s="63"/>
      <c r="O538" s="15"/>
      <c r="P538" s="15"/>
      <c r="Q538" s="15"/>
      <c r="R538" s="15"/>
      <c r="S538" s="3"/>
      <c r="T538" s="3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89"/>
      <c r="J539" s="1"/>
      <c r="K539" s="1"/>
      <c r="L539" s="62"/>
      <c r="M539" s="63"/>
      <c r="N539" s="63"/>
      <c r="O539" s="15"/>
      <c r="P539" s="15"/>
      <c r="Q539" s="15"/>
      <c r="R539" s="15"/>
      <c r="S539" s="3"/>
      <c r="T539" s="3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89"/>
      <c r="J540" s="1"/>
      <c r="K540" s="1"/>
      <c r="L540" s="62"/>
      <c r="M540" s="63"/>
      <c r="N540" s="63"/>
      <c r="O540" s="15"/>
      <c r="P540" s="15"/>
      <c r="Q540" s="15"/>
      <c r="R540" s="15"/>
      <c r="S540" s="3"/>
      <c r="T540" s="3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89"/>
      <c r="J541" s="1"/>
      <c r="K541" s="1"/>
      <c r="L541" s="62"/>
      <c r="M541" s="63"/>
      <c r="N541" s="63"/>
      <c r="O541" s="15"/>
      <c r="P541" s="15"/>
      <c r="Q541" s="15"/>
      <c r="R541" s="15"/>
      <c r="S541" s="3"/>
      <c r="T541" s="3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89"/>
      <c r="J542" s="1"/>
      <c r="K542" s="1"/>
      <c r="L542" s="62"/>
      <c r="M542" s="63"/>
      <c r="N542" s="63"/>
      <c r="O542" s="15"/>
      <c r="P542" s="15"/>
      <c r="Q542" s="15"/>
      <c r="R542" s="15"/>
      <c r="S542" s="3"/>
      <c r="T542" s="3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89"/>
      <c r="J543" s="1"/>
      <c r="K543" s="1"/>
      <c r="L543" s="62"/>
      <c r="M543" s="63"/>
      <c r="N543" s="63"/>
      <c r="O543" s="15"/>
      <c r="P543" s="15"/>
      <c r="Q543" s="15"/>
      <c r="R543" s="15"/>
      <c r="S543" s="3"/>
      <c r="T543" s="3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89"/>
      <c r="J544" s="1"/>
      <c r="K544" s="1"/>
      <c r="L544" s="62"/>
      <c r="M544" s="63"/>
      <c r="N544" s="63"/>
      <c r="O544" s="15"/>
      <c r="P544" s="15"/>
      <c r="Q544" s="15"/>
      <c r="R544" s="15"/>
      <c r="S544" s="3"/>
      <c r="T544" s="3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89"/>
      <c r="J545" s="1"/>
      <c r="K545" s="1"/>
      <c r="L545" s="62"/>
      <c r="M545" s="63"/>
      <c r="N545" s="63"/>
      <c r="O545" s="15"/>
      <c r="P545" s="15"/>
      <c r="Q545" s="15"/>
      <c r="R545" s="15"/>
      <c r="S545" s="3"/>
      <c r="T545" s="3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89"/>
      <c r="J546" s="1"/>
      <c r="K546" s="1"/>
      <c r="L546" s="62"/>
      <c r="M546" s="63"/>
      <c r="N546" s="63"/>
      <c r="O546" s="15"/>
      <c r="P546" s="15"/>
      <c r="Q546" s="15"/>
      <c r="R546" s="15"/>
      <c r="S546" s="3"/>
      <c r="T546" s="3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89"/>
      <c r="J547" s="1"/>
      <c r="K547" s="1"/>
      <c r="L547" s="62"/>
      <c r="M547" s="63"/>
      <c r="N547" s="63"/>
      <c r="O547" s="15"/>
      <c r="P547" s="15"/>
      <c r="Q547" s="15"/>
      <c r="R547" s="15"/>
      <c r="S547" s="3"/>
      <c r="T547" s="3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89"/>
      <c r="J548" s="1"/>
      <c r="K548" s="1"/>
      <c r="L548" s="62"/>
      <c r="M548" s="63"/>
      <c r="N548" s="63"/>
      <c r="O548" s="15"/>
      <c r="P548" s="15"/>
      <c r="Q548" s="15"/>
      <c r="R548" s="15"/>
      <c r="S548" s="3"/>
      <c r="T548" s="3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89"/>
      <c r="J549" s="1"/>
      <c r="K549" s="1"/>
      <c r="L549" s="62"/>
      <c r="M549" s="63"/>
      <c r="N549" s="63"/>
      <c r="O549" s="15"/>
      <c r="P549" s="15"/>
      <c r="Q549" s="15"/>
      <c r="R549" s="15"/>
      <c r="S549" s="3"/>
      <c r="T549" s="3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89"/>
      <c r="J550" s="1"/>
      <c r="K550" s="1"/>
      <c r="L550" s="62"/>
      <c r="M550" s="63"/>
      <c r="N550" s="63"/>
      <c r="O550" s="15"/>
      <c r="P550" s="15"/>
      <c r="Q550" s="15"/>
      <c r="R550" s="15"/>
      <c r="S550" s="3"/>
      <c r="T550" s="3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89"/>
      <c r="J551" s="1"/>
      <c r="K551" s="1"/>
      <c r="L551" s="62"/>
      <c r="M551" s="63"/>
      <c r="N551" s="63"/>
      <c r="O551" s="15"/>
      <c r="P551" s="15"/>
      <c r="Q551" s="15"/>
      <c r="R551" s="15"/>
      <c r="S551" s="3"/>
      <c r="T551" s="3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89"/>
      <c r="J552" s="1"/>
      <c r="K552" s="1"/>
      <c r="L552" s="62"/>
      <c r="M552" s="63"/>
      <c r="N552" s="63"/>
      <c r="O552" s="15"/>
      <c r="P552" s="15"/>
      <c r="Q552" s="15"/>
      <c r="R552" s="15"/>
      <c r="S552" s="3"/>
      <c r="T552" s="3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89"/>
      <c r="J553" s="1"/>
      <c r="K553" s="1"/>
      <c r="L553" s="62"/>
      <c r="M553" s="63"/>
      <c r="N553" s="63"/>
      <c r="O553" s="15"/>
      <c r="P553" s="15"/>
      <c r="Q553" s="15"/>
      <c r="R553" s="15"/>
      <c r="S553" s="3"/>
      <c r="T553" s="3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89"/>
      <c r="J554" s="1"/>
      <c r="K554" s="1"/>
      <c r="L554" s="62"/>
      <c r="M554" s="63"/>
      <c r="N554" s="63"/>
      <c r="O554" s="15"/>
      <c r="P554" s="15"/>
      <c r="Q554" s="15"/>
      <c r="R554" s="15"/>
      <c r="S554" s="3"/>
      <c r="T554" s="3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89"/>
      <c r="J555" s="1"/>
      <c r="K555" s="1"/>
      <c r="L555" s="62"/>
      <c r="M555" s="63"/>
      <c r="N555" s="63"/>
      <c r="O555" s="15"/>
      <c r="P555" s="15"/>
      <c r="Q555" s="15"/>
      <c r="R555" s="15"/>
      <c r="S555" s="3"/>
      <c r="T555" s="3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89"/>
      <c r="J556" s="1"/>
      <c r="K556" s="1"/>
      <c r="L556" s="62"/>
      <c r="M556" s="63"/>
      <c r="N556" s="63"/>
      <c r="O556" s="15"/>
      <c r="P556" s="15"/>
      <c r="Q556" s="15"/>
      <c r="R556" s="15"/>
      <c r="S556" s="3"/>
      <c r="T556" s="3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89"/>
      <c r="J557" s="1"/>
      <c r="K557" s="1"/>
      <c r="L557" s="62"/>
      <c r="M557" s="63"/>
      <c r="N557" s="63"/>
      <c r="O557" s="15"/>
      <c r="P557" s="15"/>
      <c r="Q557" s="15"/>
      <c r="R557" s="15"/>
      <c r="S557" s="3"/>
      <c r="T557" s="3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89"/>
      <c r="J558" s="1"/>
      <c r="K558" s="1"/>
      <c r="L558" s="62"/>
      <c r="M558" s="63"/>
      <c r="N558" s="63"/>
      <c r="O558" s="15"/>
      <c r="P558" s="15"/>
      <c r="Q558" s="15"/>
      <c r="R558" s="15"/>
      <c r="S558" s="3"/>
      <c r="T558" s="3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89"/>
      <c r="J559" s="1"/>
      <c r="K559" s="1"/>
      <c r="L559" s="62"/>
      <c r="M559" s="63"/>
      <c r="N559" s="63"/>
      <c r="O559" s="15"/>
      <c r="P559" s="15"/>
      <c r="Q559" s="15"/>
      <c r="R559" s="15"/>
      <c r="S559" s="3"/>
      <c r="T559" s="3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89"/>
      <c r="J560" s="1"/>
      <c r="K560" s="1"/>
      <c r="L560" s="62"/>
      <c r="M560" s="63"/>
      <c r="N560" s="63"/>
      <c r="O560" s="15"/>
      <c r="P560" s="15"/>
      <c r="Q560" s="15"/>
      <c r="R560" s="15"/>
      <c r="S560" s="3"/>
      <c r="T560" s="3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89"/>
      <c r="J561" s="1"/>
      <c r="K561" s="1"/>
      <c r="L561" s="62"/>
      <c r="M561" s="63"/>
      <c r="N561" s="63"/>
      <c r="O561" s="15"/>
      <c r="P561" s="15"/>
      <c r="Q561" s="15"/>
      <c r="R561" s="15"/>
      <c r="S561" s="3"/>
      <c r="T561" s="3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89"/>
      <c r="J562" s="1"/>
      <c r="K562" s="1"/>
      <c r="L562" s="62"/>
      <c r="M562" s="63"/>
      <c r="N562" s="63"/>
      <c r="O562" s="15"/>
      <c r="P562" s="15"/>
      <c r="Q562" s="15"/>
      <c r="R562" s="15"/>
      <c r="S562" s="3"/>
      <c r="T562" s="3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89"/>
      <c r="J563" s="1"/>
      <c r="K563" s="1"/>
      <c r="L563" s="62"/>
      <c r="M563" s="63"/>
      <c r="N563" s="63"/>
      <c r="O563" s="15"/>
      <c r="P563" s="15"/>
      <c r="Q563" s="15"/>
      <c r="R563" s="15"/>
      <c r="S563" s="3"/>
      <c r="T563" s="3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89"/>
      <c r="J564" s="1"/>
      <c r="K564" s="1"/>
      <c r="L564" s="62"/>
      <c r="M564" s="63"/>
      <c r="N564" s="63"/>
      <c r="O564" s="15"/>
      <c r="P564" s="15"/>
      <c r="Q564" s="15"/>
      <c r="R564" s="15"/>
      <c r="S564" s="3"/>
      <c r="T564" s="3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89"/>
      <c r="J565" s="1"/>
      <c r="K565" s="1"/>
      <c r="L565" s="62"/>
      <c r="M565" s="63"/>
      <c r="N565" s="63"/>
      <c r="O565" s="15"/>
      <c r="P565" s="15"/>
      <c r="Q565" s="15"/>
      <c r="R565" s="15"/>
      <c r="S565" s="3"/>
      <c r="T565" s="3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89"/>
      <c r="J566" s="1"/>
      <c r="K566" s="1"/>
      <c r="L566" s="62"/>
      <c r="M566" s="63"/>
      <c r="N566" s="63"/>
      <c r="O566" s="15"/>
      <c r="P566" s="15"/>
      <c r="Q566" s="15"/>
      <c r="R566" s="15"/>
      <c r="S566" s="3"/>
      <c r="T566" s="3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89"/>
      <c r="J567" s="1"/>
      <c r="K567" s="1"/>
      <c r="L567" s="62"/>
      <c r="M567" s="63"/>
      <c r="N567" s="63"/>
      <c r="O567" s="15"/>
      <c r="P567" s="15"/>
      <c r="Q567" s="15"/>
      <c r="R567" s="15"/>
      <c r="S567" s="3"/>
      <c r="T567" s="3"/>
      <c r="U567" s="1"/>
      <c r="V567" s="1"/>
      <c r="W567" s="1"/>
      <c r="X567" s="1"/>
      <c r="Y567" s="1"/>
      <c r="Z567" s="1"/>
    </row>
    <row r="568">
      <c r="I568" s="89"/>
      <c r="M568" s="63"/>
      <c r="N568" s="63"/>
    </row>
    <row r="569">
      <c r="I569" s="89"/>
      <c r="M569" s="63"/>
      <c r="N569" s="63"/>
    </row>
    <row r="570">
      <c r="I570" s="89"/>
      <c r="M570" s="63"/>
      <c r="N570" s="63"/>
    </row>
    <row r="571">
      <c r="I571" s="89"/>
      <c r="M571" s="63"/>
      <c r="N571" s="63"/>
    </row>
    <row r="572">
      <c r="I572" s="89"/>
      <c r="M572" s="63"/>
      <c r="N572" s="63"/>
    </row>
    <row r="573">
      <c r="I573" s="89"/>
      <c r="M573" s="63"/>
      <c r="N573" s="63"/>
    </row>
    <row r="574">
      <c r="I574" s="89"/>
      <c r="M574" s="63"/>
      <c r="N574" s="63"/>
    </row>
    <row r="575">
      <c r="I575" s="89"/>
      <c r="M575" s="63"/>
      <c r="N575" s="63"/>
    </row>
    <row r="576">
      <c r="I576" s="89"/>
      <c r="M576" s="63"/>
      <c r="N576" s="63"/>
    </row>
    <row r="577">
      <c r="I577" s="89"/>
      <c r="M577" s="63"/>
      <c r="N577" s="63"/>
    </row>
    <row r="578">
      <c r="I578" s="89"/>
      <c r="M578" s="63"/>
      <c r="N578" s="63"/>
    </row>
    <row r="579">
      <c r="I579" s="89"/>
      <c r="M579" s="63"/>
      <c r="N579" s="63"/>
    </row>
    <row r="580">
      <c r="I580" s="89"/>
      <c r="M580" s="63"/>
      <c r="N580" s="63"/>
    </row>
    <row r="581">
      <c r="I581" s="89"/>
      <c r="M581" s="63"/>
      <c r="N581" s="63"/>
    </row>
    <row r="582">
      <c r="I582" s="89"/>
      <c r="M582" s="63"/>
      <c r="N582" s="63"/>
    </row>
    <row r="583">
      <c r="I583" s="89"/>
      <c r="M583" s="63"/>
      <c r="N583" s="63"/>
    </row>
    <row r="584">
      <c r="I584" s="89"/>
      <c r="M584" s="63"/>
      <c r="N584" s="63"/>
    </row>
    <row r="585">
      <c r="I585" s="89"/>
      <c r="M585" s="63"/>
      <c r="N585" s="63"/>
    </row>
    <row r="586">
      <c r="I586" s="89"/>
      <c r="M586" s="63"/>
      <c r="N586" s="63"/>
    </row>
    <row r="587">
      <c r="I587" s="89"/>
      <c r="M587" s="63"/>
      <c r="N587" s="63"/>
    </row>
    <row r="588">
      <c r="I588" s="89"/>
      <c r="M588" s="63"/>
      <c r="N588" s="63"/>
    </row>
    <row r="589">
      <c r="I589" s="89"/>
      <c r="M589" s="63"/>
      <c r="N589" s="63"/>
    </row>
    <row r="590">
      <c r="I590" s="89"/>
      <c r="M590" s="63"/>
      <c r="N590" s="63"/>
    </row>
    <row r="591">
      <c r="I591" s="89"/>
      <c r="M591" s="63"/>
      <c r="N591" s="63"/>
    </row>
    <row r="592">
      <c r="I592" s="89"/>
      <c r="M592" s="63"/>
      <c r="N592" s="63"/>
    </row>
    <row r="593">
      <c r="I593" s="89"/>
      <c r="M593" s="63"/>
      <c r="N593" s="63"/>
    </row>
    <row r="594">
      <c r="I594" s="89"/>
      <c r="M594" s="63"/>
      <c r="N594" s="63"/>
    </row>
    <row r="595">
      <c r="I595" s="89"/>
      <c r="M595" s="63"/>
      <c r="N595" s="63"/>
    </row>
    <row r="596">
      <c r="I596" s="89"/>
      <c r="M596" s="63"/>
      <c r="N596" s="63"/>
    </row>
    <row r="597">
      <c r="I597" s="89"/>
      <c r="M597" s="63"/>
      <c r="N597" s="63"/>
    </row>
    <row r="598">
      <c r="I598" s="89"/>
      <c r="M598" s="63"/>
      <c r="N598" s="63"/>
    </row>
    <row r="599">
      <c r="I599" s="89"/>
      <c r="M599" s="63"/>
      <c r="N599" s="63"/>
    </row>
    <row r="600">
      <c r="I600" s="89"/>
      <c r="M600" s="63"/>
      <c r="N600" s="63"/>
    </row>
    <row r="601">
      <c r="I601" s="89"/>
      <c r="M601" s="63"/>
      <c r="N601" s="63"/>
    </row>
    <row r="602">
      <c r="I602" s="89"/>
      <c r="M602" s="63"/>
      <c r="N602" s="63"/>
    </row>
    <row r="603">
      <c r="I603" s="89"/>
      <c r="M603" s="63"/>
      <c r="N603" s="63"/>
    </row>
    <row r="604">
      <c r="I604" s="89"/>
      <c r="M604" s="63"/>
      <c r="N604" s="63"/>
    </row>
    <row r="605">
      <c r="I605" s="89"/>
      <c r="M605" s="63"/>
      <c r="N605" s="63"/>
    </row>
    <row r="606">
      <c r="I606" s="89"/>
      <c r="M606" s="63"/>
      <c r="N606" s="63"/>
    </row>
    <row r="607">
      <c r="I607" s="89"/>
      <c r="M607" s="63"/>
      <c r="N607" s="63"/>
    </row>
    <row r="608">
      <c r="I608" s="89"/>
      <c r="M608" s="63"/>
      <c r="N608" s="63"/>
    </row>
    <row r="609">
      <c r="I609" s="89"/>
      <c r="M609" s="63"/>
      <c r="N609" s="63"/>
    </row>
    <row r="610">
      <c r="I610" s="89"/>
      <c r="M610" s="63"/>
      <c r="N610" s="63"/>
    </row>
    <row r="611">
      <c r="I611" s="89"/>
      <c r="M611" s="63"/>
      <c r="N611" s="63"/>
    </row>
    <row r="612">
      <c r="I612" s="89"/>
      <c r="M612" s="63"/>
      <c r="N612" s="63"/>
    </row>
    <row r="613">
      <c r="I613" s="89"/>
      <c r="M613" s="63"/>
      <c r="N613" s="63"/>
    </row>
    <row r="614">
      <c r="I614" s="89"/>
      <c r="M614" s="63"/>
      <c r="N614" s="63"/>
    </row>
    <row r="615">
      <c r="I615" s="89"/>
      <c r="M615" s="63"/>
      <c r="N615" s="63"/>
    </row>
    <row r="616">
      <c r="I616" s="89"/>
      <c r="M616" s="63"/>
      <c r="N616" s="63"/>
    </row>
    <row r="617">
      <c r="I617" s="89"/>
      <c r="M617" s="63"/>
      <c r="N617" s="63"/>
    </row>
    <row r="618">
      <c r="I618" s="89"/>
      <c r="M618" s="63"/>
      <c r="N618" s="63"/>
    </row>
    <row r="619">
      <c r="I619" s="89"/>
      <c r="M619" s="63"/>
      <c r="N619" s="63"/>
    </row>
    <row r="620">
      <c r="I620" s="89"/>
      <c r="M620" s="63"/>
      <c r="N620" s="63"/>
    </row>
    <row r="621">
      <c r="I621" s="89"/>
      <c r="M621" s="63"/>
      <c r="N621" s="63"/>
    </row>
    <row r="622">
      <c r="I622" s="89"/>
      <c r="M622" s="63"/>
      <c r="N622" s="63"/>
    </row>
    <row r="623">
      <c r="I623" s="89"/>
      <c r="M623" s="63"/>
      <c r="N623" s="63"/>
    </row>
    <row r="624">
      <c r="I624" s="89"/>
      <c r="M624" s="63"/>
      <c r="N624" s="63"/>
    </row>
    <row r="625">
      <c r="I625" s="89"/>
      <c r="M625" s="63"/>
      <c r="N625" s="63"/>
    </row>
    <row r="626">
      <c r="I626" s="89"/>
      <c r="M626" s="63"/>
      <c r="N626" s="63"/>
    </row>
    <row r="627">
      <c r="I627" s="89"/>
      <c r="M627" s="63"/>
      <c r="N627" s="63"/>
    </row>
    <row r="628">
      <c r="I628" s="89"/>
      <c r="M628" s="63"/>
      <c r="N628" s="63"/>
    </row>
    <row r="629">
      <c r="I629" s="89"/>
      <c r="M629" s="63"/>
      <c r="N629" s="63"/>
    </row>
    <row r="630">
      <c r="I630" s="89"/>
      <c r="M630" s="63"/>
      <c r="N630" s="63"/>
    </row>
    <row r="631">
      <c r="I631" s="89"/>
      <c r="M631" s="63"/>
      <c r="N631" s="63"/>
    </row>
    <row r="632">
      <c r="I632" s="89"/>
      <c r="M632" s="63"/>
      <c r="N632" s="63"/>
    </row>
    <row r="633">
      <c r="I633" s="89"/>
      <c r="M633" s="63"/>
      <c r="N633" s="63"/>
    </row>
    <row r="634">
      <c r="I634" s="89"/>
      <c r="M634" s="63"/>
      <c r="N634" s="63"/>
    </row>
    <row r="635">
      <c r="I635" s="89"/>
      <c r="M635" s="63"/>
      <c r="N635" s="63"/>
    </row>
    <row r="636">
      <c r="I636" s="89"/>
      <c r="M636" s="63"/>
      <c r="N636" s="63"/>
    </row>
    <row r="637">
      <c r="I637" s="89"/>
      <c r="M637" s="63"/>
      <c r="N637" s="63"/>
    </row>
    <row r="638">
      <c r="I638" s="89"/>
      <c r="M638" s="63"/>
      <c r="N638" s="63"/>
    </row>
    <row r="639">
      <c r="I639" s="89"/>
      <c r="M639" s="63"/>
      <c r="N639" s="63"/>
    </row>
    <row r="640">
      <c r="I640" s="89"/>
      <c r="M640" s="63"/>
      <c r="N640" s="63"/>
    </row>
    <row r="641">
      <c r="I641" s="89"/>
      <c r="M641" s="63"/>
      <c r="N641" s="63"/>
    </row>
    <row r="642">
      <c r="I642" s="89"/>
      <c r="M642" s="63"/>
      <c r="N642" s="63"/>
    </row>
    <row r="643">
      <c r="I643" s="89"/>
      <c r="M643" s="63"/>
      <c r="N643" s="63"/>
    </row>
    <row r="644">
      <c r="I644" s="89"/>
      <c r="M644" s="63"/>
      <c r="N644" s="63"/>
    </row>
    <row r="645">
      <c r="I645" s="89"/>
      <c r="M645" s="63"/>
      <c r="N645" s="63"/>
    </row>
    <row r="646">
      <c r="I646" s="89"/>
      <c r="M646" s="63"/>
      <c r="N646" s="63"/>
    </row>
    <row r="647">
      <c r="I647" s="89"/>
      <c r="M647" s="63"/>
      <c r="N647" s="63"/>
    </row>
    <row r="648">
      <c r="I648" s="89"/>
      <c r="M648" s="63"/>
      <c r="N648" s="63"/>
    </row>
    <row r="649">
      <c r="I649" s="89"/>
      <c r="M649" s="63"/>
      <c r="N649" s="63"/>
    </row>
    <row r="650">
      <c r="I650" s="89"/>
      <c r="M650" s="63"/>
      <c r="N650" s="63"/>
    </row>
    <row r="651">
      <c r="I651" s="89"/>
      <c r="M651" s="63"/>
      <c r="N651" s="63"/>
    </row>
    <row r="652">
      <c r="I652" s="89"/>
      <c r="M652" s="63"/>
      <c r="N652" s="63"/>
    </row>
    <row r="653">
      <c r="I653" s="89"/>
      <c r="M653" s="63"/>
      <c r="N653" s="63"/>
    </row>
    <row r="654">
      <c r="I654" s="89"/>
      <c r="M654" s="63"/>
      <c r="N654" s="63"/>
    </row>
    <row r="655">
      <c r="I655" s="89"/>
      <c r="M655" s="63"/>
      <c r="N655" s="63"/>
    </row>
    <row r="656">
      <c r="I656" s="89"/>
      <c r="M656" s="63"/>
      <c r="N656" s="63"/>
    </row>
    <row r="657">
      <c r="I657" s="89"/>
      <c r="M657" s="63"/>
      <c r="N657" s="63"/>
    </row>
    <row r="658">
      <c r="I658" s="89"/>
      <c r="M658" s="63"/>
      <c r="N658" s="63"/>
    </row>
    <row r="659">
      <c r="I659" s="89"/>
      <c r="M659" s="63"/>
      <c r="N659" s="63"/>
    </row>
    <row r="660">
      <c r="I660" s="89"/>
      <c r="M660" s="63"/>
      <c r="N660" s="63"/>
    </row>
    <row r="661">
      <c r="I661" s="89"/>
      <c r="M661" s="63"/>
      <c r="N661" s="63"/>
    </row>
    <row r="662">
      <c r="I662" s="89"/>
      <c r="M662" s="63"/>
      <c r="N662" s="63"/>
    </row>
    <row r="663">
      <c r="I663" s="89"/>
      <c r="M663" s="63"/>
      <c r="N663" s="63"/>
    </row>
    <row r="664">
      <c r="I664" s="89"/>
      <c r="M664" s="63"/>
      <c r="N664" s="63"/>
    </row>
    <row r="665">
      <c r="I665" s="89"/>
      <c r="M665" s="63"/>
      <c r="N665" s="63"/>
    </row>
    <row r="666">
      <c r="I666" s="89"/>
      <c r="M666" s="63"/>
      <c r="N666" s="63"/>
    </row>
    <row r="667">
      <c r="I667" s="89"/>
      <c r="M667" s="63"/>
      <c r="N667" s="63"/>
    </row>
    <row r="668">
      <c r="I668" s="89"/>
      <c r="M668" s="63"/>
      <c r="N668" s="63"/>
    </row>
    <row r="669">
      <c r="I669" s="89"/>
      <c r="M669" s="63"/>
      <c r="N669" s="63"/>
    </row>
    <row r="670">
      <c r="I670" s="89"/>
      <c r="M670" s="63"/>
      <c r="N670" s="63"/>
    </row>
    <row r="671">
      <c r="I671" s="89"/>
      <c r="M671" s="63"/>
      <c r="N671" s="63"/>
    </row>
    <row r="672">
      <c r="I672" s="89"/>
      <c r="M672" s="63"/>
      <c r="N672" s="63"/>
    </row>
    <row r="673">
      <c r="I673" s="89"/>
      <c r="M673" s="63"/>
      <c r="N673" s="63"/>
    </row>
    <row r="674">
      <c r="I674" s="89"/>
      <c r="M674" s="63"/>
      <c r="N674" s="63"/>
    </row>
    <row r="675">
      <c r="I675" s="89"/>
      <c r="M675" s="63"/>
      <c r="N675" s="63"/>
    </row>
    <row r="676">
      <c r="I676" s="89"/>
      <c r="M676" s="63"/>
      <c r="N676" s="63"/>
    </row>
    <row r="677">
      <c r="I677" s="89"/>
      <c r="M677" s="63"/>
      <c r="N677" s="63"/>
    </row>
    <row r="678">
      <c r="I678" s="89"/>
      <c r="M678" s="63"/>
      <c r="N678" s="63"/>
    </row>
    <row r="679">
      <c r="I679" s="89"/>
      <c r="M679" s="63"/>
      <c r="N679" s="63"/>
    </row>
    <row r="680">
      <c r="I680" s="89"/>
      <c r="M680" s="63"/>
      <c r="N680" s="63"/>
    </row>
    <row r="681">
      <c r="I681" s="89"/>
      <c r="M681" s="63"/>
      <c r="N681" s="63"/>
    </row>
    <row r="682">
      <c r="I682" s="89"/>
      <c r="M682" s="63"/>
      <c r="N682" s="63"/>
    </row>
    <row r="683">
      <c r="I683" s="89"/>
      <c r="M683" s="63"/>
      <c r="N683" s="63"/>
    </row>
    <row r="684">
      <c r="I684" s="89"/>
      <c r="M684" s="63"/>
      <c r="N684" s="63"/>
    </row>
    <row r="685">
      <c r="I685" s="89"/>
      <c r="M685" s="63"/>
      <c r="N685" s="63"/>
    </row>
    <row r="686">
      <c r="I686" s="89"/>
      <c r="M686" s="63"/>
      <c r="N686" s="63"/>
    </row>
    <row r="687">
      <c r="I687" s="89"/>
      <c r="M687" s="63"/>
      <c r="N687" s="63"/>
    </row>
    <row r="688">
      <c r="I688" s="89"/>
      <c r="M688" s="63"/>
      <c r="N688" s="63"/>
    </row>
    <row r="689">
      <c r="I689" s="89"/>
      <c r="M689" s="63"/>
      <c r="N689" s="63"/>
    </row>
    <row r="690">
      <c r="I690" s="89"/>
      <c r="M690" s="63"/>
      <c r="N690" s="63"/>
    </row>
    <row r="691">
      <c r="I691" s="89"/>
      <c r="M691" s="63"/>
      <c r="N691" s="63"/>
    </row>
    <row r="692">
      <c r="I692" s="89"/>
      <c r="M692" s="63"/>
      <c r="N692" s="63"/>
    </row>
    <row r="693">
      <c r="I693" s="89"/>
      <c r="M693" s="63"/>
      <c r="N693" s="63"/>
    </row>
    <row r="694">
      <c r="I694" s="89"/>
      <c r="M694" s="63"/>
      <c r="N694" s="63"/>
    </row>
    <row r="695">
      <c r="I695" s="89"/>
      <c r="M695" s="63"/>
      <c r="N695" s="63"/>
    </row>
    <row r="696">
      <c r="I696" s="89"/>
      <c r="M696" s="63"/>
      <c r="N696" s="63"/>
    </row>
    <row r="697">
      <c r="I697" s="89"/>
      <c r="M697" s="63"/>
      <c r="N697" s="63"/>
    </row>
    <row r="698">
      <c r="I698" s="89"/>
      <c r="M698" s="63"/>
      <c r="N698" s="63"/>
    </row>
    <row r="699">
      <c r="I699" s="89"/>
      <c r="M699" s="63"/>
      <c r="N699" s="63"/>
    </row>
    <row r="700">
      <c r="I700" s="89"/>
      <c r="M700" s="63"/>
      <c r="N700" s="63"/>
    </row>
    <row r="701">
      <c r="I701" s="89"/>
      <c r="M701" s="63"/>
      <c r="N701" s="63"/>
    </row>
    <row r="702">
      <c r="I702" s="89"/>
      <c r="M702" s="63"/>
      <c r="N702" s="63"/>
    </row>
    <row r="703">
      <c r="I703" s="89"/>
      <c r="M703" s="63"/>
      <c r="N703" s="63"/>
    </row>
    <row r="704">
      <c r="I704" s="89"/>
      <c r="M704" s="63"/>
      <c r="N704" s="63"/>
    </row>
    <row r="705">
      <c r="I705" s="89"/>
      <c r="M705" s="63"/>
      <c r="N705" s="63"/>
    </row>
    <row r="706">
      <c r="I706" s="89"/>
      <c r="M706" s="63"/>
      <c r="N706" s="63"/>
    </row>
    <row r="707">
      <c r="I707" s="89"/>
      <c r="M707" s="63"/>
      <c r="N707" s="63"/>
    </row>
    <row r="708">
      <c r="I708" s="89"/>
      <c r="M708" s="63"/>
      <c r="N708" s="63"/>
    </row>
    <row r="709">
      <c r="I709" s="89"/>
      <c r="M709" s="63"/>
      <c r="N709" s="63"/>
    </row>
    <row r="710">
      <c r="I710" s="89"/>
      <c r="M710" s="63"/>
      <c r="N710" s="63"/>
    </row>
    <row r="711">
      <c r="I711" s="89"/>
      <c r="M711" s="63"/>
      <c r="N711" s="63"/>
    </row>
    <row r="712">
      <c r="I712" s="89"/>
      <c r="M712" s="63"/>
      <c r="N712" s="63"/>
    </row>
    <row r="713">
      <c r="I713" s="89"/>
      <c r="M713" s="63"/>
      <c r="N713" s="63"/>
    </row>
    <row r="714">
      <c r="I714" s="89"/>
      <c r="M714" s="63"/>
      <c r="N714" s="63"/>
    </row>
    <row r="715">
      <c r="I715" s="89"/>
      <c r="M715" s="63"/>
      <c r="N715" s="63"/>
    </row>
    <row r="716">
      <c r="I716" s="89"/>
      <c r="M716" s="63"/>
      <c r="N716" s="63"/>
    </row>
    <row r="717">
      <c r="I717" s="89"/>
      <c r="M717" s="63"/>
      <c r="N717" s="63"/>
    </row>
    <row r="718">
      <c r="I718" s="89"/>
      <c r="M718" s="63"/>
      <c r="N718" s="63"/>
    </row>
    <row r="719">
      <c r="I719" s="89"/>
      <c r="M719" s="63"/>
      <c r="N719" s="63"/>
    </row>
    <row r="720">
      <c r="I720" s="89"/>
      <c r="M720" s="63"/>
      <c r="N720" s="63"/>
    </row>
    <row r="721">
      <c r="I721" s="89"/>
      <c r="M721" s="63"/>
      <c r="N721" s="63"/>
    </row>
    <row r="722">
      <c r="I722" s="89"/>
      <c r="M722" s="63"/>
      <c r="N722" s="63"/>
    </row>
    <row r="723">
      <c r="I723" s="89"/>
      <c r="M723" s="63"/>
      <c r="N723" s="63"/>
    </row>
    <row r="724">
      <c r="I724" s="89"/>
      <c r="M724" s="63"/>
      <c r="N724" s="63"/>
    </row>
    <row r="725">
      <c r="I725" s="89"/>
      <c r="M725" s="63"/>
      <c r="N725" s="63"/>
    </row>
    <row r="726">
      <c r="I726" s="89"/>
      <c r="M726" s="63"/>
      <c r="N726" s="63"/>
    </row>
    <row r="727">
      <c r="I727" s="89"/>
      <c r="M727" s="63"/>
      <c r="N727" s="63"/>
    </row>
    <row r="728">
      <c r="I728" s="89"/>
      <c r="M728" s="63"/>
      <c r="N728" s="63"/>
    </row>
    <row r="729">
      <c r="I729" s="89"/>
      <c r="M729" s="63"/>
      <c r="N729" s="63"/>
    </row>
    <row r="730">
      <c r="I730" s="89"/>
      <c r="M730" s="63"/>
      <c r="N730" s="63"/>
    </row>
    <row r="731">
      <c r="I731" s="89"/>
      <c r="M731" s="63"/>
      <c r="N731" s="63"/>
    </row>
    <row r="732">
      <c r="I732" s="89"/>
      <c r="M732" s="63"/>
      <c r="N732" s="63"/>
    </row>
    <row r="733">
      <c r="I733" s="89"/>
      <c r="M733" s="63"/>
      <c r="N733" s="63"/>
    </row>
    <row r="734">
      <c r="I734" s="89"/>
      <c r="M734" s="63"/>
      <c r="N734" s="63"/>
    </row>
    <row r="735">
      <c r="I735" s="89"/>
      <c r="M735" s="63"/>
      <c r="N735" s="63"/>
    </row>
    <row r="736">
      <c r="I736" s="89"/>
      <c r="M736" s="63"/>
      <c r="N736" s="63"/>
    </row>
    <row r="737">
      <c r="I737" s="89"/>
      <c r="M737" s="63"/>
      <c r="N737" s="63"/>
    </row>
    <row r="738">
      <c r="I738" s="89"/>
      <c r="M738" s="63"/>
      <c r="N738" s="63"/>
    </row>
    <row r="739">
      <c r="I739" s="89"/>
      <c r="M739" s="63"/>
      <c r="N739" s="63"/>
    </row>
    <row r="740">
      <c r="I740" s="89"/>
      <c r="M740" s="63"/>
      <c r="N740" s="63"/>
    </row>
    <row r="741">
      <c r="I741" s="89"/>
      <c r="M741" s="63"/>
      <c r="N741" s="63"/>
    </row>
    <row r="742">
      <c r="I742" s="89"/>
      <c r="M742" s="63"/>
      <c r="N742" s="63"/>
    </row>
    <row r="743">
      <c r="I743" s="89"/>
      <c r="M743" s="63"/>
      <c r="N743" s="63"/>
    </row>
    <row r="744">
      <c r="I744" s="89"/>
      <c r="M744" s="63"/>
      <c r="N744" s="63"/>
    </row>
    <row r="745">
      <c r="I745" s="89"/>
      <c r="M745" s="63"/>
      <c r="N745" s="63"/>
    </row>
    <row r="746">
      <c r="I746" s="89"/>
      <c r="M746" s="63"/>
      <c r="N746" s="63"/>
    </row>
    <row r="747">
      <c r="I747" s="89"/>
      <c r="M747" s="63"/>
      <c r="N747" s="63"/>
    </row>
    <row r="748">
      <c r="I748" s="89"/>
      <c r="M748" s="63"/>
      <c r="N748" s="63"/>
    </row>
    <row r="749">
      <c r="I749" s="89"/>
      <c r="M749" s="63"/>
      <c r="N749" s="63"/>
    </row>
    <row r="750">
      <c r="I750" s="89"/>
      <c r="M750" s="63"/>
      <c r="N750" s="63"/>
    </row>
    <row r="751">
      <c r="I751" s="89"/>
      <c r="M751" s="63"/>
      <c r="N751" s="63"/>
    </row>
    <row r="752">
      <c r="I752" s="89"/>
      <c r="M752" s="63"/>
      <c r="N752" s="63"/>
    </row>
    <row r="753">
      <c r="I753" s="89"/>
      <c r="M753" s="63"/>
      <c r="N753" s="63"/>
    </row>
    <row r="754">
      <c r="I754" s="89"/>
      <c r="M754" s="63"/>
      <c r="N754" s="63"/>
    </row>
    <row r="755">
      <c r="I755" s="89"/>
      <c r="M755" s="63"/>
      <c r="N755" s="63"/>
    </row>
    <row r="756">
      <c r="I756" s="89"/>
      <c r="M756" s="63"/>
      <c r="N756" s="63"/>
    </row>
    <row r="757">
      <c r="I757" s="89"/>
      <c r="M757" s="63"/>
      <c r="N757" s="63"/>
    </row>
    <row r="758">
      <c r="I758" s="89"/>
      <c r="M758" s="63"/>
      <c r="N758" s="63"/>
    </row>
    <row r="759">
      <c r="I759" s="89"/>
      <c r="M759" s="63"/>
      <c r="N759" s="63"/>
    </row>
    <row r="760">
      <c r="I760" s="89"/>
      <c r="M760" s="63"/>
      <c r="N760" s="63"/>
    </row>
    <row r="761">
      <c r="I761" s="89"/>
      <c r="M761" s="63"/>
      <c r="N761" s="63"/>
    </row>
    <row r="762">
      <c r="I762" s="89"/>
      <c r="M762" s="63"/>
      <c r="N762" s="63"/>
    </row>
    <row r="763">
      <c r="I763" s="89"/>
      <c r="M763" s="63"/>
      <c r="N763" s="63"/>
    </row>
    <row r="764">
      <c r="I764" s="89"/>
      <c r="M764" s="63"/>
      <c r="N764" s="63"/>
    </row>
    <row r="765">
      <c r="I765" s="89"/>
      <c r="M765" s="63"/>
      <c r="N765" s="63"/>
    </row>
    <row r="766">
      <c r="I766" s="89"/>
      <c r="M766" s="63"/>
      <c r="N766" s="63"/>
    </row>
    <row r="767">
      <c r="I767" s="89"/>
      <c r="M767" s="63"/>
      <c r="N767" s="63"/>
    </row>
    <row r="768">
      <c r="I768" s="89"/>
      <c r="M768" s="63"/>
      <c r="N768" s="63"/>
    </row>
    <row r="769">
      <c r="I769" s="89"/>
      <c r="M769" s="63"/>
      <c r="N769" s="63"/>
    </row>
    <row r="770">
      <c r="I770" s="89"/>
      <c r="M770" s="63"/>
      <c r="N770" s="63"/>
    </row>
    <row r="771">
      <c r="I771" s="89"/>
      <c r="M771" s="63"/>
      <c r="N771" s="63"/>
    </row>
    <row r="772">
      <c r="I772" s="89"/>
      <c r="M772" s="63"/>
      <c r="N772" s="63"/>
    </row>
    <row r="773">
      <c r="I773" s="89"/>
      <c r="M773" s="63"/>
      <c r="N773" s="63"/>
    </row>
    <row r="774">
      <c r="I774" s="89"/>
      <c r="M774" s="63"/>
      <c r="N774" s="63"/>
    </row>
    <row r="775">
      <c r="I775" s="89"/>
      <c r="M775" s="63"/>
      <c r="N775" s="63"/>
    </row>
    <row r="776">
      <c r="I776" s="89"/>
      <c r="M776" s="63"/>
      <c r="N776" s="63"/>
    </row>
    <row r="777">
      <c r="I777" s="89"/>
      <c r="M777" s="63"/>
      <c r="N777" s="63"/>
    </row>
    <row r="778">
      <c r="I778" s="89"/>
      <c r="M778" s="63"/>
      <c r="N778" s="63"/>
    </row>
    <row r="779">
      <c r="I779" s="89"/>
      <c r="M779" s="63"/>
      <c r="N779" s="63"/>
    </row>
    <row r="780">
      <c r="I780" s="89"/>
      <c r="M780" s="63"/>
      <c r="N780" s="63"/>
    </row>
    <row r="781">
      <c r="I781" s="89"/>
      <c r="M781" s="63"/>
      <c r="N781" s="63"/>
    </row>
    <row r="782">
      <c r="I782" s="89"/>
      <c r="M782" s="63"/>
      <c r="N782" s="63"/>
    </row>
    <row r="783">
      <c r="I783" s="89"/>
      <c r="M783" s="63"/>
      <c r="N783" s="63"/>
    </row>
    <row r="784">
      <c r="I784" s="89"/>
      <c r="M784" s="63"/>
      <c r="N784" s="63"/>
    </row>
    <row r="785">
      <c r="I785" s="89"/>
      <c r="M785" s="63"/>
      <c r="N785" s="63"/>
    </row>
    <row r="786">
      <c r="I786" s="89"/>
      <c r="M786" s="63"/>
      <c r="N786" s="63"/>
    </row>
    <row r="787">
      <c r="I787" s="89"/>
      <c r="M787" s="63"/>
      <c r="N787" s="63"/>
    </row>
    <row r="788">
      <c r="I788" s="89"/>
      <c r="M788" s="63"/>
      <c r="N788" s="63"/>
    </row>
    <row r="789">
      <c r="I789" s="89"/>
      <c r="M789" s="63"/>
      <c r="N789" s="63"/>
    </row>
    <row r="790">
      <c r="I790" s="89"/>
      <c r="M790" s="63"/>
      <c r="N790" s="63"/>
    </row>
    <row r="791">
      <c r="I791" s="89"/>
      <c r="M791" s="63"/>
      <c r="N791" s="63"/>
    </row>
    <row r="792">
      <c r="I792" s="89"/>
      <c r="M792" s="63"/>
      <c r="N792" s="63"/>
    </row>
    <row r="793">
      <c r="I793" s="89"/>
      <c r="M793" s="63"/>
      <c r="N793" s="63"/>
    </row>
    <row r="794">
      <c r="I794" s="89"/>
      <c r="M794" s="63"/>
      <c r="N794" s="63"/>
    </row>
    <row r="795">
      <c r="I795" s="89"/>
      <c r="M795" s="63"/>
      <c r="N795" s="63"/>
    </row>
    <row r="796">
      <c r="I796" s="89"/>
      <c r="M796" s="63"/>
      <c r="N796" s="63"/>
    </row>
    <row r="797">
      <c r="I797" s="89"/>
      <c r="M797" s="63"/>
      <c r="N797" s="63"/>
    </row>
    <row r="798">
      <c r="I798" s="89"/>
      <c r="M798" s="63"/>
      <c r="N798" s="63"/>
    </row>
    <row r="799">
      <c r="I799" s="89"/>
      <c r="M799" s="63"/>
      <c r="N799" s="63"/>
    </row>
    <row r="800">
      <c r="I800" s="89"/>
      <c r="M800" s="63"/>
      <c r="N800" s="63"/>
    </row>
    <row r="801">
      <c r="I801" s="89"/>
      <c r="M801" s="63"/>
      <c r="N801" s="63"/>
    </row>
    <row r="802">
      <c r="I802" s="89"/>
      <c r="M802" s="63"/>
      <c r="N802" s="63"/>
    </row>
    <row r="803">
      <c r="I803" s="89"/>
      <c r="M803" s="63"/>
      <c r="N803" s="63"/>
    </row>
    <row r="804">
      <c r="I804" s="89"/>
      <c r="M804" s="63"/>
      <c r="N804" s="63"/>
    </row>
    <row r="805">
      <c r="I805" s="89"/>
      <c r="M805" s="63"/>
      <c r="N805" s="63"/>
    </row>
    <row r="806">
      <c r="I806" s="89"/>
      <c r="M806" s="63"/>
      <c r="N806" s="63"/>
    </row>
    <row r="807">
      <c r="I807" s="89"/>
      <c r="M807" s="63"/>
      <c r="N807" s="63"/>
    </row>
    <row r="808">
      <c r="I808" s="89"/>
      <c r="M808" s="63"/>
      <c r="N808" s="63"/>
    </row>
    <row r="809">
      <c r="I809" s="89"/>
      <c r="M809" s="63"/>
      <c r="N809" s="63"/>
    </row>
    <row r="810">
      <c r="I810" s="89"/>
      <c r="M810" s="63"/>
      <c r="N810" s="63"/>
    </row>
    <row r="811">
      <c r="I811" s="89"/>
      <c r="M811" s="63"/>
      <c r="N811" s="63"/>
    </row>
    <row r="812">
      <c r="I812" s="89"/>
      <c r="M812" s="63"/>
      <c r="N812" s="63"/>
    </row>
    <row r="813">
      <c r="I813" s="89"/>
      <c r="M813" s="63"/>
      <c r="N813" s="63"/>
    </row>
    <row r="814">
      <c r="I814" s="89"/>
      <c r="M814" s="63"/>
      <c r="N814" s="63"/>
    </row>
    <row r="815">
      <c r="I815" s="89"/>
      <c r="M815" s="63"/>
      <c r="N815" s="63"/>
    </row>
    <row r="816">
      <c r="I816" s="89"/>
      <c r="M816" s="63"/>
      <c r="N816" s="63"/>
    </row>
    <row r="817">
      <c r="I817" s="89"/>
      <c r="M817" s="63"/>
      <c r="N817" s="63"/>
    </row>
    <row r="818">
      <c r="I818" s="89"/>
      <c r="M818" s="63"/>
      <c r="N818" s="63"/>
    </row>
    <row r="819">
      <c r="I819" s="89"/>
      <c r="M819" s="63"/>
      <c r="N819" s="63"/>
    </row>
    <row r="820">
      <c r="I820" s="89"/>
      <c r="M820" s="63"/>
      <c r="N820" s="63"/>
    </row>
    <row r="821">
      <c r="I821" s="89"/>
      <c r="M821" s="63"/>
      <c r="N821" s="63"/>
    </row>
    <row r="822">
      <c r="I822" s="89"/>
      <c r="M822" s="63"/>
      <c r="N822" s="63"/>
    </row>
    <row r="823">
      <c r="I823" s="89"/>
      <c r="M823" s="63"/>
      <c r="N823" s="63"/>
    </row>
    <row r="824">
      <c r="I824" s="89"/>
      <c r="M824" s="63"/>
      <c r="N824" s="63"/>
    </row>
    <row r="825">
      <c r="I825" s="89"/>
      <c r="M825" s="63"/>
      <c r="N825" s="63"/>
    </row>
    <row r="826">
      <c r="I826" s="89"/>
      <c r="M826" s="63"/>
      <c r="N826" s="63"/>
    </row>
    <row r="827">
      <c r="I827" s="89"/>
      <c r="M827" s="63"/>
      <c r="N827" s="63"/>
    </row>
    <row r="828">
      <c r="I828" s="89"/>
      <c r="M828" s="63"/>
      <c r="N828" s="63"/>
    </row>
    <row r="829">
      <c r="I829" s="89"/>
      <c r="M829" s="63"/>
      <c r="N829" s="63"/>
    </row>
    <row r="830">
      <c r="I830" s="89"/>
      <c r="M830" s="63"/>
      <c r="N830" s="63"/>
    </row>
    <row r="831">
      <c r="I831" s="89"/>
      <c r="M831" s="63"/>
      <c r="N831" s="63"/>
    </row>
    <row r="832">
      <c r="I832" s="89"/>
      <c r="M832" s="63"/>
      <c r="N832" s="63"/>
    </row>
    <row r="833">
      <c r="I833" s="89"/>
      <c r="M833" s="63"/>
      <c r="N833" s="63"/>
    </row>
    <row r="834">
      <c r="I834" s="89"/>
      <c r="M834" s="63"/>
      <c r="N834" s="63"/>
    </row>
    <row r="835">
      <c r="I835" s="89"/>
      <c r="M835" s="63"/>
      <c r="N835" s="63"/>
    </row>
    <row r="836">
      <c r="I836" s="89"/>
      <c r="M836" s="63"/>
      <c r="N836" s="63"/>
    </row>
    <row r="837">
      <c r="I837" s="89"/>
      <c r="M837" s="63"/>
      <c r="N837" s="63"/>
    </row>
    <row r="838">
      <c r="I838" s="89"/>
      <c r="M838" s="63"/>
      <c r="N838" s="63"/>
    </row>
    <row r="839">
      <c r="I839" s="89"/>
      <c r="M839" s="63"/>
      <c r="N839" s="63"/>
    </row>
    <row r="840">
      <c r="I840" s="89"/>
      <c r="M840" s="63"/>
      <c r="N840" s="63"/>
    </row>
    <row r="841">
      <c r="I841" s="89"/>
      <c r="M841" s="63"/>
      <c r="N841" s="63"/>
    </row>
    <row r="842">
      <c r="I842" s="89"/>
      <c r="M842" s="63"/>
      <c r="N842" s="63"/>
    </row>
    <row r="843">
      <c r="I843" s="89"/>
      <c r="M843" s="63"/>
      <c r="N843" s="63"/>
    </row>
    <row r="844">
      <c r="I844" s="89"/>
      <c r="M844" s="63"/>
      <c r="N844" s="63"/>
    </row>
    <row r="845">
      <c r="I845" s="89"/>
      <c r="M845" s="63"/>
      <c r="N845" s="63"/>
    </row>
    <row r="846">
      <c r="I846" s="89"/>
      <c r="M846" s="63"/>
      <c r="N846" s="63"/>
    </row>
    <row r="847">
      <c r="I847" s="89"/>
      <c r="M847" s="63"/>
      <c r="N847" s="63"/>
    </row>
    <row r="848">
      <c r="I848" s="89"/>
      <c r="M848" s="63"/>
      <c r="N848" s="63"/>
    </row>
    <row r="849">
      <c r="I849" s="89"/>
      <c r="M849" s="63"/>
      <c r="N849" s="63"/>
    </row>
    <row r="850">
      <c r="I850" s="89"/>
      <c r="M850" s="63"/>
      <c r="N850" s="63"/>
    </row>
    <row r="851">
      <c r="I851" s="89"/>
      <c r="M851" s="63"/>
      <c r="N851" s="63"/>
    </row>
    <row r="852">
      <c r="I852" s="89"/>
      <c r="M852" s="63"/>
      <c r="N852" s="63"/>
    </row>
    <row r="853">
      <c r="I853" s="89"/>
      <c r="M853" s="63"/>
      <c r="N853" s="63"/>
    </row>
    <row r="854">
      <c r="I854" s="89"/>
      <c r="M854" s="63"/>
      <c r="N854" s="63"/>
    </row>
    <row r="855">
      <c r="I855" s="89"/>
      <c r="M855" s="63"/>
      <c r="N855" s="63"/>
    </row>
    <row r="856">
      <c r="I856" s="89"/>
      <c r="M856" s="63"/>
      <c r="N856" s="63"/>
    </row>
    <row r="857">
      <c r="I857" s="89"/>
      <c r="M857" s="63"/>
      <c r="N857" s="63"/>
    </row>
    <row r="858">
      <c r="I858" s="89"/>
      <c r="M858" s="63"/>
      <c r="N858" s="63"/>
    </row>
    <row r="859">
      <c r="I859" s="89"/>
      <c r="M859" s="63"/>
      <c r="N859" s="63"/>
    </row>
    <row r="860">
      <c r="I860" s="89"/>
      <c r="M860" s="63"/>
      <c r="N860" s="63"/>
    </row>
    <row r="861">
      <c r="I861" s="89"/>
      <c r="M861" s="63"/>
      <c r="N861" s="63"/>
    </row>
    <row r="862">
      <c r="I862" s="89"/>
      <c r="M862" s="63"/>
      <c r="N862" s="63"/>
    </row>
    <row r="863">
      <c r="I863" s="89"/>
      <c r="M863" s="63"/>
      <c r="N863" s="63"/>
    </row>
    <row r="864">
      <c r="I864" s="89"/>
      <c r="M864" s="63"/>
      <c r="N864" s="63"/>
    </row>
    <row r="865">
      <c r="I865" s="89"/>
      <c r="M865" s="63"/>
      <c r="N865" s="63"/>
    </row>
    <row r="866">
      <c r="I866" s="89"/>
      <c r="M866" s="63"/>
      <c r="N866" s="63"/>
    </row>
    <row r="867">
      <c r="I867" s="89"/>
      <c r="M867" s="63"/>
      <c r="N867" s="63"/>
    </row>
    <row r="868">
      <c r="I868" s="89"/>
      <c r="M868" s="63"/>
      <c r="N868" s="63"/>
    </row>
    <row r="869">
      <c r="I869" s="89"/>
      <c r="M869" s="63"/>
      <c r="N869" s="63"/>
    </row>
    <row r="870">
      <c r="I870" s="89"/>
      <c r="M870" s="63"/>
      <c r="N870" s="63"/>
    </row>
    <row r="871">
      <c r="I871" s="89"/>
      <c r="M871" s="63"/>
      <c r="N871" s="63"/>
    </row>
    <row r="872">
      <c r="I872" s="89"/>
      <c r="M872" s="63"/>
      <c r="N872" s="63"/>
    </row>
    <row r="873">
      <c r="I873" s="89"/>
      <c r="M873" s="63"/>
      <c r="N873" s="63"/>
    </row>
    <row r="874">
      <c r="I874" s="89"/>
      <c r="M874" s="63"/>
      <c r="N874" s="63"/>
    </row>
    <row r="875">
      <c r="I875" s="89"/>
      <c r="M875" s="63"/>
      <c r="N875" s="63"/>
    </row>
    <row r="876">
      <c r="I876" s="89"/>
      <c r="M876" s="63"/>
      <c r="N876" s="63"/>
    </row>
    <row r="877">
      <c r="I877" s="89"/>
      <c r="M877" s="63"/>
      <c r="N877" s="63"/>
    </row>
    <row r="878">
      <c r="I878" s="89"/>
      <c r="M878" s="63"/>
      <c r="N878" s="63"/>
    </row>
    <row r="879">
      <c r="I879" s="89"/>
      <c r="M879" s="63"/>
      <c r="N879" s="63"/>
    </row>
    <row r="880">
      <c r="I880" s="89"/>
      <c r="M880" s="63"/>
      <c r="N880" s="63"/>
    </row>
    <row r="881">
      <c r="I881" s="89"/>
      <c r="M881" s="63"/>
      <c r="N881" s="63"/>
    </row>
    <row r="882">
      <c r="I882" s="89"/>
      <c r="M882" s="63"/>
      <c r="N882" s="63"/>
    </row>
    <row r="883">
      <c r="I883" s="89"/>
      <c r="M883" s="63"/>
      <c r="N883" s="63"/>
    </row>
    <row r="884">
      <c r="I884" s="89"/>
      <c r="M884" s="63"/>
      <c r="N884" s="63"/>
    </row>
    <row r="885">
      <c r="I885" s="89"/>
      <c r="M885" s="63"/>
      <c r="N885" s="63"/>
    </row>
    <row r="886">
      <c r="I886" s="89"/>
      <c r="M886" s="63"/>
      <c r="N886" s="63"/>
    </row>
    <row r="887">
      <c r="I887" s="89"/>
      <c r="M887" s="63"/>
      <c r="N887" s="63"/>
    </row>
    <row r="888">
      <c r="I888" s="89"/>
      <c r="M888" s="63"/>
      <c r="N888" s="63"/>
    </row>
    <row r="889">
      <c r="I889" s="89"/>
      <c r="M889" s="63"/>
      <c r="N889" s="63"/>
    </row>
    <row r="890">
      <c r="I890" s="89"/>
      <c r="M890" s="63"/>
      <c r="N890" s="63"/>
    </row>
    <row r="891">
      <c r="I891" s="89"/>
      <c r="M891" s="63"/>
      <c r="N891" s="63"/>
    </row>
    <row r="892">
      <c r="I892" s="89"/>
      <c r="M892" s="63"/>
      <c r="N892" s="63"/>
    </row>
    <row r="893">
      <c r="I893" s="89"/>
      <c r="M893" s="63"/>
      <c r="N893" s="63"/>
    </row>
    <row r="894">
      <c r="I894" s="89"/>
      <c r="M894" s="63"/>
      <c r="N894" s="63"/>
    </row>
    <row r="895">
      <c r="I895" s="89"/>
      <c r="M895" s="63"/>
      <c r="N895" s="63"/>
    </row>
    <row r="896">
      <c r="I896" s="89"/>
      <c r="M896" s="63"/>
      <c r="N896" s="63"/>
    </row>
    <row r="897">
      <c r="I897" s="89"/>
      <c r="M897" s="63"/>
      <c r="N897" s="63"/>
    </row>
    <row r="898">
      <c r="I898" s="89"/>
      <c r="M898" s="63"/>
      <c r="N898" s="63"/>
    </row>
    <row r="899">
      <c r="I899" s="89"/>
      <c r="M899" s="63"/>
      <c r="N899" s="63"/>
    </row>
    <row r="900">
      <c r="I900" s="89"/>
      <c r="M900" s="63"/>
      <c r="N900" s="63"/>
    </row>
    <row r="901">
      <c r="I901" s="89"/>
      <c r="M901" s="63"/>
      <c r="N901" s="63"/>
    </row>
    <row r="902">
      <c r="I902" s="89"/>
      <c r="M902" s="63"/>
      <c r="N902" s="63"/>
    </row>
    <row r="903">
      <c r="I903" s="89"/>
      <c r="M903" s="63"/>
      <c r="N903" s="63"/>
    </row>
    <row r="904">
      <c r="I904" s="89"/>
      <c r="M904" s="63"/>
      <c r="N904" s="63"/>
    </row>
    <row r="905">
      <c r="I905" s="89"/>
      <c r="M905" s="63"/>
      <c r="N905" s="63"/>
    </row>
    <row r="906">
      <c r="I906" s="89"/>
      <c r="M906" s="63"/>
      <c r="N906" s="63"/>
    </row>
    <row r="907">
      <c r="I907" s="89"/>
      <c r="M907" s="63"/>
      <c r="N907" s="63"/>
    </row>
    <row r="908">
      <c r="I908" s="89"/>
      <c r="M908" s="63"/>
      <c r="N908" s="63"/>
    </row>
    <row r="909">
      <c r="I909" s="89"/>
      <c r="M909" s="63"/>
      <c r="N909" s="63"/>
    </row>
    <row r="910">
      <c r="I910" s="89"/>
      <c r="M910" s="63"/>
      <c r="N910" s="63"/>
    </row>
    <row r="911">
      <c r="I911" s="89"/>
      <c r="M911" s="63"/>
      <c r="N911" s="63"/>
    </row>
    <row r="912">
      <c r="I912" s="89"/>
      <c r="M912" s="63"/>
      <c r="N912" s="63"/>
    </row>
    <row r="913">
      <c r="I913" s="89"/>
      <c r="M913" s="63"/>
      <c r="N913" s="63"/>
    </row>
    <row r="914">
      <c r="I914" s="89"/>
      <c r="M914" s="63"/>
      <c r="N914" s="63"/>
    </row>
    <row r="915">
      <c r="I915" s="89"/>
      <c r="M915" s="63"/>
      <c r="N915" s="63"/>
    </row>
    <row r="916">
      <c r="I916" s="89"/>
      <c r="M916" s="63"/>
      <c r="N916" s="63"/>
    </row>
    <row r="917">
      <c r="I917" s="89"/>
      <c r="M917" s="63"/>
      <c r="N917" s="63"/>
    </row>
    <row r="918">
      <c r="I918" s="89"/>
      <c r="M918" s="63"/>
      <c r="N918" s="63"/>
    </row>
    <row r="919">
      <c r="I919" s="89"/>
      <c r="M919" s="63"/>
      <c r="N919" s="63"/>
    </row>
    <row r="920">
      <c r="I920" s="89"/>
      <c r="M920" s="63"/>
      <c r="N920" s="63"/>
    </row>
    <row r="921">
      <c r="I921" s="89"/>
      <c r="M921" s="63"/>
      <c r="N921" s="63"/>
    </row>
    <row r="922">
      <c r="I922" s="89"/>
      <c r="M922" s="63"/>
      <c r="N922" s="63"/>
    </row>
    <row r="923">
      <c r="I923" s="89"/>
      <c r="M923" s="63"/>
      <c r="N923" s="63"/>
    </row>
    <row r="924">
      <c r="I924" s="89"/>
      <c r="M924" s="63"/>
      <c r="N924" s="63"/>
    </row>
    <row r="925">
      <c r="I925" s="89"/>
      <c r="M925" s="63"/>
      <c r="N925" s="63"/>
    </row>
    <row r="926">
      <c r="I926" s="89"/>
      <c r="M926" s="63"/>
      <c r="N926" s="63"/>
    </row>
    <row r="927">
      <c r="I927" s="89"/>
      <c r="M927" s="63"/>
      <c r="N927" s="63"/>
    </row>
    <row r="928">
      <c r="I928" s="89"/>
      <c r="M928" s="63"/>
      <c r="N928" s="63"/>
    </row>
    <row r="929">
      <c r="I929" s="89"/>
      <c r="M929" s="63"/>
      <c r="N929" s="63"/>
    </row>
    <row r="930">
      <c r="I930" s="89"/>
      <c r="M930" s="63"/>
      <c r="N930" s="63"/>
    </row>
    <row r="931">
      <c r="I931" s="89"/>
      <c r="M931" s="63"/>
      <c r="N931" s="63"/>
    </row>
    <row r="932">
      <c r="I932" s="89"/>
      <c r="M932" s="63"/>
      <c r="N932" s="63"/>
    </row>
    <row r="933">
      <c r="I933" s="89"/>
      <c r="M933" s="63"/>
      <c r="N933" s="63"/>
    </row>
    <row r="934">
      <c r="I934" s="89"/>
      <c r="M934" s="63"/>
      <c r="N934" s="63"/>
    </row>
    <row r="935">
      <c r="I935" s="89"/>
      <c r="M935" s="63"/>
      <c r="N935" s="63"/>
    </row>
    <row r="936">
      <c r="I936" s="89"/>
      <c r="M936" s="63"/>
      <c r="N936" s="63"/>
    </row>
    <row r="937">
      <c r="I937" s="89"/>
      <c r="M937" s="63"/>
      <c r="N937" s="63"/>
    </row>
    <row r="938">
      <c r="I938" s="89"/>
      <c r="M938" s="63"/>
      <c r="N938" s="63"/>
    </row>
    <row r="939">
      <c r="I939" s="89"/>
      <c r="M939" s="63"/>
      <c r="N939" s="63"/>
    </row>
    <row r="940">
      <c r="I940" s="89"/>
      <c r="M940" s="63"/>
      <c r="N940" s="63"/>
    </row>
    <row r="941">
      <c r="I941" s="89"/>
      <c r="M941" s="63"/>
      <c r="N941" s="63"/>
    </row>
    <row r="942">
      <c r="I942" s="89"/>
      <c r="M942" s="63"/>
      <c r="N942" s="63"/>
    </row>
    <row r="943">
      <c r="I943" s="89"/>
      <c r="M943" s="63"/>
      <c r="N943" s="63"/>
    </row>
    <row r="944">
      <c r="I944" s="89"/>
      <c r="M944" s="63"/>
      <c r="N944" s="63"/>
    </row>
    <row r="945">
      <c r="I945" s="89"/>
      <c r="M945" s="63"/>
      <c r="N945" s="63"/>
    </row>
    <row r="946">
      <c r="I946" s="89"/>
      <c r="M946" s="63"/>
      <c r="N946" s="63"/>
    </row>
    <row r="947">
      <c r="I947" s="89"/>
      <c r="M947" s="63"/>
      <c r="N947" s="63"/>
    </row>
    <row r="948">
      <c r="I948" s="89"/>
      <c r="M948" s="63"/>
      <c r="N948" s="63"/>
    </row>
    <row r="949">
      <c r="I949" s="89"/>
      <c r="M949" s="63"/>
      <c r="N949" s="63"/>
    </row>
    <row r="950">
      <c r="I950" s="89"/>
      <c r="M950" s="63"/>
      <c r="N950" s="63"/>
    </row>
    <row r="951">
      <c r="I951" s="89"/>
      <c r="M951" s="63"/>
      <c r="N951" s="63"/>
    </row>
    <row r="952">
      <c r="I952" s="89"/>
      <c r="M952" s="63"/>
      <c r="N952" s="63"/>
    </row>
    <row r="953">
      <c r="I953" s="89"/>
      <c r="M953" s="63"/>
      <c r="N953" s="63"/>
    </row>
    <row r="954">
      <c r="I954" s="89"/>
      <c r="M954" s="63"/>
      <c r="N954" s="63"/>
    </row>
    <row r="955">
      <c r="I955" s="89"/>
      <c r="M955" s="63"/>
      <c r="N955" s="63"/>
    </row>
    <row r="956">
      <c r="I956" s="89"/>
      <c r="M956" s="63"/>
      <c r="N956" s="63"/>
    </row>
    <row r="957">
      <c r="I957" s="89"/>
      <c r="M957" s="63"/>
      <c r="N957" s="63"/>
    </row>
    <row r="958">
      <c r="I958" s="89"/>
      <c r="M958" s="63"/>
      <c r="N958" s="63"/>
    </row>
    <row r="959">
      <c r="I959" s="89"/>
      <c r="M959" s="63"/>
      <c r="N959" s="63"/>
    </row>
    <row r="960">
      <c r="I960" s="89"/>
      <c r="M960" s="63"/>
      <c r="N960" s="63"/>
    </row>
    <row r="961">
      <c r="I961" s="89"/>
      <c r="M961" s="63"/>
      <c r="N961" s="63"/>
    </row>
    <row r="962">
      <c r="I962" s="89"/>
      <c r="M962" s="63"/>
      <c r="N962" s="63"/>
    </row>
    <row r="963">
      <c r="I963" s="89"/>
      <c r="M963" s="63"/>
      <c r="N963" s="63"/>
    </row>
    <row r="964">
      <c r="I964" s="89"/>
      <c r="M964" s="63"/>
      <c r="N964" s="63"/>
    </row>
    <row r="965">
      <c r="I965" s="89"/>
      <c r="M965" s="63"/>
      <c r="N965" s="63"/>
    </row>
    <row r="966">
      <c r="I966" s="89"/>
      <c r="M966" s="63"/>
      <c r="N966" s="63"/>
    </row>
    <row r="967">
      <c r="I967" s="89"/>
      <c r="M967" s="63"/>
      <c r="N967" s="63"/>
    </row>
    <row r="968">
      <c r="I968" s="89"/>
      <c r="M968" s="63"/>
      <c r="N968" s="63"/>
    </row>
    <row r="969">
      <c r="I969" s="89"/>
      <c r="M969" s="63"/>
      <c r="N969" s="63"/>
    </row>
    <row r="970">
      <c r="I970" s="89"/>
      <c r="M970" s="63"/>
      <c r="N970" s="63"/>
    </row>
    <row r="971">
      <c r="I971" s="89"/>
      <c r="M971" s="63"/>
      <c r="N971" s="63"/>
    </row>
    <row r="972">
      <c r="I972" s="89"/>
      <c r="M972" s="63"/>
      <c r="N972" s="63"/>
    </row>
    <row r="973">
      <c r="I973" s="89"/>
      <c r="M973" s="63"/>
      <c r="N973" s="63"/>
    </row>
    <row r="974">
      <c r="I974" s="89"/>
      <c r="M974" s="63"/>
      <c r="N974" s="63"/>
    </row>
    <row r="975">
      <c r="I975" s="89"/>
      <c r="M975" s="63"/>
      <c r="N975" s="63"/>
    </row>
    <row r="976">
      <c r="I976" s="89"/>
      <c r="M976" s="63"/>
      <c r="N976" s="63"/>
    </row>
    <row r="977">
      <c r="I977" s="89"/>
      <c r="M977" s="63"/>
      <c r="N977" s="63"/>
    </row>
    <row r="978">
      <c r="I978" s="89"/>
      <c r="M978" s="63"/>
      <c r="N978" s="63"/>
    </row>
    <row r="979">
      <c r="I979" s="89"/>
      <c r="M979" s="63"/>
      <c r="N979" s="63"/>
    </row>
    <row r="980">
      <c r="I980" s="89"/>
      <c r="M980" s="63"/>
      <c r="N980" s="63"/>
    </row>
    <row r="981">
      <c r="I981" s="89"/>
      <c r="M981" s="63"/>
      <c r="N981" s="63"/>
    </row>
    <row r="982">
      <c r="I982" s="89"/>
      <c r="M982" s="63"/>
      <c r="N982" s="63"/>
    </row>
    <row r="983">
      <c r="I983" s="89"/>
      <c r="M983" s="63"/>
      <c r="N983" s="63"/>
    </row>
    <row r="984">
      <c r="I984" s="89"/>
      <c r="M984" s="63"/>
      <c r="N984" s="63"/>
    </row>
    <row r="985">
      <c r="I985" s="89"/>
      <c r="M985" s="63"/>
      <c r="N985" s="63"/>
    </row>
    <row r="986">
      <c r="I986" s="89"/>
      <c r="M986" s="63"/>
      <c r="N986" s="63"/>
    </row>
    <row r="987">
      <c r="I987" s="89"/>
      <c r="M987" s="63"/>
      <c r="N987" s="63"/>
    </row>
    <row r="988">
      <c r="I988" s="89"/>
      <c r="M988" s="63"/>
      <c r="N988" s="63"/>
    </row>
    <row r="989">
      <c r="I989" s="89"/>
      <c r="M989" s="63"/>
      <c r="N989" s="63"/>
    </row>
    <row r="990">
      <c r="I990" s="89"/>
      <c r="M990" s="63"/>
      <c r="N990" s="63"/>
    </row>
    <row r="991">
      <c r="I991" s="89"/>
      <c r="M991" s="63"/>
      <c r="N991" s="63"/>
    </row>
    <row r="992">
      <c r="I992" s="89"/>
      <c r="M992" s="63"/>
      <c r="N992" s="63"/>
    </row>
    <row r="993">
      <c r="I993" s="89"/>
      <c r="M993" s="63"/>
      <c r="N993" s="63"/>
    </row>
    <row r="994">
      <c r="I994" s="89"/>
      <c r="M994" s="63"/>
      <c r="N994" s="63"/>
    </row>
    <row r="995">
      <c r="I995" s="89"/>
      <c r="M995" s="63"/>
      <c r="N995" s="63"/>
    </row>
    <row r="996">
      <c r="I996" s="89"/>
      <c r="M996" s="63"/>
      <c r="N996" s="63"/>
    </row>
    <row r="997">
      <c r="I997" s="89"/>
      <c r="M997" s="63"/>
      <c r="N997" s="63"/>
    </row>
    <row r="998">
      <c r="I998" s="89"/>
      <c r="M998" s="63"/>
      <c r="N998" s="63"/>
    </row>
    <row r="999">
      <c r="I999" s="89"/>
      <c r="M999" s="63"/>
      <c r="N999" s="63"/>
    </row>
    <row r="1000">
      <c r="I1000" s="89"/>
      <c r="M1000" s="63"/>
      <c r="N1000" s="63"/>
    </row>
  </sheetData>
  <dataValidations>
    <dataValidation type="list" allowBlank="1" showErrorMessage="1" sqref="B1:B75 B96:B99 B113:B116 B137:B142 B151 B166:B168 B179 B188 B190:B195 B197:B255 B260:B264 B266:B278 B285 B298:B567">
      <formula1>'Prev. Dashboard'!B$20:B$43</formula1>
    </dataValidation>
    <dataValidation type="list" allowBlank="1" showErrorMessage="1" sqref="D36:D37 D68:D69 D72:D73">
      <formula1>"SMA - Chidi Iwuchukwu,SMA,SADF$,GIF$,SMA - Consonance,SMA - OneFi,Leverage,SMA - Lion&amp;Lily"</formula1>
    </dataValidation>
    <dataValidation type="list" allowBlank="1" showErrorMessage="1" sqref="E70:E71 E74:E112 E117:E136">
      <formula1>"Kingsley,Kamil,Rasheed,Fareed"</formula1>
    </dataValidation>
    <dataValidation type="list" allowBlank="1" showErrorMessage="1" sqref="C1:C567">
      <formula1>"Stanbic,Rencap,Mauritius"</formula1>
    </dataValidation>
    <dataValidation type="list" allowBlank="1" showErrorMessage="1" sqref="E142">
      <formula1>"Kingsley,Kamil,Rasheed,William"</formula1>
    </dataValidation>
    <dataValidation type="list" allowBlank="1" showErrorMessage="1" sqref="F1:F567">
      <formula1>"Sell,Buy"</formula1>
    </dataValidation>
    <dataValidation type="list" allowBlank="1" showErrorMessage="1" sqref="E113:E116 E198:E206 E208:E223 E225:E232">
      <formula1>"Kingsley,Kamil,Rasheed,Fareed,William"</formula1>
    </dataValidation>
    <dataValidation type="list" allowBlank="1" showErrorMessage="1" sqref="E9:E12 E14:E32">
      <formula1>"Kingsley,Kamil,Rasheed,Dapo,Victor,Fareed"</formula1>
    </dataValidation>
    <dataValidation type="list" allowBlank="1" showErrorMessage="1" sqref="E137:E138">
      <formula1>"Kingsley,Kamil,Rasheed,Femi Adisa"</formula1>
    </dataValidation>
    <dataValidation type="list" allowBlank="1" showErrorMessage="1" sqref="B76:B92 B95 B100 B128 B130:B132 B134 B136 B143 B149:B150 B161:B165 B169 B171:B172 B176:B178 B180 B182:B183 B187 B189 B256:B259 B265 B279:B284 B289 B291:B297">
      <formula1>'Prev. Dashboard'!B$20:B$61</formula1>
    </dataValidation>
    <dataValidation type="list" allowBlank="1" showErrorMessage="1" sqref="B93:B94 B101:B112 B117:B127 B129 B133 B135 B144:B148 B152:B160 B170 B173:B175 B181 B184:B186 B196 B286:B288 B290">
      <formula1>'Prev. Dashboard'!B$20:B$54</formula1>
    </dataValidation>
    <dataValidation type="list" allowBlank="1" showErrorMessage="1" sqref="D1:D35 D38:D67 D70:D71 D74:D567">
      <formula1>"SMA - Chidi Iwuchukwu,SADF$,GIF$,SMA - Consonance,SMA - OneFi,Leverage,SMA - Lion&amp;Lily"</formula1>
    </dataValidation>
    <dataValidation type="list" allowBlank="1" showErrorMessage="1" sqref="E1:E8 E13 E33:E69 E72:E73 E139:E141 E143:E197 E207 E224 E233:E567">
      <formula1>"Kingsley,Kamil,Rasheed"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4.43" defaultRowHeight="15.0"/>
  <cols>
    <col customWidth="1" min="1" max="1" width="4.43"/>
    <col customWidth="1" min="2" max="2" width="23.57"/>
    <col customWidth="1" min="3" max="3" width="13.43"/>
    <col customWidth="1" min="4" max="4" width="8.0"/>
    <col customWidth="1" min="5" max="5" width="6.71"/>
    <col customWidth="1" min="6" max="6" width="8.29"/>
    <col customWidth="1" min="7" max="7" width="18.86"/>
    <col customWidth="1" min="8" max="8" width="4.71"/>
    <col customWidth="1" min="9" max="9" width="10.71"/>
    <col customWidth="1" min="10" max="10" width="9.0"/>
    <col customWidth="1" min="11" max="11" width="13.71"/>
    <col customWidth="1" min="12" max="12" width="9.29"/>
    <col customWidth="1" min="13" max="13" width="11.43"/>
    <col customWidth="1" min="14" max="14" width="9.29"/>
    <col customWidth="1" min="15" max="15" width="13.29"/>
    <col customWidth="1" min="16" max="16" width="6.14"/>
    <col customWidth="1" min="17" max="17" width="6.86"/>
    <col customWidth="1" min="18" max="19" width="12.0"/>
    <col customWidth="1" min="20" max="20" width="13.29"/>
    <col customWidth="1" min="21" max="21" width="13.14"/>
    <col customWidth="1" min="22" max="22" width="7.86"/>
    <col customWidth="1" min="23" max="23" width="18.0"/>
    <col customWidth="1" min="24" max="24" width="13.14"/>
    <col customWidth="1" min="25" max="25" width="11.71"/>
    <col customWidth="1" min="26" max="26" width="4.71"/>
    <col customWidth="1" min="27" max="27" width="6.86"/>
    <col customWidth="1" min="28" max="28" width="3.86"/>
    <col customWidth="1" min="29" max="30" width="10.29"/>
    <col customWidth="1" min="31" max="32" width="9.29"/>
    <col customWidth="1" min="33" max="33" width="4.57"/>
    <col customWidth="1" hidden="1" min="34" max="34" width="9.14"/>
  </cols>
  <sheetData>
    <row r="1" ht="12.0" customHeight="1">
      <c r="A1" s="3"/>
      <c r="B1" s="3"/>
      <c r="C1" s="7"/>
      <c r="D1" s="9"/>
      <c r="E1" s="9"/>
      <c r="F1" s="9"/>
      <c r="G1" s="3"/>
      <c r="H1" s="3"/>
      <c r="I1" s="3"/>
      <c r="J1" s="3"/>
      <c r="K1" s="3"/>
      <c r="L1" s="14">
        <f>TODAY()</f>
        <v>46267</v>
      </c>
      <c r="M1" s="16">
        <v>44196.0</v>
      </c>
      <c r="N1" s="9">
        <v>364.0</v>
      </c>
      <c r="O1" s="9">
        <f>N1/2</f>
        <v>182</v>
      </c>
      <c r="P1" s="3"/>
      <c r="Q1" s="3"/>
      <c r="R1" s="21"/>
      <c r="S1" s="9"/>
      <c r="T1" s="9"/>
      <c r="U1" s="9"/>
      <c r="V1" s="9"/>
      <c r="W1" s="9"/>
      <c r="X1" s="9"/>
      <c r="Y1" s="9"/>
      <c r="Z1" s="9"/>
      <c r="AA1" s="3"/>
      <c r="AB1" s="3"/>
      <c r="AC1" s="3"/>
      <c r="AD1" s="3"/>
      <c r="AE1" s="3"/>
      <c r="AF1" s="3"/>
      <c r="AG1" s="3"/>
      <c r="AH1" s="3"/>
    </row>
    <row r="2" ht="12.0" customHeight="1">
      <c r="A2" s="3"/>
      <c r="B2" s="3"/>
      <c r="C2" s="7"/>
      <c r="D2" s="9"/>
      <c r="E2" s="9"/>
      <c r="F2" s="9"/>
      <c r="G2" s="24"/>
      <c r="H2" s="24"/>
      <c r="I2" s="3"/>
      <c r="J2" s="3"/>
      <c r="K2" s="3"/>
      <c r="L2" s="3"/>
      <c r="M2" s="3"/>
      <c r="N2" s="3"/>
      <c r="O2" s="3"/>
      <c r="P2" s="3"/>
      <c r="Q2" s="29"/>
      <c r="R2" s="29"/>
      <c r="S2" s="9"/>
      <c r="T2" s="9"/>
      <c r="U2" s="9"/>
      <c r="V2" s="9"/>
      <c r="W2" s="9"/>
      <c r="X2" s="9"/>
      <c r="Y2" s="9"/>
      <c r="Z2" s="9"/>
      <c r="AA2" s="3"/>
      <c r="AB2" s="3"/>
      <c r="AC2" s="3"/>
      <c r="AD2" s="3"/>
      <c r="AE2" s="3"/>
      <c r="AF2" s="3"/>
      <c r="AG2" s="3"/>
      <c r="AH2" s="3"/>
    </row>
    <row r="3" ht="12.0" customHeight="1">
      <c r="A3" s="3"/>
      <c r="B3" s="3"/>
      <c r="C3" s="7"/>
      <c r="D3" s="9"/>
      <c r="E3" s="9"/>
      <c r="F3" s="9"/>
      <c r="G3" s="24"/>
      <c r="H3" s="24"/>
      <c r="I3" s="3"/>
      <c r="J3" s="3"/>
      <c r="K3" s="3"/>
      <c r="L3" s="3"/>
      <c r="M3" s="3"/>
      <c r="N3" s="3"/>
      <c r="O3" s="3"/>
      <c r="P3" s="29"/>
      <c r="Q3" s="29"/>
      <c r="R3" s="29"/>
      <c r="S3" s="9"/>
      <c r="T3" s="9"/>
      <c r="U3" s="9"/>
      <c r="V3" s="9"/>
      <c r="W3" s="9"/>
      <c r="X3" s="9"/>
      <c r="Y3" s="9"/>
      <c r="Z3" s="9"/>
      <c r="AA3" s="3"/>
      <c r="AB3" s="3"/>
      <c r="AC3" s="3"/>
      <c r="AD3" s="3"/>
      <c r="AE3" s="3"/>
      <c r="AF3" s="3"/>
      <c r="AG3" s="3"/>
      <c r="AH3" s="3"/>
    </row>
    <row r="4" ht="12.0" customHeight="1">
      <c r="A4" s="3"/>
      <c r="B4" s="35"/>
      <c r="C4" s="35"/>
      <c r="D4" s="35"/>
      <c r="E4" s="35"/>
      <c r="F4" s="7"/>
      <c r="G4" s="24"/>
      <c r="H4" s="24"/>
      <c r="I4" s="3"/>
      <c r="J4" s="3"/>
      <c r="K4" s="3"/>
      <c r="L4" s="3"/>
      <c r="M4" s="29"/>
      <c r="N4" s="3"/>
      <c r="O4" s="3"/>
      <c r="P4" s="29"/>
      <c r="Q4" s="3"/>
      <c r="R4" s="9"/>
      <c r="S4" s="9"/>
      <c r="T4" s="9"/>
      <c r="U4" s="9"/>
      <c r="V4" s="9"/>
      <c r="W4" s="9"/>
      <c r="X4" s="9"/>
      <c r="Y4" s="9"/>
      <c r="Z4" s="9"/>
      <c r="AA4" s="3"/>
      <c r="AB4" s="3"/>
      <c r="AC4" s="3"/>
      <c r="AD4" s="3"/>
      <c r="AE4" s="3"/>
      <c r="AF4" s="3"/>
      <c r="AG4" s="3"/>
      <c r="AH4" s="3"/>
    </row>
    <row r="5" ht="12.0" customHeight="1">
      <c r="A5" s="41" t="s">
        <v>13</v>
      </c>
      <c r="B5" s="41" t="s">
        <v>16</v>
      </c>
      <c r="C5" s="41" t="s">
        <v>17</v>
      </c>
      <c r="D5" s="41" t="s">
        <v>19</v>
      </c>
      <c r="E5" s="41" t="s">
        <v>11</v>
      </c>
      <c r="F5" s="41" t="s">
        <v>20</v>
      </c>
      <c r="G5" s="41" t="s">
        <v>22</v>
      </c>
      <c r="H5" s="41" t="s">
        <v>23</v>
      </c>
      <c r="I5" s="41" t="s">
        <v>24</v>
      </c>
      <c r="J5" s="41" t="s">
        <v>25</v>
      </c>
      <c r="K5" s="41" t="s">
        <v>26</v>
      </c>
      <c r="L5" s="41" t="s">
        <v>27</v>
      </c>
      <c r="M5" s="41" t="s">
        <v>28</v>
      </c>
      <c r="N5" s="41" t="s">
        <v>29</v>
      </c>
      <c r="O5" s="41" t="s">
        <v>30</v>
      </c>
      <c r="P5" s="41" t="s">
        <v>31</v>
      </c>
      <c r="Q5" s="41" t="s">
        <v>32</v>
      </c>
      <c r="R5" s="41" t="s">
        <v>33</v>
      </c>
      <c r="S5" s="41" t="s">
        <v>34</v>
      </c>
      <c r="T5" s="41" t="s">
        <v>35</v>
      </c>
      <c r="U5" s="41" t="s">
        <v>36</v>
      </c>
      <c r="V5" s="41" t="s">
        <v>37</v>
      </c>
      <c r="W5" s="41" t="s">
        <v>40</v>
      </c>
      <c r="X5" s="41" t="s">
        <v>36</v>
      </c>
      <c r="Y5" s="41"/>
      <c r="Z5" s="41" t="s">
        <v>42</v>
      </c>
      <c r="AA5" s="41" t="s">
        <v>43</v>
      </c>
      <c r="AB5" s="3"/>
      <c r="AC5" s="3"/>
      <c r="AD5" s="3"/>
      <c r="AE5" s="3"/>
      <c r="AF5" s="3"/>
      <c r="AG5" s="3"/>
      <c r="AH5" s="3"/>
    </row>
    <row r="6" ht="12.0" customHeight="1">
      <c r="A6" s="3">
        <v>1.0</v>
      </c>
      <c r="B6" s="3" t="s">
        <v>44</v>
      </c>
      <c r="C6" s="3" t="s">
        <v>45</v>
      </c>
      <c r="D6" s="3" t="s">
        <v>47</v>
      </c>
      <c r="E6" s="3" t="s">
        <v>39</v>
      </c>
      <c r="F6" s="3" t="s">
        <v>12</v>
      </c>
      <c r="G6" s="3" t="s">
        <v>48</v>
      </c>
      <c r="H6" s="3"/>
      <c r="I6" s="48" t="s">
        <v>50</v>
      </c>
      <c r="J6" s="49">
        <v>43850.0</v>
      </c>
      <c r="K6" s="49">
        <f t="shared" ref="K6:K7" si="1">J6+$O$1</f>
        <v>44032</v>
      </c>
      <c r="L6" s="9">
        <f t="shared" ref="L6:L37" si="2">O6-K6</f>
        <v>148</v>
      </c>
      <c r="M6" s="49" t="s">
        <v>50</v>
      </c>
      <c r="N6" s="49">
        <v>44179.0</v>
      </c>
      <c r="O6" s="49">
        <v>44180.0</v>
      </c>
      <c r="P6" s="48" t="str">
        <f t="shared" ref="P6:P26" si="3">IFERROR(YIELD(O6,M6,I6,Q6,100,2,0),"")</f>
        <v/>
      </c>
      <c r="Q6" s="54">
        <v>102.839</v>
      </c>
      <c r="R6" s="54">
        <v>3587000.0</v>
      </c>
      <c r="S6" s="9">
        <f t="shared" ref="S6:S37" si="4">R6*Q6/100</f>
        <v>3688834.93</v>
      </c>
      <c r="T6" s="9">
        <f t="shared" ref="T6:T37" si="5">R6*I6*(L6/$N$1)</f>
        <v>0</v>
      </c>
      <c r="U6" s="9">
        <f t="shared" ref="U6:U37" si="6">S6+T6</f>
        <v>3688834.93</v>
      </c>
      <c r="V6" s="9">
        <f t="shared" ref="V6:V37" si="7">U6*0.01%</f>
        <v>368.883493</v>
      </c>
      <c r="W6" s="9">
        <f t="shared" ref="W6:W37" si="8">IF(F6="Buy",U6+V6,U6-V6)</f>
        <v>3689203.813</v>
      </c>
      <c r="X6" s="9">
        <v>3991477.77</v>
      </c>
      <c r="Y6" s="9">
        <f t="shared" ref="Y6:Y27" si="9">X6-U6</f>
        <v>302642.84</v>
      </c>
      <c r="Z6" s="9"/>
      <c r="AA6" s="9" t="s">
        <v>62</v>
      </c>
      <c r="AB6" s="48"/>
      <c r="AC6" s="48"/>
      <c r="AD6" s="9"/>
      <c r="AE6" s="48"/>
      <c r="AF6" s="48"/>
      <c r="AG6" s="48"/>
      <c r="AH6" s="48"/>
    </row>
    <row r="7" ht="12.0" customHeight="1">
      <c r="A7" s="3">
        <v>2.0</v>
      </c>
      <c r="B7" s="3" t="s">
        <v>44</v>
      </c>
      <c r="C7" s="3" t="s">
        <v>45</v>
      </c>
      <c r="D7" s="3" t="s">
        <v>47</v>
      </c>
      <c r="E7" s="3" t="s">
        <v>39</v>
      </c>
      <c r="F7" s="3" t="s">
        <v>12</v>
      </c>
      <c r="G7" s="3" t="s">
        <v>63</v>
      </c>
      <c r="H7" s="3"/>
      <c r="I7" s="48" t="s">
        <v>50</v>
      </c>
      <c r="J7" s="49">
        <v>43899.0</v>
      </c>
      <c r="K7" s="49">
        <f t="shared" si="1"/>
        <v>44081</v>
      </c>
      <c r="L7" s="9">
        <f t="shared" si="2"/>
        <v>99</v>
      </c>
      <c r="M7" s="49" t="s">
        <v>50</v>
      </c>
      <c r="N7" s="49">
        <v>44179.0</v>
      </c>
      <c r="O7" s="49">
        <v>44180.0</v>
      </c>
      <c r="P7" s="48" t="str">
        <f t="shared" si="3"/>
        <v/>
      </c>
      <c r="Q7" s="54">
        <v>103.216</v>
      </c>
      <c r="R7" s="54">
        <v>3628000.0</v>
      </c>
      <c r="S7" s="9">
        <f t="shared" si="4"/>
        <v>3744676.48</v>
      </c>
      <c r="T7" s="9">
        <f t="shared" si="5"/>
        <v>0</v>
      </c>
      <c r="U7" s="9">
        <f t="shared" si="6"/>
        <v>3744676.48</v>
      </c>
      <c r="V7" s="9">
        <f t="shared" si="7"/>
        <v>374.467648</v>
      </c>
      <c r="W7" s="9">
        <f t="shared" si="8"/>
        <v>3745050.948</v>
      </c>
      <c r="X7" s="9">
        <v>3949427.88</v>
      </c>
      <c r="Y7" s="9">
        <f t="shared" si="9"/>
        <v>204751.4</v>
      </c>
      <c r="Z7" s="9"/>
      <c r="AA7" s="9" t="s">
        <v>62</v>
      </c>
      <c r="AB7" s="48"/>
      <c r="AC7" s="48"/>
      <c r="AD7" s="9"/>
      <c r="AE7" s="48"/>
      <c r="AF7" s="48"/>
      <c r="AG7" s="48"/>
      <c r="AH7" s="48"/>
    </row>
    <row r="8" ht="12.0" customHeight="1">
      <c r="A8" s="3">
        <v>3.0</v>
      </c>
      <c r="B8" s="3" t="s">
        <v>44</v>
      </c>
      <c r="C8" s="3" t="s">
        <v>45</v>
      </c>
      <c r="D8" s="3" t="s">
        <v>47</v>
      </c>
      <c r="E8" s="3" t="s">
        <v>39</v>
      </c>
      <c r="F8" s="3" t="s">
        <v>12</v>
      </c>
      <c r="G8" s="3" t="s">
        <v>64</v>
      </c>
      <c r="H8" s="3"/>
      <c r="I8" s="48" t="s">
        <v>50</v>
      </c>
      <c r="J8" s="49">
        <v>44165.0</v>
      </c>
      <c r="K8" s="49">
        <f t="shared" ref="K8:K11" si="10">J8</f>
        <v>44165</v>
      </c>
      <c r="L8" s="9">
        <f t="shared" si="2"/>
        <v>17</v>
      </c>
      <c r="M8" s="49" t="s">
        <v>50</v>
      </c>
      <c r="N8" s="49">
        <v>44180.0</v>
      </c>
      <c r="O8" s="49">
        <v>44182.0</v>
      </c>
      <c r="P8" s="48" t="str">
        <f t="shared" si="3"/>
        <v/>
      </c>
      <c r="Q8" s="54">
        <v>100.95</v>
      </c>
      <c r="R8" s="54">
        <v>3889000.0</v>
      </c>
      <c r="S8" s="9">
        <f t="shared" si="4"/>
        <v>3925945.5</v>
      </c>
      <c r="T8" s="9">
        <f t="shared" si="5"/>
        <v>0</v>
      </c>
      <c r="U8" s="9">
        <f t="shared" si="6"/>
        <v>3925945.5</v>
      </c>
      <c r="V8" s="9">
        <f t="shared" si="7"/>
        <v>392.59455</v>
      </c>
      <c r="W8" s="9">
        <f t="shared" si="8"/>
        <v>3926338.095</v>
      </c>
      <c r="X8" s="9">
        <v>3960889.67</v>
      </c>
      <c r="Y8" s="9">
        <f t="shared" si="9"/>
        <v>34944.17</v>
      </c>
      <c r="Z8" s="9"/>
      <c r="AA8" s="9" t="s">
        <v>62</v>
      </c>
      <c r="AB8" s="48"/>
      <c r="AC8" s="48"/>
      <c r="AD8" s="9"/>
      <c r="AE8" s="48"/>
      <c r="AF8" s="48"/>
      <c r="AG8" s="48"/>
      <c r="AH8" s="48"/>
    </row>
    <row r="9" ht="12.0" customHeight="1">
      <c r="A9" s="3">
        <v>1.0</v>
      </c>
      <c r="B9" s="3" t="s">
        <v>44</v>
      </c>
      <c r="C9" s="3" t="s">
        <v>45</v>
      </c>
      <c r="D9" s="3" t="s">
        <v>47</v>
      </c>
      <c r="E9" s="3" t="s">
        <v>70</v>
      </c>
      <c r="F9" s="3" t="s">
        <v>12</v>
      </c>
      <c r="G9" s="3" t="s">
        <v>71</v>
      </c>
      <c r="H9" s="3"/>
      <c r="I9" s="48">
        <f>IFERROR(VLOOKUP($G9,'Bonds Universe'!$D:$H,2,FALSE),"")</f>
        <v>0.1985</v>
      </c>
      <c r="J9" s="49">
        <v>44123.0</v>
      </c>
      <c r="K9" s="49">
        <f t="shared" si="10"/>
        <v>44123</v>
      </c>
      <c r="L9" s="9">
        <f t="shared" si="2"/>
        <v>106</v>
      </c>
      <c r="M9" s="49">
        <f>IFERROR(VLOOKUP($G9,'Bonds Universe'!$D:$H,3,FALSE),"")</f>
        <v>45943</v>
      </c>
      <c r="N9" s="49">
        <v>44223.0</v>
      </c>
      <c r="O9" s="49">
        <v>44229.0</v>
      </c>
      <c r="P9" s="48">
        <f t="shared" si="3"/>
        <v>0.1819604174</v>
      </c>
      <c r="Q9" s="54">
        <v>104.9749</v>
      </c>
      <c r="R9" s="54">
        <v>3763000.0</v>
      </c>
      <c r="S9" s="9">
        <f t="shared" si="4"/>
        <v>3950205.487</v>
      </c>
      <c r="T9" s="9">
        <f t="shared" si="5"/>
        <v>217520.0082</v>
      </c>
      <c r="U9" s="9">
        <f t="shared" si="6"/>
        <v>4167725.495</v>
      </c>
      <c r="V9" s="9">
        <f t="shared" si="7"/>
        <v>416.7725495</v>
      </c>
      <c r="W9" s="9">
        <f t="shared" si="8"/>
        <v>4168142.268</v>
      </c>
      <c r="X9" s="9">
        <v>4167725.5</v>
      </c>
      <c r="Y9" s="9">
        <f t="shared" si="9"/>
        <v>0.004758241121</v>
      </c>
      <c r="Z9" s="9"/>
      <c r="AA9" s="9" t="s">
        <v>62</v>
      </c>
      <c r="AB9" s="3">
        <v>5.77</v>
      </c>
      <c r="AC9" s="9">
        <f t="shared" ref="AC9:AC20" si="11">X9/AB9</f>
        <v>722309.4454</v>
      </c>
      <c r="AD9" s="3"/>
      <c r="AE9" s="3"/>
      <c r="AF9" s="3">
        <f t="shared" ref="AF9:AF20" si="12">(X9*100)/R9</f>
        <v>110.7553946</v>
      </c>
      <c r="AG9" s="3" t="str">
        <f t="shared" ref="AG9:AG20" si="13">(#REF!*100)/R9</f>
        <v>#REF!</v>
      </c>
      <c r="AH9" s="3"/>
    </row>
    <row r="10" ht="12.0" customHeight="1">
      <c r="A10" s="3">
        <v>2.0</v>
      </c>
      <c r="B10" s="3" t="s">
        <v>44</v>
      </c>
      <c r="C10" s="3" t="s">
        <v>45</v>
      </c>
      <c r="D10" s="3" t="s">
        <v>47</v>
      </c>
      <c r="E10" s="3" t="s">
        <v>70</v>
      </c>
      <c r="F10" s="3" t="s">
        <v>12</v>
      </c>
      <c r="G10" s="3" t="s">
        <v>87</v>
      </c>
      <c r="H10" s="3"/>
      <c r="I10" s="48">
        <f>IFERROR(VLOOKUP($G10,'Bonds Universe'!$D:$H,2,FALSE),"")</f>
        <v>0.1925</v>
      </c>
      <c r="J10" s="49">
        <v>44221.0</v>
      </c>
      <c r="K10" s="49">
        <f t="shared" si="10"/>
        <v>44221</v>
      </c>
      <c r="L10" s="9">
        <f t="shared" si="2"/>
        <v>8</v>
      </c>
      <c r="M10" s="49">
        <f>IFERROR(VLOOKUP($G10,'Bonds Universe'!$D:$H,3,FALSE),"")</f>
        <v>46405</v>
      </c>
      <c r="N10" s="49">
        <v>44223.0</v>
      </c>
      <c r="O10" s="49">
        <v>44229.0</v>
      </c>
      <c r="P10" s="48">
        <f t="shared" si="3"/>
        <v>0.1894306712</v>
      </c>
      <c r="Q10" s="54">
        <v>101.0386</v>
      </c>
      <c r="R10" s="54">
        <v>8216450.0</v>
      </c>
      <c r="S10" s="9">
        <f t="shared" si="4"/>
        <v>8301786.05</v>
      </c>
      <c r="T10" s="9">
        <f t="shared" si="5"/>
        <v>34761.90385</v>
      </c>
      <c r="U10" s="9">
        <f t="shared" si="6"/>
        <v>8336547.954</v>
      </c>
      <c r="V10" s="9">
        <f t="shared" si="7"/>
        <v>833.6547954</v>
      </c>
      <c r="W10" s="9">
        <f t="shared" si="8"/>
        <v>8337381.608</v>
      </c>
      <c r="X10" s="9">
        <v>8336547.949999999</v>
      </c>
      <c r="Y10" s="9">
        <f t="shared" si="9"/>
        <v>-0.003546155058</v>
      </c>
      <c r="Z10" s="9"/>
      <c r="AA10" s="9" t="s">
        <v>62</v>
      </c>
      <c r="AB10" s="3">
        <v>5.84</v>
      </c>
      <c r="AC10" s="9">
        <f t="shared" si="11"/>
        <v>1427491.087</v>
      </c>
      <c r="AD10" s="9">
        <v>1429469.63</v>
      </c>
      <c r="AE10" s="3">
        <f>X10/AD10</f>
        <v>5.8319168</v>
      </c>
      <c r="AF10" s="3">
        <f t="shared" si="12"/>
        <v>101.4616769</v>
      </c>
      <c r="AG10" s="3" t="str">
        <f t="shared" si="13"/>
        <v>#REF!</v>
      </c>
      <c r="AH10" s="3"/>
    </row>
    <row r="11" ht="12.0" customHeight="1">
      <c r="A11" s="3">
        <v>3.0</v>
      </c>
      <c r="B11" s="3" t="s">
        <v>44</v>
      </c>
      <c r="C11" s="3" t="s">
        <v>45</v>
      </c>
      <c r="D11" s="3" t="s">
        <v>47</v>
      </c>
      <c r="E11" s="3" t="s">
        <v>70</v>
      </c>
      <c r="F11" s="3" t="s">
        <v>12</v>
      </c>
      <c r="G11" s="3" t="s">
        <v>94</v>
      </c>
      <c r="H11" s="3"/>
      <c r="I11" s="48">
        <f>IFERROR(VLOOKUP($G11,'Bonds Universe'!$D:$H,2,FALSE),"")</f>
        <v>0.205</v>
      </c>
      <c r="J11" s="49">
        <v>44151.0</v>
      </c>
      <c r="K11" s="49">
        <f t="shared" si="10"/>
        <v>44151</v>
      </c>
      <c r="L11" s="9">
        <f t="shared" si="2"/>
        <v>78</v>
      </c>
      <c r="M11" s="49">
        <f>IFERROR(VLOOKUP($G11,'Bonds Universe'!$D:$H,3,FALSE),"")</f>
        <v>46699</v>
      </c>
      <c r="N11" s="49">
        <v>44223.0</v>
      </c>
      <c r="O11" s="49">
        <v>44229.0</v>
      </c>
      <c r="P11" s="48">
        <f t="shared" si="3"/>
        <v>0.1909599758</v>
      </c>
      <c r="Q11" s="54">
        <v>105.096</v>
      </c>
      <c r="R11" s="54">
        <v>7613850.0</v>
      </c>
      <c r="S11" s="9">
        <f t="shared" si="4"/>
        <v>8001851.796</v>
      </c>
      <c r="T11" s="9">
        <f t="shared" si="5"/>
        <v>334465.5536</v>
      </c>
      <c r="U11" s="9">
        <f t="shared" si="6"/>
        <v>8336317.35</v>
      </c>
      <c r="V11" s="9">
        <f t="shared" si="7"/>
        <v>833.631735</v>
      </c>
      <c r="W11" s="9">
        <f t="shared" si="8"/>
        <v>8337150.981</v>
      </c>
      <c r="X11" s="9">
        <v>8336317.350000001</v>
      </c>
      <c r="Y11" s="9">
        <f t="shared" si="9"/>
        <v>0.0004285722971</v>
      </c>
      <c r="Z11" s="9"/>
      <c r="AA11" s="9" t="s">
        <v>62</v>
      </c>
      <c r="AB11" s="3">
        <v>5.77</v>
      </c>
      <c r="AC11" s="9">
        <f t="shared" si="11"/>
        <v>1444769.038</v>
      </c>
      <c r="AD11" s="3"/>
      <c r="AE11" s="3">
        <v>5.8319167997993775</v>
      </c>
      <c r="AF11" s="3">
        <f t="shared" si="12"/>
        <v>109.4888571</v>
      </c>
      <c r="AG11" s="3" t="str">
        <f t="shared" si="13"/>
        <v>#REF!</v>
      </c>
      <c r="AH11" s="3"/>
    </row>
    <row r="12" ht="12.0" customHeight="1">
      <c r="A12" s="3">
        <v>4.0</v>
      </c>
      <c r="B12" s="3" t="s">
        <v>44</v>
      </c>
      <c r="C12" s="3" t="s">
        <v>45</v>
      </c>
      <c r="D12" s="3" t="s">
        <v>47</v>
      </c>
      <c r="E12" s="3" t="s">
        <v>70</v>
      </c>
      <c r="F12" s="3" t="s">
        <v>12</v>
      </c>
      <c r="G12" s="3" t="s">
        <v>99</v>
      </c>
      <c r="H12" s="3"/>
      <c r="I12" s="48">
        <f>IFERROR(VLOOKUP($G12,'Bonds Universe'!$D:$H,2,FALSE),"")</f>
        <v>0.2</v>
      </c>
      <c r="J12" s="49">
        <v>44060.0</v>
      </c>
      <c r="K12" s="49">
        <f t="shared" ref="K12:K13" si="14">J12+O1</f>
        <v>44242</v>
      </c>
      <c r="L12" s="9">
        <f t="shared" si="2"/>
        <v>14</v>
      </c>
      <c r="M12" s="49">
        <f>IFERROR(VLOOKUP($G12,'Bonds Universe'!$D:$H,3,FALSE),"")</f>
        <v>46608</v>
      </c>
      <c r="N12" s="49">
        <v>44251.0</v>
      </c>
      <c r="O12" s="49">
        <v>44256.0</v>
      </c>
      <c r="P12" s="48">
        <f t="shared" si="3"/>
        <v>0.1869341551</v>
      </c>
      <c r="Q12" s="54">
        <v>104.7305</v>
      </c>
      <c r="R12" s="54">
        <v>1.0E7</v>
      </c>
      <c r="S12" s="9">
        <f t="shared" si="4"/>
        <v>10473050</v>
      </c>
      <c r="T12" s="9">
        <f t="shared" si="5"/>
        <v>76923.07692</v>
      </c>
      <c r="U12" s="9">
        <f t="shared" si="6"/>
        <v>10549973.08</v>
      </c>
      <c r="V12" s="9">
        <f t="shared" si="7"/>
        <v>1054.997308</v>
      </c>
      <c r="W12" s="9">
        <f t="shared" si="8"/>
        <v>10551028.07</v>
      </c>
      <c r="X12" s="9">
        <v>1.054997308E7</v>
      </c>
      <c r="Y12" s="9">
        <f t="shared" si="9"/>
        <v>0.003076922148</v>
      </c>
      <c r="Z12" s="9"/>
      <c r="AA12" s="9" t="s">
        <v>62</v>
      </c>
      <c r="AB12" s="3">
        <v>5.77</v>
      </c>
      <c r="AC12" s="9">
        <f t="shared" si="11"/>
        <v>1828418.211</v>
      </c>
      <c r="AD12" s="3"/>
      <c r="AE12" s="3"/>
      <c r="AF12" s="3">
        <f t="shared" si="12"/>
        <v>105.4997308</v>
      </c>
      <c r="AG12" s="3" t="str">
        <f t="shared" si="13"/>
        <v>#REF!</v>
      </c>
      <c r="AH12" s="3"/>
    </row>
    <row r="13" ht="12.0" customHeight="1">
      <c r="A13" s="3">
        <v>5.0</v>
      </c>
      <c r="B13" s="3" t="s">
        <v>44</v>
      </c>
      <c r="C13" s="3" t="s">
        <v>45</v>
      </c>
      <c r="D13" s="3" t="s">
        <v>47</v>
      </c>
      <c r="E13" s="3" t="s">
        <v>70</v>
      </c>
      <c r="F13" s="3" t="s">
        <v>12</v>
      </c>
      <c r="G13" s="3" t="s">
        <v>94</v>
      </c>
      <c r="H13" s="3"/>
      <c r="I13" s="48">
        <f>IFERROR(VLOOKUP($G13,'Bonds Universe'!$D:$H,2,FALSE),"")</f>
        <v>0.205</v>
      </c>
      <c r="J13" s="49">
        <v>44151.0</v>
      </c>
      <c r="K13" s="49">
        <f t="shared" si="14"/>
        <v>44151</v>
      </c>
      <c r="L13" s="9">
        <f t="shared" si="2"/>
        <v>105</v>
      </c>
      <c r="M13" s="49">
        <f>IFERROR(VLOOKUP($G13,'Bonds Universe'!$D:$H,3,FALSE),"")</f>
        <v>46699</v>
      </c>
      <c r="N13" s="49">
        <v>44251.0</v>
      </c>
      <c r="O13" s="49">
        <v>44256.0</v>
      </c>
      <c r="P13" s="48">
        <f t="shared" si="3"/>
        <v>0.1869781778</v>
      </c>
      <c r="Q13" s="54">
        <v>106.6138</v>
      </c>
      <c r="R13" s="54">
        <v>5000000.0</v>
      </c>
      <c r="S13" s="9">
        <f t="shared" si="4"/>
        <v>5330690</v>
      </c>
      <c r="T13" s="9">
        <f t="shared" si="5"/>
        <v>295673.0769</v>
      </c>
      <c r="U13" s="9">
        <f t="shared" si="6"/>
        <v>5626363.077</v>
      </c>
      <c r="V13" s="9">
        <f t="shared" si="7"/>
        <v>562.6363077</v>
      </c>
      <c r="W13" s="9">
        <f t="shared" si="8"/>
        <v>5626925.713</v>
      </c>
      <c r="X13" s="9">
        <v>5626363.08</v>
      </c>
      <c r="Y13" s="9">
        <f t="shared" si="9"/>
        <v>0.00307692308</v>
      </c>
      <c r="Z13" s="9"/>
      <c r="AA13" s="9" t="s">
        <v>62</v>
      </c>
      <c r="AB13" s="3">
        <v>5.77</v>
      </c>
      <c r="AC13" s="9">
        <f t="shared" si="11"/>
        <v>975106.253</v>
      </c>
      <c r="AD13" s="3"/>
      <c r="AE13" s="3"/>
      <c r="AF13" s="3">
        <f t="shared" si="12"/>
        <v>112.5272616</v>
      </c>
      <c r="AG13" s="3" t="str">
        <f t="shared" si="13"/>
        <v>#REF!</v>
      </c>
      <c r="AH13" s="3"/>
    </row>
    <row r="14" ht="12.0" customHeight="1">
      <c r="A14" s="3">
        <v>6.0</v>
      </c>
      <c r="B14" s="3" t="s">
        <v>44</v>
      </c>
      <c r="C14" s="3" t="s">
        <v>45</v>
      </c>
      <c r="D14" s="3" t="s">
        <v>47</v>
      </c>
      <c r="E14" s="3" t="s">
        <v>70</v>
      </c>
      <c r="F14" s="3" t="s">
        <v>12</v>
      </c>
      <c r="G14" s="3" t="s">
        <v>112</v>
      </c>
      <c r="H14" s="3"/>
      <c r="I14" s="48">
        <f>IFERROR(VLOOKUP($G14,'Bonds Universe'!$D:$H,2,FALSE),"")</f>
        <v>0.175</v>
      </c>
      <c r="J14" s="49">
        <v>43262.0</v>
      </c>
      <c r="K14" s="49">
        <f>J14+(2*N1)+O1</f>
        <v>44172</v>
      </c>
      <c r="L14" s="9">
        <f t="shared" si="2"/>
        <v>84</v>
      </c>
      <c r="M14" s="49">
        <f>IFERROR(VLOOKUP($G14,'Bonds Universe'!$D:$H,3,FALSE),"")</f>
        <v>46902</v>
      </c>
      <c r="N14" s="49">
        <v>44251.0</v>
      </c>
      <c r="O14" s="49">
        <v>44256.0</v>
      </c>
      <c r="P14" s="48">
        <f t="shared" si="3"/>
        <v>0.1880206717</v>
      </c>
      <c r="Q14" s="54">
        <v>94.8605</v>
      </c>
      <c r="R14" s="54">
        <v>1.0E7</v>
      </c>
      <c r="S14" s="9">
        <f t="shared" si="4"/>
        <v>9486050</v>
      </c>
      <c r="T14" s="9">
        <f t="shared" si="5"/>
        <v>403846.1538</v>
      </c>
      <c r="U14" s="9">
        <f t="shared" si="6"/>
        <v>9889896.154</v>
      </c>
      <c r="V14" s="9">
        <f t="shared" si="7"/>
        <v>988.9896154</v>
      </c>
      <c r="W14" s="9">
        <f t="shared" si="8"/>
        <v>9890885.143</v>
      </c>
      <c r="X14" s="9">
        <v>9889896.15</v>
      </c>
      <c r="Y14" s="9">
        <f t="shared" si="9"/>
        <v>-0.003846153617</v>
      </c>
      <c r="Z14" s="9"/>
      <c r="AA14" s="9" t="s">
        <v>62</v>
      </c>
      <c r="AB14" s="3">
        <v>5.77</v>
      </c>
      <c r="AC14" s="9">
        <f t="shared" si="11"/>
        <v>1714020.13</v>
      </c>
      <c r="AD14" s="3">
        <v>1894249.14</v>
      </c>
      <c r="AE14" s="9">
        <f>(X14+X17)/AD14</f>
        <v>5.726927288</v>
      </c>
      <c r="AF14" s="3">
        <f t="shared" si="12"/>
        <v>98.8989615</v>
      </c>
      <c r="AG14" s="3" t="str">
        <f t="shared" si="13"/>
        <v>#REF!</v>
      </c>
      <c r="AH14" s="3"/>
    </row>
    <row r="15" ht="12.0" customHeight="1">
      <c r="A15" s="3">
        <v>7.0</v>
      </c>
      <c r="B15" s="3" t="s">
        <v>91</v>
      </c>
      <c r="C15" s="3" t="s">
        <v>45</v>
      </c>
      <c r="D15" s="3" t="s">
        <v>47</v>
      </c>
      <c r="E15" s="3" t="s">
        <v>70</v>
      </c>
      <c r="F15" s="3" t="s">
        <v>12</v>
      </c>
      <c r="G15" s="3" t="s">
        <v>99</v>
      </c>
      <c r="H15" s="3"/>
      <c r="I15" s="48">
        <f>IFERROR(VLOOKUP($G15,'Bonds Universe'!$D:$H,2,FALSE),"")</f>
        <v>0.2</v>
      </c>
      <c r="J15" s="49">
        <v>44060.0</v>
      </c>
      <c r="K15" s="49">
        <f>J15+$O$1</f>
        <v>44242</v>
      </c>
      <c r="L15" s="9">
        <f t="shared" si="2"/>
        <v>14</v>
      </c>
      <c r="M15" s="49">
        <f>IFERROR(VLOOKUP($G15,'Bonds Universe'!$D:$H,3,FALSE),"")</f>
        <v>46608</v>
      </c>
      <c r="N15" s="49">
        <v>44251.0</v>
      </c>
      <c r="O15" s="49">
        <v>44256.0</v>
      </c>
      <c r="P15" s="48">
        <f t="shared" si="3"/>
        <v>0.1869341551</v>
      </c>
      <c r="Q15" s="54">
        <v>104.7305</v>
      </c>
      <c r="R15" s="54">
        <v>6453350.0</v>
      </c>
      <c r="S15" s="9">
        <f t="shared" si="4"/>
        <v>6758625.722</v>
      </c>
      <c r="T15" s="9">
        <f t="shared" si="5"/>
        <v>49641.15385</v>
      </c>
      <c r="U15" s="9">
        <f t="shared" si="6"/>
        <v>6808266.876</v>
      </c>
      <c r="V15" s="9">
        <f t="shared" si="7"/>
        <v>680.8266876</v>
      </c>
      <c r="W15" s="9">
        <f t="shared" si="8"/>
        <v>6808947.702</v>
      </c>
      <c r="X15" s="9">
        <v>6808266.87</v>
      </c>
      <c r="Y15" s="9">
        <f t="shared" si="9"/>
        <v>-0.005596154369</v>
      </c>
      <c r="Z15" s="9"/>
      <c r="AA15" s="9" t="s">
        <v>62</v>
      </c>
      <c r="AB15" s="3">
        <v>5.77</v>
      </c>
      <c r="AC15" s="9">
        <f t="shared" si="11"/>
        <v>1179942.265</v>
      </c>
      <c r="AD15" s="3"/>
      <c r="AE15" s="3">
        <v>5.726927287927923</v>
      </c>
      <c r="AF15" s="3">
        <f t="shared" si="12"/>
        <v>105.4997307</v>
      </c>
      <c r="AG15" s="3" t="str">
        <f t="shared" si="13"/>
        <v>#REF!</v>
      </c>
      <c r="AH15" s="3"/>
    </row>
    <row r="16" ht="12.0" customHeight="1">
      <c r="A16" s="3">
        <v>8.0</v>
      </c>
      <c r="B16" s="3" t="s">
        <v>91</v>
      </c>
      <c r="C16" s="3" t="s">
        <v>45</v>
      </c>
      <c r="D16" s="3" t="s">
        <v>47</v>
      </c>
      <c r="E16" s="3" t="s">
        <v>70</v>
      </c>
      <c r="F16" s="3" t="s">
        <v>12</v>
      </c>
      <c r="G16" s="3" t="s">
        <v>94</v>
      </c>
      <c r="H16" s="3"/>
      <c r="I16" s="48">
        <f>IFERROR(VLOOKUP($G16,'Bonds Universe'!$D:$H,2,FALSE),"")</f>
        <v>0.205</v>
      </c>
      <c r="J16" s="49">
        <v>44151.0</v>
      </c>
      <c r="K16" s="49">
        <f>J16</f>
        <v>44151</v>
      </c>
      <c r="L16" s="9">
        <f t="shared" si="2"/>
        <v>105</v>
      </c>
      <c r="M16" s="49">
        <f>IFERROR(VLOOKUP($G16,'Bonds Universe'!$D:$H,3,FALSE),"")</f>
        <v>46699</v>
      </c>
      <c r="N16" s="49">
        <v>44251.0</v>
      </c>
      <c r="O16" s="49">
        <v>44256.0</v>
      </c>
      <c r="P16" s="48">
        <f t="shared" si="3"/>
        <v>0.1869781778</v>
      </c>
      <c r="Q16" s="54">
        <v>106.6138</v>
      </c>
      <c r="R16" s="54">
        <v>8498000.0</v>
      </c>
      <c r="S16" s="9">
        <f t="shared" si="4"/>
        <v>9060040.724</v>
      </c>
      <c r="T16" s="9">
        <f t="shared" si="5"/>
        <v>502525.9615</v>
      </c>
      <c r="U16" s="9">
        <f t="shared" si="6"/>
        <v>9562566.686</v>
      </c>
      <c r="V16" s="9">
        <f t="shared" si="7"/>
        <v>956.2566686</v>
      </c>
      <c r="W16" s="9">
        <f t="shared" si="8"/>
        <v>9563522.942</v>
      </c>
      <c r="X16" s="9">
        <v>9562566.68</v>
      </c>
      <c r="Y16" s="9">
        <f t="shared" si="9"/>
        <v>-0.00553846173</v>
      </c>
      <c r="Z16" s="9"/>
      <c r="AA16" s="9" t="s">
        <v>62</v>
      </c>
      <c r="AB16" s="3">
        <v>5.77</v>
      </c>
      <c r="AC16" s="9">
        <f t="shared" si="11"/>
        <v>1657290.586</v>
      </c>
      <c r="AD16" s="3"/>
      <c r="AE16" s="3"/>
      <c r="AF16" s="3">
        <f t="shared" si="12"/>
        <v>112.5272615</v>
      </c>
      <c r="AG16" s="3" t="str">
        <f t="shared" si="13"/>
        <v>#REF!</v>
      </c>
      <c r="AH16" s="3"/>
    </row>
    <row r="17" ht="12.0" customHeight="1">
      <c r="A17" s="3">
        <v>9.0</v>
      </c>
      <c r="B17" s="3" t="s">
        <v>91</v>
      </c>
      <c r="C17" s="3" t="s">
        <v>45</v>
      </c>
      <c r="D17" s="3" t="s">
        <v>47</v>
      </c>
      <c r="E17" s="3" t="s">
        <v>70</v>
      </c>
      <c r="F17" s="3" t="s">
        <v>12</v>
      </c>
      <c r="G17" s="3" t="s">
        <v>112</v>
      </c>
      <c r="H17" s="3"/>
      <c r="I17" s="48">
        <f>IFERROR(VLOOKUP($G17,'Bonds Universe'!$D:$H,2,FALSE),"")</f>
        <v>0.175</v>
      </c>
      <c r="J17" s="49">
        <v>43262.0</v>
      </c>
      <c r="K17" s="49">
        <f>J17+(2*N1)+O1</f>
        <v>44172</v>
      </c>
      <c r="L17" s="9">
        <f t="shared" si="2"/>
        <v>84</v>
      </c>
      <c r="M17" s="49">
        <f>IFERROR(VLOOKUP($G17,'Bonds Universe'!$D:$H,3,FALSE),"")</f>
        <v>46902</v>
      </c>
      <c r="N17" s="49">
        <v>44251.0</v>
      </c>
      <c r="O17" s="49">
        <v>44256.0</v>
      </c>
      <c r="P17" s="48">
        <f t="shared" si="3"/>
        <v>0.1880206717</v>
      </c>
      <c r="Q17" s="54">
        <v>94.8605</v>
      </c>
      <c r="R17" s="54">
        <v>969000.0</v>
      </c>
      <c r="S17" s="9">
        <f t="shared" si="4"/>
        <v>919198.245</v>
      </c>
      <c r="T17" s="9">
        <f t="shared" si="5"/>
        <v>39132.69231</v>
      </c>
      <c r="U17" s="9">
        <f t="shared" si="6"/>
        <v>958330.9373</v>
      </c>
      <c r="V17" s="9">
        <f t="shared" si="7"/>
        <v>95.83309373</v>
      </c>
      <c r="W17" s="9">
        <f t="shared" si="8"/>
        <v>958426.7704</v>
      </c>
      <c r="X17" s="9">
        <v>958330.94</v>
      </c>
      <c r="Y17" s="9">
        <f t="shared" si="9"/>
        <v>0.002692307578</v>
      </c>
      <c r="Z17" s="9"/>
      <c r="AA17" s="9" t="s">
        <v>62</v>
      </c>
      <c r="AB17" s="3">
        <v>5.77</v>
      </c>
      <c r="AC17" s="9">
        <f t="shared" si="11"/>
        <v>166088.5511</v>
      </c>
      <c r="AD17" s="3"/>
      <c r="AE17" s="3"/>
      <c r="AF17" s="3">
        <f t="shared" si="12"/>
        <v>98.89896182</v>
      </c>
      <c r="AG17" s="3" t="str">
        <f t="shared" si="13"/>
        <v>#REF!</v>
      </c>
      <c r="AH17" s="3"/>
    </row>
    <row r="18" ht="12.0" customHeight="1">
      <c r="A18" s="3">
        <v>10.0</v>
      </c>
      <c r="B18" s="3" t="s">
        <v>44</v>
      </c>
      <c r="C18" s="3" t="s">
        <v>45</v>
      </c>
      <c r="D18" s="3" t="s">
        <v>47</v>
      </c>
      <c r="E18" s="3" t="s">
        <v>70</v>
      </c>
      <c r="F18" s="3" t="s">
        <v>12</v>
      </c>
      <c r="G18" s="3" t="s">
        <v>122</v>
      </c>
      <c r="H18" s="3"/>
      <c r="I18" s="48">
        <f>IFERROR(VLOOKUP($G18,'Bonds Universe'!$D:$H,2,FALSE),"")</f>
        <v>0.19</v>
      </c>
      <c r="J18" s="49">
        <v>42688.0</v>
      </c>
      <c r="K18" s="49">
        <f>J18+(4*N1)</f>
        <v>44144</v>
      </c>
      <c r="L18" s="9">
        <f t="shared" si="2"/>
        <v>162</v>
      </c>
      <c r="M18" s="49">
        <f>IFERROR(VLOOKUP($G18,'Bonds Universe'!$D:$H,3,FALSE),"")</f>
        <v>46328</v>
      </c>
      <c r="N18" s="49">
        <v>44301.0</v>
      </c>
      <c r="O18" s="49">
        <v>44306.0</v>
      </c>
      <c r="P18" s="48">
        <f t="shared" si="3"/>
        <v>0.1840300316</v>
      </c>
      <c r="Q18" s="54">
        <v>101.993</v>
      </c>
      <c r="R18" s="54">
        <v>8120570.0</v>
      </c>
      <c r="S18" s="9">
        <f t="shared" si="4"/>
        <v>8282412.96</v>
      </c>
      <c r="T18" s="9">
        <f t="shared" si="5"/>
        <v>686678.9687</v>
      </c>
      <c r="U18" s="9">
        <f t="shared" si="6"/>
        <v>8969091.929</v>
      </c>
      <c r="V18" s="9">
        <f t="shared" si="7"/>
        <v>896.9091929</v>
      </c>
      <c r="W18" s="9">
        <f t="shared" si="8"/>
        <v>8969988.838</v>
      </c>
      <c r="X18" s="9">
        <v>8969091.93</v>
      </c>
      <c r="Y18" s="9">
        <f t="shared" si="9"/>
        <v>0.001218680292</v>
      </c>
      <c r="Z18" s="9"/>
      <c r="AA18" s="9" t="s">
        <v>62</v>
      </c>
      <c r="AB18" s="3">
        <v>5.77</v>
      </c>
      <c r="AC18" s="9">
        <f t="shared" si="11"/>
        <v>1554435.343</v>
      </c>
      <c r="AD18" s="3"/>
      <c r="AE18" s="3"/>
      <c r="AF18" s="3">
        <f t="shared" si="12"/>
        <v>110.449044</v>
      </c>
      <c r="AG18" s="3" t="str">
        <f t="shared" si="13"/>
        <v>#REF!</v>
      </c>
      <c r="AH18" s="3"/>
    </row>
    <row r="19" ht="12.0" customHeight="1">
      <c r="A19" s="3">
        <v>11.0</v>
      </c>
      <c r="B19" s="3" t="s">
        <v>44</v>
      </c>
      <c r="C19" s="3" t="s">
        <v>45</v>
      </c>
      <c r="D19" s="3" t="s">
        <v>47</v>
      </c>
      <c r="E19" s="3" t="s">
        <v>70</v>
      </c>
      <c r="F19" s="3" t="s">
        <v>12</v>
      </c>
      <c r="G19" s="3" t="s">
        <v>133</v>
      </c>
      <c r="H19" s="3"/>
      <c r="I19" s="48">
        <f>IFERROR(VLOOKUP($G19,'Bonds Universe'!$D:$H,2,FALSE),"")</f>
        <v>0.183</v>
      </c>
      <c r="J19" s="49">
        <v>44263.0</v>
      </c>
      <c r="K19" s="49">
        <f>J19</f>
        <v>44263</v>
      </c>
      <c r="L19" s="9">
        <f t="shared" si="2"/>
        <v>43</v>
      </c>
      <c r="M19" s="49">
        <f>IFERROR(VLOOKUP($G19,'Bonds Universe'!$D:$H,3,FALSE),"")</f>
        <v>46083</v>
      </c>
      <c r="N19" s="49">
        <v>44301.0</v>
      </c>
      <c r="O19" s="49">
        <v>44306.0</v>
      </c>
      <c r="P19" s="48">
        <f t="shared" si="3"/>
        <v>0.1804761748</v>
      </c>
      <c r="Q19" s="54">
        <v>100.7185</v>
      </c>
      <c r="R19" s="54">
        <v>8717980.0</v>
      </c>
      <c r="S19" s="9">
        <f t="shared" si="4"/>
        <v>8780618.686</v>
      </c>
      <c r="T19" s="9">
        <f t="shared" si="5"/>
        <v>188466.4413</v>
      </c>
      <c r="U19" s="9">
        <f t="shared" si="6"/>
        <v>8969085.128</v>
      </c>
      <c r="V19" s="9">
        <f t="shared" si="7"/>
        <v>896.9085128</v>
      </c>
      <c r="W19" s="9">
        <f t="shared" si="8"/>
        <v>8969982.036</v>
      </c>
      <c r="X19" s="9">
        <v>8969085.13</v>
      </c>
      <c r="Y19" s="9">
        <f t="shared" si="9"/>
        <v>0.002436263487</v>
      </c>
      <c r="Z19" s="9"/>
      <c r="AA19" s="9" t="s">
        <v>62</v>
      </c>
      <c r="AB19" s="3">
        <v>5.77</v>
      </c>
      <c r="AC19" s="9">
        <f t="shared" si="11"/>
        <v>1554434.165</v>
      </c>
      <c r="AD19" s="3"/>
      <c r="AE19" s="3"/>
      <c r="AF19" s="3">
        <f t="shared" si="12"/>
        <v>102.8803132</v>
      </c>
      <c r="AG19" s="3" t="str">
        <f t="shared" si="13"/>
        <v>#REF!</v>
      </c>
      <c r="AH19" s="3"/>
    </row>
    <row r="20" ht="12.0" customHeight="1">
      <c r="A20" s="3">
        <v>12.0</v>
      </c>
      <c r="B20" s="3" t="s">
        <v>44</v>
      </c>
      <c r="C20" s="3" t="s">
        <v>45</v>
      </c>
      <c r="D20" s="3" t="s">
        <v>47</v>
      </c>
      <c r="E20" s="3" t="s">
        <v>70</v>
      </c>
      <c r="F20" s="3" t="s">
        <v>12</v>
      </c>
      <c r="G20" s="3" t="s">
        <v>135</v>
      </c>
      <c r="H20" s="3"/>
      <c r="I20" s="48">
        <f>IFERROR(VLOOKUP($G20,'Bonds Universe'!$D:$H,2,FALSE),"")</f>
        <v>0.1985</v>
      </c>
      <c r="J20" s="49">
        <v>44123.0</v>
      </c>
      <c r="K20" s="49">
        <f>J20+O1</f>
        <v>44305</v>
      </c>
      <c r="L20" s="9">
        <f t="shared" si="2"/>
        <v>1</v>
      </c>
      <c r="M20" s="49">
        <f>IFERROR(VLOOKUP($G20,'Bonds Universe'!$D:$H,3,FALSE),"")</f>
        <v>45943</v>
      </c>
      <c r="N20" s="49">
        <v>44301.0</v>
      </c>
      <c r="O20" s="49">
        <v>44306.0</v>
      </c>
      <c r="P20" s="48">
        <f t="shared" si="3"/>
        <v>0.1799124732</v>
      </c>
      <c r="Q20" s="54">
        <v>105.5411</v>
      </c>
      <c r="R20" s="54">
        <v>1.1325085E7</v>
      </c>
      <c r="S20" s="9">
        <f t="shared" si="4"/>
        <v>11952619.28</v>
      </c>
      <c r="T20" s="9">
        <f t="shared" si="5"/>
        <v>6175.90487</v>
      </c>
      <c r="U20" s="9">
        <f t="shared" si="6"/>
        <v>11958795.19</v>
      </c>
      <c r="V20" s="9">
        <f t="shared" si="7"/>
        <v>1195.879519</v>
      </c>
      <c r="W20" s="9">
        <f t="shared" si="8"/>
        <v>11959991.07</v>
      </c>
      <c r="X20" s="9">
        <v>1.195879518E7</v>
      </c>
      <c r="Y20" s="9">
        <f t="shared" si="9"/>
        <v>-0.009804505855</v>
      </c>
      <c r="Z20" s="9"/>
      <c r="AA20" s="9" t="s">
        <v>62</v>
      </c>
      <c r="AB20" s="3">
        <v>5.77</v>
      </c>
      <c r="AC20" s="9">
        <f t="shared" si="11"/>
        <v>2072581.487</v>
      </c>
      <c r="AD20" s="3"/>
      <c r="AE20" s="3"/>
      <c r="AF20" s="3">
        <f t="shared" si="12"/>
        <v>105.5956329</v>
      </c>
      <c r="AG20" s="3" t="str">
        <f t="shared" si="13"/>
        <v>#REF!</v>
      </c>
      <c r="AH20" s="3"/>
    </row>
    <row r="21" ht="12.0" customHeight="1">
      <c r="A21" s="3">
        <v>13.0</v>
      </c>
      <c r="B21" s="3" t="s">
        <v>44</v>
      </c>
      <c r="C21" s="3" t="s">
        <v>45</v>
      </c>
      <c r="D21" s="3" t="s">
        <v>47</v>
      </c>
      <c r="E21" s="3" t="s">
        <v>70</v>
      </c>
      <c r="F21" s="3" t="s">
        <v>12</v>
      </c>
      <c r="G21" s="3" t="s">
        <v>135</v>
      </c>
      <c r="H21" s="3"/>
      <c r="I21" s="48">
        <f>IFERROR(VLOOKUP($G21,'Bonds Universe'!$D:$H,2,FALSE),"")</f>
        <v>0.1985</v>
      </c>
      <c r="J21" s="49">
        <v>44123.0</v>
      </c>
      <c r="K21" s="49">
        <f>J21+$O$1</f>
        <v>44305</v>
      </c>
      <c r="L21" s="9">
        <f t="shared" si="2"/>
        <v>53</v>
      </c>
      <c r="M21" s="49">
        <f>IFERROR(VLOOKUP($G21,'Bonds Universe'!$D:$H,3,FALSE),"")</f>
        <v>45943</v>
      </c>
      <c r="N21" s="49">
        <v>44355.0</v>
      </c>
      <c r="O21" s="49">
        <v>44358.0</v>
      </c>
      <c r="P21" s="48">
        <f t="shared" si="3"/>
        <v>0.1799402496</v>
      </c>
      <c r="Q21" s="54">
        <v>105.3376</v>
      </c>
      <c r="R21" s="54">
        <v>1433000.0</v>
      </c>
      <c r="S21" s="9">
        <f t="shared" si="4"/>
        <v>1509487.808</v>
      </c>
      <c r="T21" s="9">
        <f t="shared" si="5"/>
        <v>41417.24313</v>
      </c>
      <c r="U21" s="9">
        <f t="shared" si="6"/>
        <v>1550905.051</v>
      </c>
      <c r="V21" s="9">
        <f t="shared" si="7"/>
        <v>155.0905051</v>
      </c>
      <c r="W21" s="9">
        <f t="shared" si="8"/>
        <v>1551060.142</v>
      </c>
      <c r="X21" s="9">
        <v>1550905.05</v>
      </c>
      <c r="Y21" s="9">
        <f t="shared" si="9"/>
        <v>-0.001131867757</v>
      </c>
      <c r="Z21" s="9"/>
      <c r="AA21" s="9" t="s">
        <v>62</v>
      </c>
      <c r="AB21" s="3"/>
      <c r="AC21" s="9"/>
      <c r="AD21" s="3"/>
      <c r="AE21" s="3"/>
      <c r="AF21" s="3"/>
      <c r="AG21" s="3"/>
      <c r="AH21" s="3"/>
    </row>
    <row r="22" ht="12.0" customHeight="1">
      <c r="A22" s="3">
        <v>14.0</v>
      </c>
      <c r="B22" s="3" t="s">
        <v>44</v>
      </c>
      <c r="C22" s="3" t="s">
        <v>45</v>
      </c>
      <c r="D22" s="3" t="s">
        <v>47</v>
      </c>
      <c r="E22" s="3" t="s">
        <v>70</v>
      </c>
      <c r="F22" s="3" t="s">
        <v>12</v>
      </c>
      <c r="G22" s="3" t="s">
        <v>122</v>
      </c>
      <c r="H22" s="3"/>
      <c r="I22" s="48">
        <f>IFERROR(VLOOKUP($G22,'Bonds Universe'!$D:$H,2,FALSE),"")</f>
        <v>0.19</v>
      </c>
      <c r="J22" s="49">
        <v>42688.0</v>
      </c>
      <c r="K22" s="49">
        <f>J22+(4*N1)+O1</f>
        <v>44326</v>
      </c>
      <c r="L22" s="9">
        <f t="shared" si="2"/>
        <v>32</v>
      </c>
      <c r="M22" s="49">
        <f>IFERROR(VLOOKUP($G22,'Bonds Universe'!$D:$H,3,FALSE),"")</f>
        <v>46328</v>
      </c>
      <c r="N22" s="49">
        <v>44355.0</v>
      </c>
      <c r="O22" s="49">
        <v>44358.0</v>
      </c>
      <c r="P22" s="48">
        <f t="shared" si="3"/>
        <v>0.183955946</v>
      </c>
      <c r="Q22" s="54">
        <v>101.9431</v>
      </c>
      <c r="R22" s="54">
        <v>1496750.0</v>
      </c>
      <c r="S22" s="9">
        <f t="shared" si="4"/>
        <v>1525833.349</v>
      </c>
      <c r="T22" s="9">
        <f t="shared" si="5"/>
        <v>25000.65934</v>
      </c>
      <c r="U22" s="9">
        <f t="shared" si="6"/>
        <v>1550834.009</v>
      </c>
      <c r="V22" s="9">
        <f t="shared" si="7"/>
        <v>155.0834009</v>
      </c>
      <c r="W22" s="9">
        <f t="shared" si="8"/>
        <v>1550989.092</v>
      </c>
      <c r="X22" s="9">
        <v>1550834.01</v>
      </c>
      <c r="Y22" s="9">
        <f t="shared" si="9"/>
        <v>0.001409340417</v>
      </c>
      <c r="Z22" s="9"/>
      <c r="AA22" s="9" t="s">
        <v>62</v>
      </c>
      <c r="AB22" s="3"/>
      <c r="AC22" s="9"/>
      <c r="AD22" s="3"/>
      <c r="AE22" s="3"/>
      <c r="AF22" s="3"/>
      <c r="AG22" s="3"/>
      <c r="AH22" s="3"/>
    </row>
    <row r="23" ht="12.0" customHeight="1">
      <c r="A23" s="3">
        <v>15.0</v>
      </c>
      <c r="B23" s="3" t="s">
        <v>91</v>
      </c>
      <c r="C23" s="3" t="s">
        <v>45</v>
      </c>
      <c r="D23" s="3" t="s">
        <v>47</v>
      </c>
      <c r="E23" s="3" t="s">
        <v>70</v>
      </c>
      <c r="F23" s="3" t="s">
        <v>12</v>
      </c>
      <c r="G23" s="3" t="s">
        <v>142</v>
      </c>
      <c r="H23" s="3"/>
      <c r="I23" s="48">
        <f>IFERROR(VLOOKUP($G23,'Bonds Universe'!$D:$H,2,FALSE),"")</f>
        <v>0.1925</v>
      </c>
      <c r="J23" s="49">
        <v>44221.0</v>
      </c>
      <c r="K23" s="49">
        <f>J23</f>
        <v>44221</v>
      </c>
      <c r="L23" s="9">
        <f t="shared" si="2"/>
        <v>137</v>
      </c>
      <c r="M23" s="49">
        <f>IFERROR(VLOOKUP($G23,'Bonds Universe'!$D:$H,3,FALSE),"")</f>
        <v>46405</v>
      </c>
      <c r="N23" s="49">
        <v>44355.0</v>
      </c>
      <c r="O23" s="49">
        <v>44358.0</v>
      </c>
      <c r="P23" s="48">
        <f t="shared" si="3"/>
        <v>0.1845108209</v>
      </c>
      <c r="Q23" s="54">
        <v>102.6492</v>
      </c>
      <c r="R23" s="54">
        <v>1411000.0</v>
      </c>
      <c r="S23" s="9">
        <f t="shared" si="4"/>
        <v>1448380.212</v>
      </c>
      <c r="T23" s="9">
        <f t="shared" si="5"/>
        <v>102229.6635</v>
      </c>
      <c r="U23" s="9">
        <f t="shared" si="6"/>
        <v>1550609.875</v>
      </c>
      <c r="V23" s="9">
        <f t="shared" si="7"/>
        <v>155.0609875</v>
      </c>
      <c r="W23" s="9">
        <f t="shared" si="8"/>
        <v>1550764.936</v>
      </c>
      <c r="X23" s="9">
        <v>1550609.87</v>
      </c>
      <c r="Y23" s="9">
        <f t="shared" si="9"/>
        <v>-0.005461538211</v>
      </c>
      <c r="Z23" s="9"/>
      <c r="AA23" s="9" t="s">
        <v>62</v>
      </c>
      <c r="AB23" s="3"/>
      <c r="AC23" s="9"/>
      <c r="AD23" s="3"/>
      <c r="AE23" s="3"/>
      <c r="AF23" s="3"/>
      <c r="AG23" s="3"/>
      <c r="AH23" s="3"/>
    </row>
    <row r="24" ht="12.0" customHeight="1">
      <c r="A24" s="3">
        <v>16.0</v>
      </c>
      <c r="B24" s="3" t="s">
        <v>44</v>
      </c>
      <c r="C24" s="3" t="s">
        <v>45</v>
      </c>
      <c r="D24" s="3" t="s">
        <v>47</v>
      </c>
      <c r="E24" s="3" t="s">
        <v>70</v>
      </c>
      <c r="F24" s="3" t="s">
        <v>14</v>
      </c>
      <c r="G24" s="3" t="s">
        <v>48</v>
      </c>
      <c r="H24" s="3"/>
      <c r="I24" s="48" t="s">
        <v>50</v>
      </c>
      <c r="J24" s="49">
        <v>43850.0</v>
      </c>
      <c r="K24" s="49">
        <f t="shared" ref="K24:K25" si="15">J24+$N$1</f>
        <v>44214</v>
      </c>
      <c r="L24" s="9">
        <f t="shared" si="2"/>
        <v>176</v>
      </c>
      <c r="M24" s="49" t="s">
        <v>50</v>
      </c>
      <c r="N24" s="49">
        <v>44386.0</v>
      </c>
      <c r="O24" s="49">
        <v>44390.0</v>
      </c>
      <c r="P24" s="48" t="str">
        <f t="shared" si="3"/>
        <v/>
      </c>
      <c r="Q24" s="54">
        <v>103.4996</v>
      </c>
      <c r="R24" s="54">
        <v>3587000.0</v>
      </c>
      <c r="S24" s="9">
        <f t="shared" si="4"/>
        <v>3712530.652</v>
      </c>
      <c r="T24" s="9">
        <f t="shared" si="5"/>
        <v>0</v>
      </c>
      <c r="U24" s="9">
        <f t="shared" si="6"/>
        <v>3712530.652</v>
      </c>
      <c r="V24" s="9">
        <f t="shared" si="7"/>
        <v>371.2530652</v>
      </c>
      <c r="W24" s="9">
        <f t="shared" si="8"/>
        <v>3712159.399</v>
      </c>
      <c r="X24" s="9">
        <v>4072413.18</v>
      </c>
      <c r="Y24" s="9">
        <f t="shared" si="9"/>
        <v>359882.528</v>
      </c>
      <c r="Z24" s="9">
        <v>6.043019983884497</v>
      </c>
      <c r="AA24" s="9" t="s">
        <v>62</v>
      </c>
      <c r="AB24" s="3"/>
      <c r="AC24" s="9"/>
      <c r="AD24" s="3"/>
      <c r="AE24" s="3"/>
      <c r="AF24" s="3"/>
      <c r="AG24" s="3"/>
      <c r="AH24" s="3"/>
    </row>
    <row r="25" ht="12.0" customHeight="1">
      <c r="A25" s="3">
        <v>17.0</v>
      </c>
      <c r="B25" s="3" t="s">
        <v>44</v>
      </c>
      <c r="C25" s="3" t="s">
        <v>45</v>
      </c>
      <c r="D25" s="3" t="s">
        <v>47</v>
      </c>
      <c r="E25" s="3" t="s">
        <v>70</v>
      </c>
      <c r="F25" s="3" t="s">
        <v>14</v>
      </c>
      <c r="G25" s="3" t="s">
        <v>63</v>
      </c>
      <c r="H25" s="3"/>
      <c r="I25" s="48" t="s">
        <v>50</v>
      </c>
      <c r="J25" s="49">
        <v>43899.0</v>
      </c>
      <c r="K25" s="49">
        <f t="shared" si="15"/>
        <v>44263</v>
      </c>
      <c r="L25" s="9">
        <f t="shared" si="2"/>
        <v>127</v>
      </c>
      <c r="M25" s="49" t="s">
        <v>50</v>
      </c>
      <c r="N25" s="49">
        <v>44386.0</v>
      </c>
      <c r="O25" s="49">
        <v>44390.0</v>
      </c>
      <c r="P25" s="48" t="str">
        <f t="shared" si="3"/>
        <v/>
      </c>
      <c r="Q25" s="54">
        <v>103.5474</v>
      </c>
      <c r="R25" s="54">
        <v>3628000.0</v>
      </c>
      <c r="S25" s="9">
        <f t="shared" si="4"/>
        <v>3756699.672</v>
      </c>
      <c r="T25" s="9">
        <f t="shared" si="5"/>
        <v>0</v>
      </c>
      <c r="U25" s="9">
        <f t="shared" si="6"/>
        <v>3756699.672</v>
      </c>
      <c r="V25" s="9">
        <f t="shared" si="7"/>
        <v>375.6699672</v>
      </c>
      <c r="W25" s="9">
        <f t="shared" si="8"/>
        <v>3756324.002</v>
      </c>
      <c r="X25" s="9">
        <v>4019355.91</v>
      </c>
      <c r="Y25" s="9">
        <f t="shared" si="9"/>
        <v>262656.238</v>
      </c>
      <c r="Z25" s="9">
        <v>6.043019983884497</v>
      </c>
      <c r="AA25" s="9" t="s">
        <v>62</v>
      </c>
      <c r="AB25" s="3"/>
      <c r="AC25" s="9"/>
      <c r="AD25" s="3"/>
      <c r="AE25" s="3"/>
      <c r="AF25" s="3"/>
      <c r="AG25" s="3"/>
      <c r="AH25" s="3"/>
    </row>
    <row r="26" ht="12.0" customHeight="1">
      <c r="A26" s="3">
        <v>18.0</v>
      </c>
      <c r="B26" s="3" t="s">
        <v>44</v>
      </c>
      <c r="C26" s="3" t="s">
        <v>45</v>
      </c>
      <c r="D26" s="3" t="s">
        <v>47</v>
      </c>
      <c r="E26" s="3" t="s">
        <v>70</v>
      </c>
      <c r="F26" s="3" t="s">
        <v>14</v>
      </c>
      <c r="G26" s="3" t="s">
        <v>64</v>
      </c>
      <c r="H26" s="3"/>
      <c r="I26" s="48" t="s">
        <v>50</v>
      </c>
      <c r="J26" s="49">
        <v>44165.0</v>
      </c>
      <c r="K26" s="49">
        <f>J26+$O$1</f>
        <v>44347</v>
      </c>
      <c r="L26" s="9">
        <f t="shared" si="2"/>
        <v>46</v>
      </c>
      <c r="M26" s="49" t="s">
        <v>50</v>
      </c>
      <c r="N26" s="49">
        <v>44391.0</v>
      </c>
      <c r="O26" s="49">
        <v>44393.0</v>
      </c>
      <c r="P26" s="48" t="str">
        <f t="shared" si="3"/>
        <v/>
      </c>
      <c r="Q26" s="54">
        <v>101.7836</v>
      </c>
      <c r="R26" s="54">
        <v>3889000.0</v>
      </c>
      <c r="S26" s="9">
        <f t="shared" si="4"/>
        <v>3958364.204</v>
      </c>
      <c r="T26" s="9">
        <f t="shared" si="5"/>
        <v>0</v>
      </c>
      <c r="U26" s="9">
        <f t="shared" si="6"/>
        <v>3958364.204</v>
      </c>
      <c r="V26" s="9">
        <f t="shared" si="7"/>
        <v>395.8364204</v>
      </c>
      <c r="W26" s="9">
        <f t="shared" si="8"/>
        <v>3957968.368</v>
      </c>
      <c r="X26" s="9">
        <v>4052971.6</v>
      </c>
      <c r="Y26" s="9">
        <f t="shared" si="9"/>
        <v>94607.396</v>
      </c>
      <c r="Z26" s="9">
        <v>6.138227999557285</v>
      </c>
      <c r="AA26" s="9" t="s">
        <v>62</v>
      </c>
      <c r="AB26" s="3"/>
      <c r="AC26" s="9"/>
      <c r="AD26" s="3"/>
      <c r="AE26" s="3"/>
      <c r="AF26" s="3"/>
      <c r="AG26" s="3"/>
      <c r="AH26" s="3"/>
    </row>
    <row r="27" ht="12.0" customHeight="1">
      <c r="A27" s="3">
        <v>19.0</v>
      </c>
      <c r="B27" s="3" t="s">
        <v>44</v>
      </c>
      <c r="C27" s="3" t="s">
        <v>45</v>
      </c>
      <c r="D27" s="3" t="s">
        <v>47</v>
      </c>
      <c r="E27" s="3" t="s">
        <v>70</v>
      </c>
      <c r="F27" s="3" t="s">
        <v>14</v>
      </c>
      <c r="G27" s="3" t="s">
        <v>133</v>
      </c>
      <c r="H27" s="3"/>
      <c r="I27" s="48">
        <v>0.183</v>
      </c>
      <c r="J27" s="49">
        <v>44263.0</v>
      </c>
      <c r="K27" s="49">
        <f>J27</f>
        <v>44263</v>
      </c>
      <c r="L27" s="9">
        <f t="shared" si="2"/>
        <v>133</v>
      </c>
      <c r="M27" s="49">
        <v>46083.0</v>
      </c>
      <c r="N27" s="49">
        <v>44392.0</v>
      </c>
      <c r="O27" s="49">
        <v>44396.0</v>
      </c>
      <c r="P27" s="48">
        <v>0.18047617478609607</v>
      </c>
      <c r="Q27" s="54">
        <v>97.0872</v>
      </c>
      <c r="R27" s="54">
        <v>8717980.0</v>
      </c>
      <c r="S27" s="9">
        <f t="shared" si="4"/>
        <v>8464042.679</v>
      </c>
      <c r="T27" s="9">
        <f t="shared" si="5"/>
        <v>582931.0858</v>
      </c>
      <c r="U27" s="9">
        <f t="shared" si="6"/>
        <v>9046973.764</v>
      </c>
      <c r="V27" s="9">
        <f t="shared" si="7"/>
        <v>904.6973764</v>
      </c>
      <c r="W27" s="9">
        <f t="shared" si="8"/>
        <v>9046069.067</v>
      </c>
      <c r="X27" s="9">
        <v>9046973.77</v>
      </c>
      <c r="Y27" s="9">
        <f t="shared" si="9"/>
        <v>0.00567076914</v>
      </c>
      <c r="Z27" s="9">
        <v>6.138227999557285</v>
      </c>
      <c r="AA27" s="9" t="s">
        <v>62</v>
      </c>
      <c r="AB27" s="3">
        <v>5.77</v>
      </c>
      <c r="AC27" s="9"/>
      <c r="AD27" s="3"/>
      <c r="AE27" s="3"/>
      <c r="AF27" s="3"/>
      <c r="AG27" s="3"/>
      <c r="AH27" s="3"/>
    </row>
    <row r="28" ht="12.0" customHeight="1">
      <c r="A28" s="3">
        <v>20.0</v>
      </c>
      <c r="B28" s="3" t="s">
        <v>44</v>
      </c>
      <c r="C28" s="3" t="s">
        <v>45</v>
      </c>
      <c r="D28" s="3" t="s">
        <v>47</v>
      </c>
      <c r="E28" s="3" t="s">
        <v>70</v>
      </c>
      <c r="F28" s="3" t="s">
        <v>14</v>
      </c>
      <c r="G28" s="3" t="s">
        <v>135</v>
      </c>
      <c r="H28" s="3"/>
      <c r="I28" s="48">
        <f>IFERROR(VLOOKUP($G28,'Bonds Universe'!$D:$H,2,FALSE),"")</f>
        <v>0.1985</v>
      </c>
      <c r="J28" s="49">
        <v>44123.0</v>
      </c>
      <c r="K28" s="49">
        <v>44305.0</v>
      </c>
      <c r="L28" s="9">
        <f t="shared" si="2"/>
        <v>94</v>
      </c>
      <c r="M28" s="49">
        <f>IFERROR(VLOOKUP($G28,'Bonds Universe'!$D:$H,3,FALSE),"")</f>
        <v>45943</v>
      </c>
      <c r="N28" s="49">
        <v>44396.0</v>
      </c>
      <c r="O28" s="49">
        <v>44399.0</v>
      </c>
      <c r="P28" s="48">
        <f t="shared" ref="P28:P37" si="16">IFERROR(YIELD(O28,M28,I28,Q28,100,2,0),"")</f>
        <v>0.1885553238</v>
      </c>
      <c r="Q28" s="54">
        <v>102.7</v>
      </c>
      <c r="R28" s="54">
        <v>1.0E7</v>
      </c>
      <c r="S28" s="9">
        <f t="shared" si="4"/>
        <v>10270000</v>
      </c>
      <c r="T28" s="9">
        <f t="shared" si="5"/>
        <v>512609.8901</v>
      </c>
      <c r="U28" s="9">
        <f t="shared" si="6"/>
        <v>10782609.89</v>
      </c>
      <c r="V28" s="9">
        <f t="shared" si="7"/>
        <v>1078.260989</v>
      </c>
      <c r="W28" s="9">
        <f t="shared" si="8"/>
        <v>10781531.63</v>
      </c>
      <c r="X28" s="9"/>
      <c r="Y28" s="9"/>
      <c r="Z28" s="9">
        <v>6.138227999557285</v>
      </c>
      <c r="AA28" s="9" t="s">
        <v>62</v>
      </c>
      <c r="AB28" s="3">
        <v>5.77</v>
      </c>
      <c r="AC28" s="9"/>
      <c r="AD28" s="3"/>
      <c r="AE28" s="3"/>
      <c r="AF28" s="3"/>
      <c r="AG28" s="3"/>
      <c r="AH28" s="3"/>
    </row>
    <row r="29" ht="12.0" customHeight="1">
      <c r="A29" s="3">
        <v>21.0</v>
      </c>
      <c r="B29" s="3" t="s">
        <v>44</v>
      </c>
      <c r="C29" s="3" t="s">
        <v>45</v>
      </c>
      <c r="D29" s="3" t="s">
        <v>47</v>
      </c>
      <c r="E29" s="3" t="s">
        <v>70</v>
      </c>
      <c r="F29" s="3" t="s">
        <v>14</v>
      </c>
      <c r="G29" s="3" t="s">
        <v>135</v>
      </c>
      <c r="H29" s="3"/>
      <c r="I29" s="48">
        <f>IFERROR(VLOOKUP($G29,'Bonds Universe'!$D:$H,2,FALSE),"")</f>
        <v>0.1985</v>
      </c>
      <c r="J29" s="49">
        <v>44123.0</v>
      </c>
      <c r="K29" s="49">
        <v>44305.0</v>
      </c>
      <c r="L29" s="9">
        <f t="shared" si="2"/>
        <v>94</v>
      </c>
      <c r="M29" s="49">
        <f>IFERROR(VLOOKUP($G29,'Bonds Universe'!$D:$H,3,FALSE),"")</f>
        <v>45943</v>
      </c>
      <c r="N29" s="49">
        <v>44396.0</v>
      </c>
      <c r="O29" s="49">
        <v>44399.0</v>
      </c>
      <c r="P29" s="48">
        <f t="shared" si="16"/>
        <v>0.1879669402</v>
      </c>
      <c r="Q29" s="54">
        <v>102.87</v>
      </c>
      <c r="R29" s="54">
        <v>6521085.0</v>
      </c>
      <c r="S29" s="9">
        <f t="shared" si="4"/>
        <v>6708240.14</v>
      </c>
      <c r="T29" s="9">
        <f t="shared" si="5"/>
        <v>334277.2665</v>
      </c>
      <c r="U29" s="9">
        <f t="shared" si="6"/>
        <v>7042517.406</v>
      </c>
      <c r="V29" s="9">
        <f t="shared" si="7"/>
        <v>704.2517406</v>
      </c>
      <c r="W29" s="9">
        <f t="shared" si="8"/>
        <v>7041813.154</v>
      </c>
      <c r="X29" s="9"/>
      <c r="Y29" s="9"/>
      <c r="Z29" s="9">
        <v>6.138227999557285</v>
      </c>
      <c r="AA29" s="9" t="s">
        <v>62</v>
      </c>
      <c r="AB29" s="3">
        <v>5.77</v>
      </c>
      <c r="AC29" s="9"/>
      <c r="AD29" s="3"/>
      <c r="AE29" s="3"/>
      <c r="AF29" s="3"/>
      <c r="AG29" s="3"/>
      <c r="AH29" s="3"/>
    </row>
    <row r="30" ht="12.0" customHeight="1">
      <c r="A30" s="3">
        <v>22.0</v>
      </c>
      <c r="B30" s="3" t="s">
        <v>91</v>
      </c>
      <c r="C30" s="3" t="s">
        <v>45</v>
      </c>
      <c r="D30" s="3" t="s">
        <v>47</v>
      </c>
      <c r="E30" s="3" t="s">
        <v>70</v>
      </c>
      <c r="F30" s="3" t="s">
        <v>14</v>
      </c>
      <c r="G30" s="3" t="s">
        <v>94</v>
      </c>
      <c r="H30" s="3"/>
      <c r="I30" s="48">
        <f>IFERROR(VLOOKUP($G30,'Bonds Universe'!$D:$H,2,FALSE),"")</f>
        <v>0.205</v>
      </c>
      <c r="J30" s="49">
        <v>44151.0</v>
      </c>
      <c r="K30" s="49">
        <f>J30+O1</f>
        <v>44333</v>
      </c>
      <c r="L30" s="9">
        <f t="shared" si="2"/>
        <v>70</v>
      </c>
      <c r="M30" s="49">
        <f>IFERROR(VLOOKUP($G30,'Bonds Universe'!$D:$H,3,FALSE),"")</f>
        <v>46699</v>
      </c>
      <c r="N30" s="49">
        <v>44399.0</v>
      </c>
      <c r="O30" s="49">
        <v>44403.0</v>
      </c>
      <c r="P30" s="48">
        <f t="shared" si="16"/>
        <v>0.1934046705</v>
      </c>
      <c r="Q30" s="54">
        <v>104.0</v>
      </c>
      <c r="R30" s="54">
        <v>2.111185E7</v>
      </c>
      <c r="S30" s="9">
        <f t="shared" si="4"/>
        <v>21956324</v>
      </c>
      <c r="T30" s="9">
        <f t="shared" si="5"/>
        <v>832294.0865</v>
      </c>
      <c r="U30" s="9">
        <f t="shared" si="6"/>
        <v>22788618.09</v>
      </c>
      <c r="V30" s="9">
        <f t="shared" si="7"/>
        <v>2278.861809</v>
      </c>
      <c r="W30" s="9">
        <f t="shared" si="8"/>
        <v>22786339.22</v>
      </c>
      <c r="X30" s="9">
        <v>2.278861808653846E7</v>
      </c>
      <c r="Y30" s="9">
        <f t="shared" ref="Y30:Y35" si="17">X30-U30</f>
        <v>0</v>
      </c>
      <c r="Z30" s="9">
        <v>6.138227999557285</v>
      </c>
      <c r="AA30" s="9" t="s">
        <v>62</v>
      </c>
      <c r="AB30" s="3">
        <v>5.77</v>
      </c>
      <c r="AC30" s="9"/>
      <c r="AD30" s="3"/>
      <c r="AE30" s="3"/>
      <c r="AF30" s="3"/>
      <c r="AG30" s="3"/>
      <c r="AH30" s="3"/>
    </row>
    <row r="31" ht="12.0" customHeight="1">
      <c r="A31" s="3">
        <v>23.0</v>
      </c>
      <c r="B31" s="3" t="s">
        <v>44</v>
      </c>
      <c r="C31" s="3" t="s">
        <v>45</v>
      </c>
      <c r="D31" s="3" t="s">
        <v>47</v>
      </c>
      <c r="E31" s="3" t="s">
        <v>70</v>
      </c>
      <c r="F31" s="3" t="s">
        <v>14</v>
      </c>
      <c r="G31" s="3" t="s">
        <v>122</v>
      </c>
      <c r="H31" s="3"/>
      <c r="I31" s="48">
        <f>IFERROR(VLOOKUP($G31,'Bonds Universe'!$D:$H,2,FALSE),"")</f>
        <v>0.19</v>
      </c>
      <c r="J31" s="49">
        <v>42688.0</v>
      </c>
      <c r="K31" s="49">
        <f>J31+(4*N1)+O1</f>
        <v>44326</v>
      </c>
      <c r="L31" s="9">
        <f t="shared" si="2"/>
        <v>77</v>
      </c>
      <c r="M31" s="49">
        <f>IFERROR(VLOOKUP($G31,'Bonds Universe'!$D:$H,3,FALSE),"")</f>
        <v>46328</v>
      </c>
      <c r="N31" s="49">
        <v>44399.0</v>
      </c>
      <c r="O31" s="49">
        <v>44403.0</v>
      </c>
      <c r="P31" s="48">
        <f t="shared" si="16"/>
        <v>0.187526549</v>
      </c>
      <c r="Q31" s="54">
        <v>100.7</v>
      </c>
      <c r="R31" s="54">
        <v>5000000.0</v>
      </c>
      <c r="S31" s="9">
        <f t="shared" si="4"/>
        <v>5035000</v>
      </c>
      <c r="T31" s="9">
        <f t="shared" si="5"/>
        <v>200961.5385</v>
      </c>
      <c r="U31" s="9">
        <f t="shared" si="6"/>
        <v>5235961.538</v>
      </c>
      <c r="V31" s="9">
        <f t="shared" si="7"/>
        <v>523.5961538</v>
      </c>
      <c r="W31" s="9">
        <f t="shared" si="8"/>
        <v>5235437.942</v>
      </c>
      <c r="X31" s="9">
        <v>5235961.54</v>
      </c>
      <c r="Y31" s="9">
        <f t="shared" si="17"/>
        <v>0.001538462006</v>
      </c>
      <c r="Z31" s="9">
        <v>6.138227999557285</v>
      </c>
      <c r="AA31" s="9" t="s">
        <v>62</v>
      </c>
      <c r="AB31" s="3">
        <v>5.77</v>
      </c>
      <c r="AC31" s="9"/>
      <c r="AD31" s="3"/>
      <c r="AE31" s="3"/>
      <c r="AF31" s="3"/>
      <c r="AG31" s="3"/>
      <c r="AH31" s="3"/>
    </row>
    <row r="32" ht="12.0" customHeight="1">
      <c r="A32" s="3">
        <v>24.0</v>
      </c>
      <c r="B32" s="3" t="s">
        <v>44</v>
      </c>
      <c r="C32" s="3" t="s">
        <v>45</v>
      </c>
      <c r="D32" s="3" t="s">
        <v>47</v>
      </c>
      <c r="E32" s="3" t="s">
        <v>70</v>
      </c>
      <c r="F32" s="3" t="s">
        <v>14</v>
      </c>
      <c r="G32" s="3" t="s">
        <v>122</v>
      </c>
      <c r="H32" s="3"/>
      <c r="I32" s="48">
        <f>IFERROR(VLOOKUP($G32,'Bonds Universe'!$D:$H,2,FALSE),"")</f>
        <v>0.19</v>
      </c>
      <c r="J32" s="49">
        <v>42688.0</v>
      </c>
      <c r="K32" s="49">
        <f>J32+(4*N1)+O1</f>
        <v>44326</v>
      </c>
      <c r="L32" s="9">
        <f t="shared" si="2"/>
        <v>87</v>
      </c>
      <c r="M32" s="49">
        <f>IFERROR(VLOOKUP($G32,'Bonds Universe'!$D:$H,3,FALSE),"")</f>
        <v>46328</v>
      </c>
      <c r="N32" s="49">
        <v>44410.0</v>
      </c>
      <c r="O32" s="49">
        <v>44413.0</v>
      </c>
      <c r="P32" s="48">
        <f t="shared" si="16"/>
        <v>0.1884961583</v>
      </c>
      <c r="Q32" s="54">
        <v>100.3806</v>
      </c>
      <c r="R32" s="54">
        <v>1496750.0</v>
      </c>
      <c r="S32" s="9">
        <f t="shared" si="4"/>
        <v>1502446.631</v>
      </c>
      <c r="T32" s="9">
        <f t="shared" si="5"/>
        <v>67970.54258</v>
      </c>
      <c r="U32" s="9">
        <f t="shared" si="6"/>
        <v>1570417.173</v>
      </c>
      <c r="V32" s="9">
        <f t="shared" si="7"/>
        <v>157.0417173</v>
      </c>
      <c r="W32" s="9">
        <f t="shared" si="8"/>
        <v>1570260.131</v>
      </c>
      <c r="X32" s="9">
        <v>1570417.17</v>
      </c>
      <c r="Y32" s="9">
        <f t="shared" si="17"/>
        <v>-0.003082417883</v>
      </c>
      <c r="Z32" s="9"/>
      <c r="AA32" s="9" t="s">
        <v>62</v>
      </c>
      <c r="AB32" s="3"/>
      <c r="AC32" s="9"/>
      <c r="AD32" s="3"/>
      <c r="AE32" s="3"/>
      <c r="AF32" s="3"/>
      <c r="AG32" s="3"/>
      <c r="AH32" s="3"/>
    </row>
    <row r="33" ht="12.0" customHeight="1">
      <c r="A33" s="3">
        <v>25.0</v>
      </c>
      <c r="B33" s="3" t="s">
        <v>91</v>
      </c>
      <c r="C33" s="3" t="s">
        <v>45</v>
      </c>
      <c r="D33" s="3" t="s">
        <v>47</v>
      </c>
      <c r="E33" s="3" t="s">
        <v>70</v>
      </c>
      <c r="F33" s="3" t="s">
        <v>14</v>
      </c>
      <c r="G33" s="3" t="s">
        <v>99</v>
      </c>
      <c r="H33" s="3"/>
      <c r="I33" s="48">
        <f>IFERROR(VLOOKUP($G33,'Bonds Universe'!$D:$H,2,FALSE),"")</f>
        <v>0.2</v>
      </c>
      <c r="J33" s="49">
        <v>44060.0</v>
      </c>
      <c r="K33" s="49">
        <f>J33+$N$1</f>
        <v>44424</v>
      </c>
      <c r="L33" s="9">
        <f t="shared" si="2"/>
        <v>25</v>
      </c>
      <c r="M33" s="49">
        <f>IFERROR(VLOOKUP($G33,'Bonds Universe'!$D:$H,3,FALSE),"")</f>
        <v>46608</v>
      </c>
      <c r="N33" s="49">
        <v>44447.0</v>
      </c>
      <c r="O33" s="49">
        <f>N33+2</f>
        <v>44449</v>
      </c>
      <c r="P33" s="48">
        <f t="shared" si="16"/>
        <v>0.1904539347</v>
      </c>
      <c r="Q33" s="54">
        <v>103.2389</v>
      </c>
      <c r="R33" s="54">
        <v>1.645335E7</v>
      </c>
      <c r="S33" s="9">
        <f t="shared" si="4"/>
        <v>16986257.55</v>
      </c>
      <c r="T33" s="9">
        <f t="shared" si="5"/>
        <v>226007.5549</v>
      </c>
      <c r="U33" s="9">
        <f t="shared" si="6"/>
        <v>17212265.11</v>
      </c>
      <c r="V33" s="9">
        <f t="shared" si="7"/>
        <v>1721.226511</v>
      </c>
      <c r="W33" s="9">
        <f t="shared" si="8"/>
        <v>17210543.88</v>
      </c>
      <c r="X33" s="9">
        <f>W33</f>
        <v>17210543.88</v>
      </c>
      <c r="Y33" s="9">
        <f t="shared" si="17"/>
        <v>-1721.226511</v>
      </c>
      <c r="Z33" s="9"/>
      <c r="AA33" s="9" t="s">
        <v>62</v>
      </c>
      <c r="AB33" s="3"/>
      <c r="AC33" s="9"/>
      <c r="AD33" s="3"/>
      <c r="AE33" s="3"/>
      <c r="AF33" s="3"/>
      <c r="AG33" s="3"/>
      <c r="AH33" s="3"/>
    </row>
    <row r="34" ht="12.0" customHeight="1">
      <c r="A34" s="3">
        <v>26.0</v>
      </c>
      <c r="B34" s="90" t="s">
        <v>44</v>
      </c>
      <c r="C34" s="90" t="s">
        <v>45</v>
      </c>
      <c r="D34" s="90" t="s">
        <v>47</v>
      </c>
      <c r="E34" s="90" t="s">
        <v>70</v>
      </c>
      <c r="F34" s="90" t="s">
        <v>14</v>
      </c>
      <c r="G34" s="90" t="s">
        <v>87</v>
      </c>
      <c r="H34" s="90"/>
      <c r="I34" s="91">
        <f>IFERROR(VLOOKUP($G34,'Bonds Universe'!$D:$H,2,FALSE),"")</f>
        <v>0.1925</v>
      </c>
      <c r="J34" s="92">
        <v>44221.0</v>
      </c>
      <c r="K34" s="92">
        <f>J34+$O$1</f>
        <v>44403</v>
      </c>
      <c r="L34" s="93">
        <f t="shared" si="2"/>
        <v>46</v>
      </c>
      <c r="M34" s="92">
        <f>IFERROR(VLOOKUP($G34,'Bonds Universe'!$D:$H,3,FALSE),"")</f>
        <v>46405</v>
      </c>
      <c r="N34" s="92">
        <v>44447.0</v>
      </c>
      <c r="O34" s="92">
        <v>44449.0</v>
      </c>
      <c r="P34" s="91">
        <f t="shared" si="16"/>
        <v>0.1894719871</v>
      </c>
      <c r="Q34" s="94">
        <v>100.9031</v>
      </c>
      <c r="R34" s="94">
        <v>9627450.0</v>
      </c>
      <c r="S34" s="93">
        <f t="shared" si="4"/>
        <v>9714395.501</v>
      </c>
      <c r="T34" s="93">
        <f t="shared" si="5"/>
        <v>234206.2356</v>
      </c>
      <c r="U34" s="93">
        <f t="shared" si="6"/>
        <v>9948601.737</v>
      </c>
      <c r="V34" s="93">
        <f t="shared" si="7"/>
        <v>994.8601737</v>
      </c>
      <c r="W34" s="93">
        <f t="shared" si="8"/>
        <v>9947606.876</v>
      </c>
      <c r="X34" s="93">
        <v>8336547.949999999</v>
      </c>
      <c r="Y34" s="93">
        <f t="shared" si="17"/>
        <v>-1612053.787</v>
      </c>
      <c r="Z34" s="93"/>
      <c r="AA34" s="9" t="s">
        <v>62</v>
      </c>
      <c r="AB34" s="90"/>
      <c r="AC34" s="93"/>
      <c r="AD34" s="93"/>
      <c r="AE34" s="90"/>
      <c r="AF34" s="90"/>
      <c r="AG34" s="90"/>
      <c r="AH34" s="90"/>
    </row>
    <row r="35" ht="12.0" customHeight="1">
      <c r="A35" s="3">
        <v>27.0</v>
      </c>
      <c r="B35" s="90" t="s">
        <v>44</v>
      </c>
      <c r="C35" s="90" t="s">
        <v>45</v>
      </c>
      <c r="D35" s="90" t="s">
        <v>47</v>
      </c>
      <c r="E35" s="90" t="s">
        <v>70</v>
      </c>
      <c r="F35" s="90" t="s">
        <v>14</v>
      </c>
      <c r="G35" s="90" t="s">
        <v>122</v>
      </c>
      <c r="H35" s="90"/>
      <c r="I35" s="91">
        <f>IFERROR(VLOOKUP($G35,'Bonds Universe'!$D:$H,2,FALSE),"")</f>
        <v>0.19</v>
      </c>
      <c r="J35" s="92">
        <v>42688.0</v>
      </c>
      <c r="K35" s="92">
        <f>J35+(4*$N$1)+$O$1</f>
        <v>44326</v>
      </c>
      <c r="L35" s="93">
        <f t="shared" si="2"/>
        <v>123</v>
      </c>
      <c r="M35" s="92">
        <f>IFERROR(VLOOKUP($G35,'Bonds Universe'!$D:$H,3,FALSE),"")</f>
        <v>46328</v>
      </c>
      <c r="N35" s="92">
        <v>44447.0</v>
      </c>
      <c r="O35" s="92">
        <v>44449.0</v>
      </c>
      <c r="P35" s="91">
        <f t="shared" si="16"/>
        <v>0.1880136626</v>
      </c>
      <c r="Q35" s="94">
        <v>100.5491</v>
      </c>
      <c r="R35" s="94">
        <v>3120570.0</v>
      </c>
      <c r="S35" s="93">
        <f t="shared" si="4"/>
        <v>3137705.05</v>
      </c>
      <c r="T35" s="93">
        <f t="shared" si="5"/>
        <v>200350.8816</v>
      </c>
      <c r="U35" s="93">
        <f t="shared" si="6"/>
        <v>3338055.931</v>
      </c>
      <c r="V35" s="93">
        <f t="shared" si="7"/>
        <v>333.8055931</v>
      </c>
      <c r="W35" s="93">
        <f t="shared" si="8"/>
        <v>3337722.126</v>
      </c>
      <c r="X35" s="93">
        <v>1570417.17</v>
      </c>
      <c r="Y35" s="93">
        <f t="shared" si="17"/>
        <v>-1767638.761</v>
      </c>
      <c r="Z35" s="93"/>
      <c r="AA35" s="9" t="s">
        <v>62</v>
      </c>
      <c r="AB35" s="90"/>
      <c r="AC35" s="93"/>
      <c r="AD35" s="93"/>
      <c r="AE35" s="90"/>
      <c r="AF35" s="90"/>
      <c r="AG35" s="90"/>
      <c r="AH35" s="90"/>
    </row>
    <row r="36" ht="12.0" customHeight="1">
      <c r="A36" s="3">
        <v>28.0</v>
      </c>
      <c r="B36" s="90" t="s">
        <v>44</v>
      </c>
      <c r="C36" s="90" t="s">
        <v>45</v>
      </c>
      <c r="D36" s="90" t="s">
        <v>47</v>
      </c>
      <c r="E36" s="90" t="s">
        <v>70</v>
      </c>
      <c r="F36" s="3" t="s">
        <v>14</v>
      </c>
      <c r="G36" s="90" t="s">
        <v>112</v>
      </c>
      <c r="H36" s="3"/>
      <c r="I36" s="91">
        <f>IFERROR(VLOOKUP($G36,'Bonds Universe'!$D:$H,2,FALSE),"")</f>
        <v>0.175</v>
      </c>
      <c r="J36" s="92">
        <v>43262.0</v>
      </c>
      <c r="K36" s="92">
        <f t="shared" ref="K36:K37" si="18">J36+(3*$N$1)</f>
        <v>44354</v>
      </c>
      <c r="L36" s="93">
        <f t="shared" si="2"/>
        <v>98</v>
      </c>
      <c r="M36" s="92">
        <f>IFERROR(VLOOKUP($G36,'Bonds Universe'!$D:$H,3,FALSE),"")</f>
        <v>46902</v>
      </c>
      <c r="N36" s="92">
        <v>44449.0</v>
      </c>
      <c r="O36" s="92">
        <v>44452.0</v>
      </c>
      <c r="P36" s="91">
        <f t="shared" si="16"/>
        <v>0.1920312603</v>
      </c>
      <c r="Q36" s="94">
        <v>93.6238</v>
      </c>
      <c r="R36" s="94">
        <v>1.0E7</v>
      </c>
      <c r="S36" s="93">
        <f t="shared" si="4"/>
        <v>9362380</v>
      </c>
      <c r="T36" s="93">
        <f t="shared" si="5"/>
        <v>471153.8462</v>
      </c>
      <c r="U36" s="93">
        <f t="shared" si="6"/>
        <v>9833533.846</v>
      </c>
      <c r="V36" s="93">
        <f t="shared" si="7"/>
        <v>983.3533846</v>
      </c>
      <c r="W36" s="93">
        <f t="shared" si="8"/>
        <v>9832550.493</v>
      </c>
      <c r="X36" s="9"/>
      <c r="Y36" s="9"/>
      <c r="Z36" s="9"/>
      <c r="AA36" s="9" t="s">
        <v>62</v>
      </c>
      <c r="AB36" s="3"/>
      <c r="AC36" s="3"/>
      <c r="AD36" s="3"/>
      <c r="AE36" s="3"/>
      <c r="AF36" s="3"/>
      <c r="AG36" s="3"/>
      <c r="AH36" s="3"/>
    </row>
    <row r="37" ht="12.0" customHeight="1">
      <c r="A37" s="3">
        <v>29.0</v>
      </c>
      <c r="B37" s="90" t="s">
        <v>44</v>
      </c>
      <c r="C37" s="90" t="s">
        <v>45</v>
      </c>
      <c r="D37" s="90" t="s">
        <v>47</v>
      </c>
      <c r="E37" s="90" t="s">
        <v>70</v>
      </c>
      <c r="F37" s="3" t="s">
        <v>14</v>
      </c>
      <c r="G37" s="90" t="s">
        <v>112</v>
      </c>
      <c r="H37" s="3"/>
      <c r="I37" s="91">
        <f>IFERROR(VLOOKUP($G37,'Bonds Universe'!$D:$H,2,FALSE),"")</f>
        <v>0.175</v>
      </c>
      <c r="J37" s="92">
        <v>43262.0</v>
      </c>
      <c r="K37" s="92">
        <f t="shared" si="18"/>
        <v>44354</v>
      </c>
      <c r="L37" s="93">
        <f t="shared" si="2"/>
        <v>98</v>
      </c>
      <c r="M37" s="92">
        <f>IFERROR(VLOOKUP($G37,'Bonds Universe'!$D:$H,3,FALSE),"")</f>
        <v>46902</v>
      </c>
      <c r="N37" s="92">
        <v>44449.0</v>
      </c>
      <c r="O37" s="92">
        <v>44452.0</v>
      </c>
      <c r="P37" s="91">
        <f t="shared" si="16"/>
        <v>0.1920312603</v>
      </c>
      <c r="Q37" s="94">
        <v>93.6238</v>
      </c>
      <c r="R37" s="94">
        <v>969000.0</v>
      </c>
      <c r="S37" s="93">
        <f t="shared" si="4"/>
        <v>907214.622</v>
      </c>
      <c r="T37" s="93">
        <f t="shared" si="5"/>
        <v>45654.80769</v>
      </c>
      <c r="U37" s="93">
        <f t="shared" si="6"/>
        <v>952869.4297</v>
      </c>
      <c r="V37" s="93">
        <f t="shared" si="7"/>
        <v>95.28694297</v>
      </c>
      <c r="W37" s="93">
        <f t="shared" si="8"/>
        <v>952774.1427</v>
      </c>
      <c r="X37" s="9"/>
      <c r="Y37" s="9"/>
      <c r="Z37" s="9"/>
      <c r="AA37" s="9" t="s">
        <v>62</v>
      </c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48"/>
      <c r="J38" s="48"/>
      <c r="K38" s="48"/>
      <c r="L38" s="48"/>
      <c r="M38" s="29"/>
      <c r="N38" s="49"/>
      <c r="O38" s="49"/>
      <c r="P38" s="48"/>
      <c r="Q38" s="98"/>
      <c r="R38" s="98"/>
      <c r="S38" s="9"/>
      <c r="T38" s="9"/>
      <c r="U38" s="9"/>
      <c r="V38" s="9"/>
      <c r="W38" s="9"/>
      <c r="X38" s="9"/>
      <c r="Y38" s="9"/>
      <c r="Z38" s="9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48"/>
      <c r="J39" s="48"/>
      <c r="K39" s="48"/>
      <c r="L39" s="48"/>
      <c r="M39" s="29"/>
      <c r="N39" s="49"/>
      <c r="O39" s="49"/>
      <c r="P39" s="48"/>
      <c r="Q39" s="98"/>
      <c r="R39" s="98"/>
      <c r="S39" s="9"/>
      <c r="T39" s="9"/>
      <c r="U39" s="9"/>
      <c r="V39" s="9"/>
      <c r="W39" s="9"/>
      <c r="X39" s="9"/>
      <c r="Y39" s="9"/>
      <c r="Z39" s="9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48"/>
      <c r="J40" s="48"/>
      <c r="K40" s="48"/>
      <c r="L40" s="48"/>
      <c r="M40" s="29"/>
      <c r="N40" s="49"/>
      <c r="O40" s="49"/>
      <c r="P40" s="48"/>
      <c r="Q40" s="98"/>
      <c r="R40" s="98"/>
      <c r="S40" s="9"/>
      <c r="T40" s="9"/>
      <c r="U40" s="9"/>
      <c r="V40" s="9"/>
      <c r="W40" s="9"/>
      <c r="X40" s="9"/>
      <c r="Y40" s="9"/>
      <c r="Z40" s="9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48"/>
      <c r="J41" s="48"/>
      <c r="K41" s="48"/>
      <c r="L41" s="48"/>
      <c r="M41" s="29"/>
      <c r="N41" s="49"/>
      <c r="O41" s="49"/>
      <c r="P41" s="48"/>
      <c r="Q41" s="98"/>
      <c r="R41" s="98"/>
      <c r="S41" s="9"/>
      <c r="T41" s="9"/>
      <c r="U41" s="9"/>
      <c r="V41" s="9"/>
      <c r="W41" s="9"/>
      <c r="X41" s="9"/>
      <c r="Y41" s="9"/>
      <c r="Z41" s="9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48"/>
      <c r="J42" s="48"/>
      <c r="K42" s="48"/>
      <c r="L42" s="48"/>
      <c r="M42" s="29"/>
      <c r="N42" s="49"/>
      <c r="O42" s="49"/>
      <c r="P42" s="48"/>
      <c r="Q42" s="98"/>
      <c r="R42" s="98"/>
      <c r="S42" s="9"/>
      <c r="T42" s="9"/>
      <c r="U42" s="9"/>
      <c r="V42" s="9"/>
      <c r="W42" s="9"/>
      <c r="X42" s="9"/>
      <c r="Y42" s="9"/>
      <c r="Z42" s="9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48"/>
      <c r="J43" s="48"/>
      <c r="K43" s="48"/>
      <c r="L43" s="48"/>
      <c r="M43" s="29"/>
      <c r="N43" s="49"/>
      <c r="O43" s="49"/>
      <c r="P43" s="48"/>
      <c r="Q43" s="98"/>
      <c r="R43" s="98"/>
      <c r="S43" s="9"/>
      <c r="T43" s="9"/>
      <c r="U43" s="9"/>
      <c r="V43" s="9"/>
      <c r="W43" s="9"/>
      <c r="X43" s="9"/>
      <c r="Y43" s="9"/>
      <c r="Z43" s="9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48"/>
      <c r="J44" s="48"/>
      <c r="K44" s="48"/>
      <c r="L44" s="48"/>
      <c r="M44" s="29"/>
      <c r="N44" s="49"/>
      <c r="O44" s="49"/>
      <c r="P44" s="48"/>
      <c r="Q44" s="98"/>
      <c r="R44" s="98"/>
      <c r="S44" s="9"/>
      <c r="T44" s="9"/>
      <c r="U44" s="9"/>
      <c r="V44" s="9"/>
      <c r="W44" s="9"/>
      <c r="X44" s="9"/>
      <c r="Y44" s="9"/>
      <c r="Z44" s="9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48"/>
      <c r="J45" s="48"/>
      <c r="K45" s="48"/>
      <c r="L45" s="48"/>
      <c r="M45" s="29"/>
      <c r="N45" s="49"/>
      <c r="O45" s="49"/>
      <c r="P45" s="48"/>
      <c r="Q45" s="98"/>
      <c r="R45" s="98"/>
      <c r="S45" s="9"/>
      <c r="T45" s="9"/>
      <c r="U45" s="9"/>
      <c r="V45" s="9"/>
      <c r="W45" s="9"/>
      <c r="X45" s="9"/>
      <c r="Y45" s="9"/>
      <c r="Z45" s="9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48"/>
      <c r="J46" s="48"/>
      <c r="K46" s="48"/>
      <c r="L46" s="48"/>
      <c r="M46" s="29"/>
      <c r="N46" s="49"/>
      <c r="O46" s="49"/>
      <c r="P46" s="48"/>
      <c r="Q46" s="98"/>
      <c r="R46" s="98"/>
      <c r="S46" s="9"/>
      <c r="T46" s="9"/>
      <c r="U46" s="9"/>
      <c r="V46" s="9"/>
      <c r="W46" s="9"/>
      <c r="X46" s="9"/>
      <c r="Y46" s="9"/>
      <c r="Z46" s="9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48"/>
      <c r="J47" s="48"/>
      <c r="K47" s="48"/>
      <c r="L47" s="48"/>
      <c r="M47" s="29"/>
      <c r="N47" s="49"/>
      <c r="O47" s="49"/>
      <c r="P47" s="48"/>
      <c r="Q47" s="98"/>
      <c r="R47" s="98"/>
      <c r="S47" s="9"/>
      <c r="T47" s="9"/>
      <c r="U47" s="9"/>
      <c r="V47" s="9"/>
      <c r="W47" s="9"/>
      <c r="X47" s="9"/>
      <c r="Y47" s="9"/>
      <c r="Z47" s="9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48"/>
      <c r="J48" s="48"/>
      <c r="K48" s="48"/>
      <c r="L48" s="48"/>
      <c r="M48" s="29"/>
      <c r="N48" s="49"/>
      <c r="O48" s="49"/>
      <c r="P48" s="48"/>
      <c r="Q48" s="98"/>
      <c r="R48" s="98"/>
      <c r="S48" s="9"/>
      <c r="T48" s="9"/>
      <c r="U48" s="9"/>
      <c r="V48" s="9"/>
      <c r="W48" s="9"/>
      <c r="X48" s="9"/>
      <c r="Y48" s="9"/>
      <c r="Z48" s="9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48"/>
      <c r="J49" s="48"/>
      <c r="K49" s="48"/>
      <c r="L49" s="48"/>
      <c r="M49" s="29"/>
      <c r="N49" s="49"/>
      <c r="O49" s="49"/>
      <c r="P49" s="48"/>
      <c r="Q49" s="98"/>
      <c r="R49" s="98"/>
      <c r="S49" s="9"/>
      <c r="T49" s="9"/>
      <c r="U49" s="9"/>
      <c r="V49" s="9"/>
      <c r="W49" s="9"/>
      <c r="X49" s="9"/>
      <c r="Y49" s="9"/>
      <c r="Z49" s="9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48"/>
      <c r="J50" s="48"/>
      <c r="K50" s="48"/>
      <c r="L50" s="48"/>
      <c r="M50" s="29"/>
      <c r="N50" s="49"/>
      <c r="O50" s="49"/>
      <c r="P50" s="48"/>
      <c r="Q50" s="98"/>
      <c r="R50" s="98"/>
      <c r="S50" s="9"/>
      <c r="T50" s="9"/>
      <c r="U50" s="9"/>
      <c r="V50" s="9"/>
      <c r="W50" s="9"/>
      <c r="X50" s="9"/>
      <c r="Y50" s="9"/>
      <c r="Z50" s="9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48"/>
      <c r="J51" s="48"/>
      <c r="K51" s="48"/>
      <c r="L51" s="48"/>
      <c r="M51" s="29"/>
      <c r="N51" s="49"/>
      <c r="O51" s="49"/>
      <c r="P51" s="48"/>
      <c r="Q51" s="98"/>
      <c r="R51" s="98"/>
      <c r="S51" s="9"/>
      <c r="T51" s="9"/>
      <c r="U51" s="9"/>
      <c r="V51" s="9"/>
      <c r="W51" s="9"/>
      <c r="X51" s="9"/>
      <c r="Y51" s="9"/>
      <c r="Z51" s="9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48"/>
      <c r="J52" s="48"/>
      <c r="K52" s="48"/>
      <c r="L52" s="48"/>
      <c r="M52" s="29"/>
      <c r="N52" s="49"/>
      <c r="O52" s="49"/>
      <c r="P52" s="48"/>
      <c r="Q52" s="98"/>
      <c r="R52" s="98"/>
      <c r="S52" s="9"/>
      <c r="T52" s="9"/>
      <c r="U52" s="9"/>
      <c r="V52" s="9"/>
      <c r="W52" s="9"/>
      <c r="X52" s="9"/>
      <c r="Y52" s="9"/>
      <c r="Z52" s="9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48"/>
      <c r="J53" s="48"/>
      <c r="K53" s="48"/>
      <c r="L53" s="48"/>
      <c r="M53" s="29"/>
      <c r="N53" s="49"/>
      <c r="O53" s="49"/>
      <c r="P53" s="48"/>
      <c r="Q53" s="98"/>
      <c r="R53" s="98"/>
      <c r="S53" s="9"/>
      <c r="T53" s="9"/>
      <c r="U53" s="9"/>
      <c r="V53" s="9"/>
      <c r="W53" s="9"/>
      <c r="X53" s="9"/>
      <c r="Y53" s="9"/>
      <c r="Z53" s="9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48"/>
      <c r="J54" s="48"/>
      <c r="K54" s="48"/>
      <c r="L54" s="48"/>
      <c r="M54" s="29"/>
      <c r="N54" s="49"/>
      <c r="O54" s="49"/>
      <c r="P54" s="48"/>
      <c r="Q54" s="98"/>
      <c r="R54" s="98"/>
      <c r="S54" s="9"/>
      <c r="T54" s="9"/>
      <c r="U54" s="9"/>
      <c r="V54" s="9"/>
      <c r="W54" s="9"/>
      <c r="X54" s="9"/>
      <c r="Y54" s="9"/>
      <c r="Z54" s="9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48"/>
      <c r="J55" s="48"/>
      <c r="K55" s="48"/>
      <c r="L55" s="48"/>
      <c r="M55" s="29"/>
      <c r="N55" s="49"/>
      <c r="O55" s="49"/>
      <c r="P55" s="48"/>
      <c r="Q55" s="98"/>
      <c r="R55" s="98"/>
      <c r="S55" s="9"/>
      <c r="T55" s="9"/>
      <c r="U55" s="9"/>
      <c r="V55" s="9"/>
      <c r="W55" s="9"/>
      <c r="X55" s="9"/>
      <c r="Y55" s="9"/>
      <c r="Z55" s="9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48"/>
      <c r="J56" s="48"/>
      <c r="K56" s="48"/>
      <c r="L56" s="48"/>
      <c r="M56" s="29"/>
      <c r="N56" s="49"/>
      <c r="O56" s="49"/>
      <c r="P56" s="48"/>
      <c r="Q56" s="98"/>
      <c r="R56" s="98"/>
      <c r="S56" s="9"/>
      <c r="T56" s="9"/>
      <c r="U56" s="9"/>
      <c r="V56" s="9"/>
      <c r="W56" s="9"/>
      <c r="X56" s="9"/>
      <c r="Y56" s="9"/>
      <c r="Z56" s="9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48"/>
      <c r="J57" s="48"/>
      <c r="K57" s="48"/>
      <c r="L57" s="48"/>
      <c r="M57" s="29"/>
      <c r="N57" s="49"/>
      <c r="O57" s="49"/>
      <c r="P57" s="48"/>
      <c r="Q57" s="98"/>
      <c r="R57" s="98"/>
      <c r="S57" s="9"/>
      <c r="T57" s="9"/>
      <c r="U57" s="9"/>
      <c r="V57" s="9"/>
      <c r="W57" s="9"/>
      <c r="X57" s="9"/>
      <c r="Y57" s="9"/>
      <c r="Z57" s="9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48"/>
      <c r="J58" s="48"/>
      <c r="K58" s="48"/>
      <c r="L58" s="48"/>
      <c r="M58" s="29"/>
      <c r="N58" s="49"/>
      <c r="O58" s="49"/>
      <c r="P58" s="48"/>
      <c r="Q58" s="98"/>
      <c r="R58" s="98"/>
      <c r="S58" s="9"/>
      <c r="T58" s="9"/>
      <c r="U58" s="9"/>
      <c r="V58" s="9"/>
      <c r="W58" s="9"/>
      <c r="X58" s="9"/>
      <c r="Y58" s="9"/>
      <c r="Z58" s="9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48"/>
      <c r="J59" s="48"/>
      <c r="K59" s="48"/>
      <c r="L59" s="48"/>
      <c r="M59" s="29"/>
      <c r="N59" s="49"/>
      <c r="O59" s="49"/>
      <c r="P59" s="48"/>
      <c r="Q59" s="98"/>
      <c r="R59" s="98"/>
      <c r="S59" s="9"/>
      <c r="T59" s="9"/>
      <c r="U59" s="9"/>
      <c r="V59" s="9"/>
      <c r="W59" s="9"/>
      <c r="X59" s="9"/>
      <c r="Y59" s="9"/>
      <c r="Z59" s="9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48"/>
      <c r="J60" s="48"/>
      <c r="K60" s="48"/>
      <c r="L60" s="48"/>
      <c r="M60" s="29"/>
      <c r="N60" s="49"/>
      <c r="O60" s="49"/>
      <c r="P60" s="48"/>
      <c r="Q60" s="98"/>
      <c r="R60" s="98"/>
      <c r="S60" s="9"/>
      <c r="T60" s="9"/>
      <c r="U60" s="9"/>
      <c r="V60" s="9"/>
      <c r="W60" s="9"/>
      <c r="X60" s="9"/>
      <c r="Y60" s="9"/>
      <c r="Z60" s="9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48"/>
      <c r="J61" s="48"/>
      <c r="K61" s="48"/>
      <c r="L61" s="48"/>
      <c r="M61" s="29"/>
      <c r="N61" s="49"/>
      <c r="O61" s="49"/>
      <c r="P61" s="48"/>
      <c r="Q61" s="98"/>
      <c r="R61" s="98"/>
      <c r="S61" s="9"/>
      <c r="T61" s="9"/>
      <c r="U61" s="9"/>
      <c r="V61" s="9"/>
      <c r="W61" s="9"/>
      <c r="X61" s="9"/>
      <c r="Y61" s="9"/>
      <c r="Z61" s="9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48"/>
      <c r="J62" s="48"/>
      <c r="K62" s="48"/>
      <c r="L62" s="48"/>
      <c r="M62" s="29"/>
      <c r="N62" s="49"/>
      <c r="O62" s="49"/>
      <c r="P62" s="48"/>
      <c r="Q62" s="98"/>
      <c r="R62" s="98"/>
      <c r="S62" s="9"/>
      <c r="T62" s="9"/>
      <c r="U62" s="9"/>
      <c r="V62" s="9"/>
      <c r="W62" s="9"/>
      <c r="X62" s="9"/>
      <c r="Y62" s="9"/>
      <c r="Z62" s="9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48"/>
      <c r="J63" s="48"/>
      <c r="K63" s="48"/>
      <c r="L63" s="48"/>
      <c r="M63" s="29"/>
      <c r="N63" s="49"/>
      <c r="O63" s="49"/>
      <c r="P63" s="48"/>
      <c r="Q63" s="98"/>
      <c r="R63" s="98"/>
      <c r="S63" s="9"/>
      <c r="T63" s="9"/>
      <c r="U63" s="9"/>
      <c r="V63" s="9"/>
      <c r="W63" s="9"/>
      <c r="X63" s="9"/>
      <c r="Y63" s="9"/>
      <c r="Z63" s="9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48"/>
      <c r="J64" s="48"/>
      <c r="K64" s="48"/>
      <c r="L64" s="48"/>
      <c r="M64" s="29"/>
      <c r="N64" s="49"/>
      <c r="O64" s="49"/>
      <c r="P64" s="48"/>
      <c r="Q64" s="98"/>
      <c r="R64" s="98"/>
      <c r="S64" s="9"/>
      <c r="T64" s="9"/>
      <c r="U64" s="9"/>
      <c r="V64" s="9"/>
      <c r="W64" s="9"/>
      <c r="X64" s="9"/>
      <c r="Y64" s="9"/>
      <c r="Z64" s="9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48"/>
      <c r="J65" s="48"/>
      <c r="K65" s="48"/>
      <c r="L65" s="48"/>
      <c r="M65" s="29"/>
      <c r="N65" s="49"/>
      <c r="O65" s="49"/>
      <c r="P65" s="48"/>
      <c r="Q65" s="98"/>
      <c r="R65" s="98"/>
      <c r="S65" s="9"/>
      <c r="T65" s="9"/>
      <c r="U65" s="9"/>
      <c r="V65" s="9"/>
      <c r="W65" s="9"/>
      <c r="X65" s="9"/>
      <c r="Y65" s="9"/>
      <c r="Z65" s="9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48"/>
      <c r="J66" s="48"/>
      <c r="K66" s="48"/>
      <c r="L66" s="48"/>
      <c r="M66" s="29"/>
      <c r="N66" s="49"/>
      <c r="O66" s="49"/>
      <c r="P66" s="48"/>
      <c r="Q66" s="98"/>
      <c r="R66" s="98"/>
      <c r="S66" s="9"/>
      <c r="T66" s="9"/>
      <c r="U66" s="9"/>
      <c r="V66" s="9"/>
      <c r="W66" s="9"/>
      <c r="X66" s="9"/>
      <c r="Y66" s="9"/>
      <c r="Z66" s="9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48"/>
      <c r="J67" s="48"/>
      <c r="K67" s="48"/>
      <c r="L67" s="48"/>
      <c r="M67" s="29"/>
      <c r="N67" s="49"/>
      <c r="O67" s="49"/>
      <c r="P67" s="48"/>
      <c r="Q67" s="98"/>
      <c r="R67" s="98"/>
      <c r="S67" s="9"/>
      <c r="T67" s="9"/>
      <c r="U67" s="9"/>
      <c r="V67" s="9"/>
      <c r="W67" s="9"/>
      <c r="X67" s="9"/>
      <c r="Y67" s="9"/>
      <c r="Z67" s="9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48"/>
      <c r="J68" s="48"/>
      <c r="K68" s="48"/>
      <c r="L68" s="48"/>
      <c r="M68" s="29"/>
      <c r="N68" s="49"/>
      <c r="O68" s="49"/>
      <c r="P68" s="48"/>
      <c r="Q68" s="98"/>
      <c r="R68" s="98"/>
      <c r="S68" s="9"/>
      <c r="T68" s="9"/>
      <c r="U68" s="9"/>
      <c r="V68" s="9"/>
      <c r="W68" s="9"/>
      <c r="X68" s="9"/>
      <c r="Y68" s="9"/>
      <c r="Z68" s="9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48"/>
      <c r="J69" s="48"/>
      <c r="K69" s="48"/>
      <c r="L69" s="48"/>
      <c r="M69" s="29"/>
      <c r="N69" s="49"/>
      <c r="O69" s="49"/>
      <c r="P69" s="48"/>
      <c r="Q69" s="98"/>
      <c r="R69" s="98"/>
      <c r="S69" s="9"/>
      <c r="T69" s="9"/>
      <c r="U69" s="9"/>
      <c r="V69" s="9"/>
      <c r="W69" s="9"/>
      <c r="X69" s="9"/>
      <c r="Y69" s="9"/>
      <c r="Z69" s="9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48"/>
      <c r="J70" s="48"/>
      <c r="K70" s="48"/>
      <c r="L70" s="48"/>
      <c r="M70" s="29"/>
      <c r="N70" s="49"/>
      <c r="O70" s="49"/>
      <c r="P70" s="48"/>
      <c r="Q70" s="98"/>
      <c r="R70" s="98"/>
      <c r="S70" s="9"/>
      <c r="T70" s="9"/>
      <c r="U70" s="9"/>
      <c r="V70" s="9"/>
      <c r="W70" s="9"/>
      <c r="X70" s="9"/>
      <c r="Y70" s="9"/>
      <c r="Z70" s="9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48"/>
      <c r="J71" s="48"/>
      <c r="K71" s="48"/>
      <c r="L71" s="48"/>
      <c r="M71" s="29"/>
      <c r="N71" s="49"/>
      <c r="O71" s="49"/>
      <c r="P71" s="48"/>
      <c r="Q71" s="98"/>
      <c r="R71" s="98"/>
      <c r="S71" s="9"/>
      <c r="T71" s="9"/>
      <c r="U71" s="9"/>
      <c r="V71" s="9"/>
      <c r="W71" s="9"/>
      <c r="X71" s="9"/>
      <c r="Y71" s="9"/>
      <c r="Z71" s="9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48"/>
      <c r="J72" s="48"/>
      <c r="K72" s="48"/>
      <c r="L72" s="48"/>
      <c r="M72" s="29"/>
      <c r="N72" s="49"/>
      <c r="O72" s="49"/>
      <c r="P72" s="48"/>
      <c r="Q72" s="98"/>
      <c r="R72" s="98"/>
      <c r="S72" s="9"/>
      <c r="T72" s="9"/>
      <c r="U72" s="9"/>
      <c r="V72" s="9"/>
      <c r="W72" s="9"/>
      <c r="X72" s="9"/>
      <c r="Y72" s="9"/>
      <c r="Z72" s="9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48"/>
      <c r="J73" s="48"/>
      <c r="K73" s="48"/>
      <c r="L73" s="48"/>
      <c r="M73" s="29"/>
      <c r="N73" s="49"/>
      <c r="O73" s="49"/>
      <c r="P73" s="48"/>
      <c r="Q73" s="98"/>
      <c r="R73" s="98"/>
      <c r="S73" s="9"/>
      <c r="T73" s="9"/>
      <c r="U73" s="9"/>
      <c r="V73" s="9"/>
      <c r="W73" s="9"/>
      <c r="X73" s="9"/>
      <c r="Y73" s="9"/>
      <c r="Z73" s="9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48"/>
      <c r="J74" s="48"/>
      <c r="K74" s="48"/>
      <c r="L74" s="48"/>
      <c r="M74" s="29"/>
      <c r="N74" s="49"/>
      <c r="O74" s="49"/>
      <c r="P74" s="48"/>
      <c r="Q74" s="98"/>
      <c r="R74" s="98"/>
      <c r="S74" s="9"/>
      <c r="T74" s="9"/>
      <c r="U74" s="9"/>
      <c r="V74" s="9"/>
      <c r="W74" s="9"/>
      <c r="X74" s="9"/>
      <c r="Y74" s="9"/>
      <c r="Z74" s="9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48"/>
      <c r="J75" s="48"/>
      <c r="K75" s="48"/>
      <c r="L75" s="48"/>
      <c r="M75" s="29"/>
      <c r="N75" s="49"/>
      <c r="O75" s="49"/>
      <c r="P75" s="48"/>
      <c r="Q75" s="98"/>
      <c r="R75" s="98"/>
      <c r="S75" s="9"/>
      <c r="T75" s="9"/>
      <c r="U75" s="9"/>
      <c r="V75" s="9"/>
      <c r="W75" s="9"/>
      <c r="X75" s="9"/>
      <c r="Y75" s="9"/>
      <c r="Z75" s="9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48"/>
      <c r="J76" s="48"/>
      <c r="K76" s="48"/>
      <c r="L76" s="48"/>
      <c r="M76" s="29"/>
      <c r="N76" s="49"/>
      <c r="O76" s="49"/>
      <c r="P76" s="48"/>
      <c r="Q76" s="98"/>
      <c r="R76" s="98"/>
      <c r="S76" s="9"/>
      <c r="T76" s="9"/>
      <c r="U76" s="9"/>
      <c r="V76" s="9"/>
      <c r="W76" s="9"/>
      <c r="X76" s="9"/>
      <c r="Y76" s="9"/>
      <c r="Z76" s="9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48"/>
      <c r="J77" s="48"/>
      <c r="K77" s="48"/>
      <c r="L77" s="48"/>
      <c r="M77" s="29"/>
      <c r="N77" s="49"/>
      <c r="O77" s="49"/>
      <c r="P77" s="48"/>
      <c r="Q77" s="98"/>
      <c r="R77" s="98"/>
      <c r="S77" s="9"/>
      <c r="T77" s="9"/>
      <c r="U77" s="9"/>
      <c r="V77" s="9"/>
      <c r="W77" s="9"/>
      <c r="X77" s="9"/>
      <c r="Y77" s="9"/>
      <c r="Z77" s="9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48"/>
      <c r="J78" s="48"/>
      <c r="K78" s="48"/>
      <c r="L78" s="48"/>
      <c r="M78" s="29"/>
      <c r="N78" s="49"/>
      <c r="O78" s="49"/>
      <c r="P78" s="48"/>
      <c r="Q78" s="98"/>
      <c r="R78" s="98"/>
      <c r="S78" s="9"/>
      <c r="T78" s="9"/>
      <c r="U78" s="9"/>
      <c r="V78" s="9"/>
      <c r="W78" s="9"/>
      <c r="X78" s="9"/>
      <c r="Y78" s="9"/>
      <c r="Z78" s="9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48"/>
      <c r="J79" s="48"/>
      <c r="K79" s="48"/>
      <c r="L79" s="48"/>
      <c r="M79" s="29"/>
      <c r="N79" s="49"/>
      <c r="O79" s="49"/>
      <c r="P79" s="48"/>
      <c r="Q79" s="98"/>
      <c r="R79" s="98"/>
      <c r="S79" s="9"/>
      <c r="T79" s="9"/>
      <c r="U79" s="9"/>
      <c r="V79" s="9"/>
      <c r="W79" s="9"/>
      <c r="X79" s="9"/>
      <c r="Y79" s="9"/>
      <c r="Z79" s="9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48"/>
      <c r="J80" s="48"/>
      <c r="K80" s="48"/>
      <c r="L80" s="48"/>
      <c r="M80" s="29"/>
      <c r="N80" s="49"/>
      <c r="O80" s="49"/>
      <c r="P80" s="48"/>
      <c r="Q80" s="98"/>
      <c r="R80" s="98"/>
      <c r="S80" s="9"/>
      <c r="T80" s="9"/>
      <c r="U80" s="9"/>
      <c r="V80" s="9"/>
      <c r="W80" s="9"/>
      <c r="X80" s="9"/>
      <c r="Y80" s="9"/>
      <c r="Z80" s="9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48"/>
      <c r="J81" s="48"/>
      <c r="K81" s="48"/>
      <c r="L81" s="48"/>
      <c r="M81" s="29"/>
      <c r="N81" s="49"/>
      <c r="O81" s="49"/>
      <c r="P81" s="48"/>
      <c r="Q81" s="98"/>
      <c r="R81" s="98"/>
      <c r="S81" s="9"/>
      <c r="T81" s="9"/>
      <c r="U81" s="9"/>
      <c r="V81" s="9"/>
      <c r="W81" s="9"/>
      <c r="X81" s="9"/>
      <c r="Y81" s="9"/>
      <c r="Z81" s="9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48"/>
      <c r="J82" s="48"/>
      <c r="K82" s="48"/>
      <c r="L82" s="48"/>
      <c r="M82" s="29"/>
      <c r="N82" s="49"/>
      <c r="O82" s="49"/>
      <c r="P82" s="48"/>
      <c r="Q82" s="98"/>
      <c r="R82" s="98"/>
      <c r="S82" s="9"/>
      <c r="T82" s="9"/>
      <c r="U82" s="9"/>
      <c r="V82" s="9"/>
      <c r="W82" s="9"/>
      <c r="X82" s="9"/>
      <c r="Y82" s="9"/>
      <c r="Z82" s="9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48"/>
      <c r="J83" s="48"/>
      <c r="K83" s="48"/>
      <c r="L83" s="48"/>
      <c r="M83" s="29"/>
      <c r="N83" s="49"/>
      <c r="O83" s="49"/>
      <c r="P83" s="48"/>
      <c r="Q83" s="98"/>
      <c r="R83" s="98"/>
      <c r="S83" s="9"/>
      <c r="T83" s="9"/>
      <c r="U83" s="9"/>
      <c r="V83" s="9"/>
      <c r="W83" s="9"/>
      <c r="X83" s="9"/>
      <c r="Y83" s="9"/>
      <c r="Z83" s="9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48"/>
      <c r="J84" s="48"/>
      <c r="K84" s="48"/>
      <c r="L84" s="48"/>
      <c r="M84" s="29"/>
      <c r="N84" s="49"/>
      <c r="O84" s="49"/>
      <c r="P84" s="48"/>
      <c r="Q84" s="98"/>
      <c r="R84" s="98"/>
      <c r="S84" s="9"/>
      <c r="T84" s="9"/>
      <c r="U84" s="9"/>
      <c r="V84" s="9"/>
      <c r="W84" s="9"/>
      <c r="X84" s="9"/>
      <c r="Y84" s="9"/>
      <c r="Z84" s="9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48"/>
      <c r="J85" s="48"/>
      <c r="K85" s="48"/>
      <c r="L85" s="48"/>
      <c r="M85" s="29"/>
      <c r="N85" s="49"/>
      <c r="O85" s="49"/>
      <c r="P85" s="48"/>
      <c r="Q85" s="98"/>
      <c r="R85" s="98"/>
      <c r="S85" s="9"/>
      <c r="T85" s="9"/>
      <c r="U85" s="9"/>
      <c r="V85" s="9"/>
      <c r="W85" s="9"/>
      <c r="X85" s="9"/>
      <c r="Y85" s="9"/>
      <c r="Z85" s="9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48"/>
      <c r="J86" s="48"/>
      <c r="K86" s="48"/>
      <c r="L86" s="48"/>
      <c r="M86" s="29"/>
      <c r="N86" s="49"/>
      <c r="O86" s="49"/>
      <c r="P86" s="48"/>
      <c r="Q86" s="98"/>
      <c r="R86" s="98"/>
      <c r="S86" s="9"/>
      <c r="T86" s="9"/>
      <c r="U86" s="9"/>
      <c r="V86" s="9"/>
      <c r="W86" s="9"/>
      <c r="X86" s="9"/>
      <c r="Y86" s="9"/>
      <c r="Z86" s="9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48"/>
      <c r="J87" s="48"/>
      <c r="K87" s="48"/>
      <c r="L87" s="48"/>
      <c r="M87" s="29"/>
      <c r="N87" s="49"/>
      <c r="O87" s="49"/>
      <c r="P87" s="48"/>
      <c r="Q87" s="98"/>
      <c r="R87" s="98"/>
      <c r="S87" s="9"/>
      <c r="T87" s="9"/>
      <c r="U87" s="9"/>
      <c r="V87" s="9"/>
      <c r="W87" s="9"/>
      <c r="X87" s="9"/>
      <c r="Y87" s="9"/>
      <c r="Z87" s="9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48"/>
      <c r="J88" s="48"/>
      <c r="K88" s="48"/>
      <c r="L88" s="48"/>
      <c r="M88" s="29"/>
      <c r="N88" s="49"/>
      <c r="O88" s="49"/>
      <c r="P88" s="48"/>
      <c r="Q88" s="98"/>
      <c r="R88" s="98"/>
      <c r="S88" s="9"/>
      <c r="T88" s="9"/>
      <c r="U88" s="9"/>
      <c r="V88" s="9"/>
      <c r="W88" s="9"/>
      <c r="X88" s="9"/>
      <c r="Y88" s="9"/>
      <c r="Z88" s="9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48"/>
      <c r="J89" s="48"/>
      <c r="K89" s="48"/>
      <c r="L89" s="48"/>
      <c r="M89" s="29"/>
      <c r="N89" s="49"/>
      <c r="O89" s="49"/>
      <c r="P89" s="48"/>
      <c r="Q89" s="98"/>
      <c r="R89" s="98"/>
      <c r="S89" s="9"/>
      <c r="T89" s="9"/>
      <c r="U89" s="9"/>
      <c r="V89" s="9"/>
      <c r="W89" s="9"/>
      <c r="X89" s="9"/>
      <c r="Y89" s="9"/>
      <c r="Z89" s="9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48"/>
      <c r="J90" s="48"/>
      <c r="K90" s="48"/>
      <c r="L90" s="48"/>
      <c r="M90" s="29"/>
      <c r="N90" s="49"/>
      <c r="O90" s="49"/>
      <c r="P90" s="48"/>
      <c r="Q90" s="98"/>
      <c r="R90" s="98"/>
      <c r="S90" s="9"/>
      <c r="T90" s="9"/>
      <c r="U90" s="9"/>
      <c r="V90" s="9"/>
      <c r="W90" s="9"/>
      <c r="X90" s="9"/>
      <c r="Y90" s="9"/>
      <c r="Z90" s="9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48"/>
      <c r="J91" s="48"/>
      <c r="K91" s="48"/>
      <c r="L91" s="48"/>
      <c r="M91" s="29"/>
      <c r="N91" s="49"/>
      <c r="O91" s="49"/>
      <c r="P91" s="48"/>
      <c r="Q91" s="98"/>
      <c r="R91" s="98"/>
      <c r="S91" s="9"/>
      <c r="T91" s="9"/>
      <c r="U91" s="9"/>
      <c r="V91" s="9"/>
      <c r="W91" s="9"/>
      <c r="X91" s="9"/>
      <c r="Y91" s="9"/>
      <c r="Z91" s="9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48"/>
      <c r="J92" s="48"/>
      <c r="K92" s="48"/>
      <c r="L92" s="48"/>
      <c r="M92" s="29"/>
      <c r="N92" s="49"/>
      <c r="O92" s="49"/>
      <c r="P92" s="48"/>
      <c r="Q92" s="98"/>
      <c r="R92" s="98"/>
      <c r="S92" s="9"/>
      <c r="T92" s="9"/>
      <c r="U92" s="9"/>
      <c r="V92" s="9"/>
      <c r="W92" s="9"/>
      <c r="X92" s="9"/>
      <c r="Y92" s="9"/>
      <c r="Z92" s="9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48"/>
      <c r="J93" s="48"/>
      <c r="K93" s="48"/>
      <c r="L93" s="48"/>
      <c r="M93" s="29"/>
      <c r="N93" s="49"/>
      <c r="O93" s="49"/>
      <c r="P93" s="48"/>
      <c r="Q93" s="98"/>
      <c r="R93" s="98"/>
      <c r="S93" s="9"/>
      <c r="T93" s="9"/>
      <c r="U93" s="9"/>
      <c r="V93" s="9"/>
      <c r="W93" s="9"/>
      <c r="X93" s="9"/>
      <c r="Y93" s="9"/>
      <c r="Z93" s="9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48"/>
      <c r="J94" s="48"/>
      <c r="K94" s="48"/>
      <c r="L94" s="48"/>
      <c r="M94" s="29"/>
      <c r="N94" s="49"/>
      <c r="O94" s="49"/>
      <c r="P94" s="48"/>
      <c r="Q94" s="98"/>
      <c r="R94" s="98"/>
      <c r="S94" s="9"/>
      <c r="T94" s="9"/>
      <c r="U94" s="9"/>
      <c r="V94" s="9"/>
      <c r="W94" s="9"/>
      <c r="X94" s="9"/>
      <c r="Y94" s="9"/>
      <c r="Z94" s="9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48"/>
      <c r="J95" s="48"/>
      <c r="K95" s="48"/>
      <c r="L95" s="48"/>
      <c r="M95" s="29"/>
      <c r="N95" s="49"/>
      <c r="O95" s="49"/>
      <c r="P95" s="48"/>
      <c r="Q95" s="98"/>
      <c r="R95" s="98"/>
      <c r="S95" s="9"/>
      <c r="T95" s="9"/>
      <c r="U95" s="9"/>
      <c r="V95" s="9"/>
      <c r="W95" s="9"/>
      <c r="X95" s="9"/>
      <c r="Y95" s="9"/>
      <c r="Z95" s="9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48"/>
      <c r="J96" s="48"/>
      <c r="K96" s="48"/>
      <c r="L96" s="48"/>
      <c r="M96" s="29"/>
      <c r="N96" s="49"/>
      <c r="O96" s="49"/>
      <c r="P96" s="48"/>
      <c r="Q96" s="98"/>
      <c r="R96" s="98"/>
      <c r="S96" s="9"/>
      <c r="T96" s="9"/>
      <c r="U96" s="9"/>
      <c r="V96" s="9"/>
      <c r="W96" s="9"/>
      <c r="X96" s="9"/>
      <c r="Y96" s="9"/>
      <c r="Z96" s="9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48"/>
      <c r="J97" s="48"/>
      <c r="K97" s="48"/>
      <c r="L97" s="48"/>
      <c r="M97" s="29"/>
      <c r="N97" s="49"/>
      <c r="O97" s="49"/>
      <c r="P97" s="48"/>
      <c r="Q97" s="98"/>
      <c r="R97" s="98"/>
      <c r="S97" s="9"/>
      <c r="T97" s="9"/>
      <c r="U97" s="9"/>
      <c r="V97" s="9"/>
      <c r="W97" s="9"/>
      <c r="X97" s="9"/>
      <c r="Y97" s="9"/>
      <c r="Z97" s="9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48"/>
      <c r="J98" s="48"/>
      <c r="K98" s="48"/>
      <c r="L98" s="48"/>
      <c r="M98" s="29"/>
      <c r="N98" s="49"/>
      <c r="O98" s="49"/>
      <c r="P98" s="48"/>
      <c r="Q98" s="98"/>
      <c r="R98" s="98"/>
      <c r="S98" s="9"/>
      <c r="T98" s="9"/>
      <c r="U98" s="9"/>
      <c r="V98" s="9"/>
      <c r="W98" s="9"/>
      <c r="X98" s="9"/>
      <c r="Y98" s="9"/>
      <c r="Z98" s="9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48"/>
      <c r="J99" s="48"/>
      <c r="K99" s="48"/>
      <c r="L99" s="48"/>
      <c r="M99" s="29"/>
      <c r="N99" s="49"/>
      <c r="O99" s="49"/>
      <c r="P99" s="48"/>
      <c r="Q99" s="98"/>
      <c r="R99" s="98"/>
      <c r="S99" s="9"/>
      <c r="T99" s="9"/>
      <c r="U99" s="9"/>
      <c r="V99" s="9"/>
      <c r="W99" s="9"/>
      <c r="X99" s="9"/>
      <c r="Y99" s="9"/>
      <c r="Z99" s="9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48"/>
      <c r="J100" s="48"/>
      <c r="K100" s="48"/>
      <c r="L100" s="48"/>
      <c r="M100" s="29"/>
      <c r="N100" s="49"/>
      <c r="O100" s="49"/>
      <c r="P100" s="48"/>
      <c r="Q100" s="98"/>
      <c r="R100" s="98"/>
      <c r="S100" s="9"/>
      <c r="T100" s="9"/>
      <c r="U100" s="9"/>
      <c r="V100" s="9"/>
      <c r="W100" s="9"/>
      <c r="X100" s="9"/>
      <c r="Y100" s="9"/>
      <c r="Z100" s="9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48"/>
      <c r="J101" s="48"/>
      <c r="K101" s="48"/>
      <c r="L101" s="48"/>
      <c r="M101" s="29"/>
      <c r="N101" s="49"/>
      <c r="O101" s="49"/>
      <c r="P101" s="48"/>
      <c r="Q101" s="98"/>
      <c r="R101" s="98"/>
      <c r="S101" s="9"/>
      <c r="T101" s="9"/>
      <c r="U101" s="9"/>
      <c r="V101" s="9"/>
      <c r="W101" s="9"/>
      <c r="X101" s="9"/>
      <c r="Y101" s="9"/>
      <c r="Z101" s="9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48"/>
      <c r="J102" s="48"/>
      <c r="K102" s="48"/>
      <c r="L102" s="48"/>
      <c r="M102" s="29"/>
      <c r="N102" s="49"/>
      <c r="O102" s="49"/>
      <c r="P102" s="48"/>
      <c r="Q102" s="98"/>
      <c r="R102" s="98"/>
      <c r="S102" s="9"/>
      <c r="T102" s="9"/>
      <c r="U102" s="9"/>
      <c r="V102" s="9"/>
      <c r="W102" s="9"/>
      <c r="X102" s="9"/>
      <c r="Y102" s="9"/>
      <c r="Z102" s="9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48"/>
      <c r="J103" s="48"/>
      <c r="K103" s="48"/>
      <c r="L103" s="48"/>
      <c r="M103" s="29"/>
      <c r="N103" s="49"/>
      <c r="O103" s="49"/>
      <c r="P103" s="48"/>
      <c r="Q103" s="98"/>
      <c r="R103" s="98"/>
      <c r="S103" s="9"/>
      <c r="T103" s="9"/>
      <c r="U103" s="9"/>
      <c r="V103" s="9"/>
      <c r="W103" s="9"/>
      <c r="X103" s="9"/>
      <c r="Y103" s="9"/>
      <c r="Z103" s="9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48"/>
      <c r="J104" s="48"/>
      <c r="K104" s="48"/>
      <c r="L104" s="48"/>
      <c r="M104" s="29"/>
      <c r="N104" s="49"/>
      <c r="O104" s="49"/>
      <c r="P104" s="48"/>
      <c r="Q104" s="98"/>
      <c r="R104" s="98"/>
      <c r="S104" s="9"/>
      <c r="T104" s="9"/>
      <c r="U104" s="9"/>
      <c r="V104" s="9"/>
      <c r="W104" s="9"/>
      <c r="X104" s="9"/>
      <c r="Y104" s="9"/>
      <c r="Z104" s="9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48"/>
      <c r="J105" s="48"/>
      <c r="K105" s="48"/>
      <c r="L105" s="48"/>
      <c r="M105" s="29"/>
      <c r="N105" s="49"/>
      <c r="O105" s="49"/>
      <c r="P105" s="48"/>
      <c r="Q105" s="98"/>
      <c r="R105" s="98"/>
      <c r="S105" s="9"/>
      <c r="T105" s="9"/>
      <c r="U105" s="9"/>
      <c r="V105" s="9"/>
      <c r="W105" s="9"/>
      <c r="X105" s="9"/>
      <c r="Y105" s="9"/>
      <c r="Z105" s="9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48"/>
      <c r="J106" s="48"/>
      <c r="K106" s="48"/>
      <c r="L106" s="48"/>
      <c r="M106" s="29"/>
      <c r="N106" s="49"/>
      <c r="O106" s="49"/>
      <c r="P106" s="48"/>
      <c r="Q106" s="98"/>
      <c r="R106" s="98"/>
      <c r="S106" s="9"/>
      <c r="T106" s="9"/>
      <c r="U106" s="9"/>
      <c r="V106" s="9"/>
      <c r="W106" s="9"/>
      <c r="X106" s="9"/>
      <c r="Y106" s="9"/>
      <c r="Z106" s="9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48"/>
      <c r="J107" s="48"/>
      <c r="K107" s="48"/>
      <c r="L107" s="48"/>
      <c r="M107" s="29"/>
      <c r="N107" s="49"/>
      <c r="O107" s="49"/>
      <c r="P107" s="48"/>
      <c r="Q107" s="98"/>
      <c r="R107" s="98"/>
      <c r="S107" s="9"/>
      <c r="T107" s="9"/>
      <c r="U107" s="9"/>
      <c r="V107" s="9"/>
      <c r="W107" s="9"/>
      <c r="X107" s="9"/>
      <c r="Y107" s="9"/>
      <c r="Z107" s="9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48"/>
      <c r="J108" s="48"/>
      <c r="K108" s="48"/>
      <c r="L108" s="48"/>
      <c r="M108" s="29"/>
      <c r="N108" s="49"/>
      <c r="O108" s="49"/>
      <c r="P108" s="48"/>
      <c r="Q108" s="98"/>
      <c r="R108" s="98"/>
      <c r="S108" s="9"/>
      <c r="T108" s="9"/>
      <c r="U108" s="9"/>
      <c r="V108" s="9"/>
      <c r="W108" s="9"/>
      <c r="X108" s="9"/>
      <c r="Y108" s="9"/>
      <c r="Z108" s="9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48"/>
      <c r="J109" s="48"/>
      <c r="K109" s="48"/>
      <c r="L109" s="48"/>
      <c r="M109" s="29"/>
      <c r="N109" s="49"/>
      <c r="O109" s="49"/>
      <c r="P109" s="48"/>
      <c r="Q109" s="98"/>
      <c r="R109" s="98"/>
      <c r="S109" s="9"/>
      <c r="T109" s="9"/>
      <c r="U109" s="9"/>
      <c r="V109" s="9"/>
      <c r="W109" s="9"/>
      <c r="X109" s="9"/>
      <c r="Y109" s="9"/>
      <c r="Z109" s="9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48"/>
      <c r="J110" s="48"/>
      <c r="K110" s="48"/>
      <c r="L110" s="48"/>
      <c r="M110" s="29"/>
      <c r="N110" s="49"/>
      <c r="O110" s="49"/>
      <c r="P110" s="48"/>
      <c r="Q110" s="98"/>
      <c r="R110" s="98"/>
      <c r="S110" s="9"/>
      <c r="T110" s="9"/>
      <c r="U110" s="9"/>
      <c r="V110" s="9"/>
      <c r="W110" s="9"/>
      <c r="X110" s="9"/>
      <c r="Y110" s="9"/>
      <c r="Z110" s="9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48"/>
      <c r="J111" s="48"/>
      <c r="K111" s="48"/>
      <c r="L111" s="48"/>
      <c r="M111" s="29"/>
      <c r="N111" s="49"/>
      <c r="O111" s="49"/>
      <c r="P111" s="48"/>
      <c r="Q111" s="98"/>
      <c r="R111" s="98"/>
      <c r="S111" s="9"/>
      <c r="T111" s="9"/>
      <c r="U111" s="9"/>
      <c r="V111" s="9"/>
      <c r="W111" s="9"/>
      <c r="X111" s="9"/>
      <c r="Y111" s="9"/>
      <c r="Z111" s="9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48"/>
      <c r="J112" s="48"/>
      <c r="K112" s="48"/>
      <c r="L112" s="48"/>
      <c r="M112" s="29"/>
      <c r="N112" s="49"/>
      <c r="O112" s="49"/>
      <c r="P112" s="48"/>
      <c r="Q112" s="98"/>
      <c r="R112" s="98"/>
      <c r="S112" s="9"/>
      <c r="T112" s="9"/>
      <c r="U112" s="9"/>
      <c r="V112" s="9"/>
      <c r="W112" s="9"/>
      <c r="X112" s="9"/>
      <c r="Y112" s="9"/>
      <c r="Z112" s="9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48"/>
      <c r="J113" s="48"/>
      <c r="K113" s="48"/>
      <c r="L113" s="48"/>
      <c r="M113" s="29"/>
      <c r="N113" s="49"/>
      <c r="O113" s="49"/>
      <c r="P113" s="48"/>
      <c r="Q113" s="98"/>
      <c r="R113" s="98"/>
      <c r="S113" s="9"/>
      <c r="T113" s="9"/>
      <c r="U113" s="9"/>
      <c r="V113" s="9"/>
      <c r="W113" s="9"/>
      <c r="X113" s="9"/>
      <c r="Y113" s="9"/>
      <c r="Z113" s="9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48"/>
      <c r="J114" s="48"/>
      <c r="K114" s="48"/>
      <c r="L114" s="48"/>
      <c r="M114" s="29"/>
      <c r="N114" s="49"/>
      <c r="O114" s="49"/>
      <c r="P114" s="48"/>
      <c r="Q114" s="98"/>
      <c r="R114" s="98"/>
      <c r="S114" s="9"/>
      <c r="T114" s="9"/>
      <c r="U114" s="9"/>
      <c r="V114" s="9"/>
      <c r="W114" s="9"/>
      <c r="X114" s="9"/>
      <c r="Y114" s="9"/>
      <c r="Z114" s="9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48"/>
      <c r="J115" s="48"/>
      <c r="K115" s="48"/>
      <c r="L115" s="48"/>
      <c r="M115" s="29"/>
      <c r="N115" s="49"/>
      <c r="O115" s="49"/>
      <c r="P115" s="48"/>
      <c r="Q115" s="98"/>
      <c r="R115" s="98"/>
      <c r="S115" s="9"/>
      <c r="T115" s="9"/>
      <c r="U115" s="9"/>
      <c r="V115" s="9"/>
      <c r="W115" s="9"/>
      <c r="X115" s="9"/>
      <c r="Y115" s="9"/>
      <c r="Z115" s="9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48"/>
      <c r="J116" s="48"/>
      <c r="K116" s="48"/>
      <c r="L116" s="48"/>
      <c r="M116" s="29"/>
      <c r="N116" s="49"/>
      <c r="O116" s="49"/>
      <c r="P116" s="48"/>
      <c r="Q116" s="98"/>
      <c r="R116" s="98"/>
      <c r="S116" s="9"/>
      <c r="T116" s="9"/>
      <c r="U116" s="9"/>
      <c r="V116" s="9"/>
      <c r="W116" s="9"/>
      <c r="X116" s="9"/>
      <c r="Y116" s="9"/>
      <c r="Z116" s="9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48"/>
      <c r="J117" s="48"/>
      <c r="K117" s="48"/>
      <c r="L117" s="48"/>
      <c r="M117" s="29"/>
      <c r="N117" s="49"/>
      <c r="O117" s="49"/>
      <c r="P117" s="48"/>
      <c r="Q117" s="98"/>
      <c r="R117" s="98"/>
      <c r="S117" s="9"/>
      <c r="T117" s="9"/>
      <c r="U117" s="9"/>
      <c r="V117" s="9"/>
      <c r="W117" s="9"/>
      <c r="X117" s="9"/>
      <c r="Y117" s="9"/>
      <c r="Z117" s="9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48"/>
      <c r="J118" s="48"/>
      <c r="K118" s="48"/>
      <c r="L118" s="48"/>
      <c r="M118" s="29"/>
      <c r="N118" s="49"/>
      <c r="O118" s="49"/>
      <c r="P118" s="48"/>
      <c r="Q118" s="98"/>
      <c r="R118" s="98"/>
      <c r="S118" s="9"/>
      <c r="T118" s="9"/>
      <c r="U118" s="9"/>
      <c r="V118" s="9"/>
      <c r="W118" s="9"/>
      <c r="X118" s="9"/>
      <c r="Y118" s="9"/>
      <c r="Z118" s="9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48"/>
      <c r="J119" s="48"/>
      <c r="K119" s="48"/>
      <c r="L119" s="48"/>
      <c r="M119" s="29"/>
      <c r="N119" s="49"/>
      <c r="O119" s="49"/>
      <c r="P119" s="48"/>
      <c r="Q119" s="98"/>
      <c r="R119" s="98"/>
      <c r="S119" s="9"/>
      <c r="T119" s="9"/>
      <c r="U119" s="9"/>
      <c r="V119" s="9"/>
      <c r="W119" s="9"/>
      <c r="X119" s="9"/>
      <c r="Y119" s="9"/>
      <c r="Z119" s="9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48"/>
      <c r="J120" s="48"/>
      <c r="K120" s="48"/>
      <c r="L120" s="48"/>
      <c r="M120" s="29"/>
      <c r="N120" s="49"/>
      <c r="O120" s="49"/>
      <c r="P120" s="48"/>
      <c r="Q120" s="98"/>
      <c r="R120" s="98"/>
      <c r="S120" s="9"/>
      <c r="T120" s="9"/>
      <c r="U120" s="9"/>
      <c r="V120" s="9"/>
      <c r="W120" s="9"/>
      <c r="X120" s="9"/>
      <c r="Y120" s="9"/>
      <c r="Z120" s="9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48"/>
      <c r="J121" s="48"/>
      <c r="K121" s="48"/>
      <c r="L121" s="48"/>
      <c r="M121" s="29"/>
      <c r="N121" s="49"/>
      <c r="O121" s="49"/>
      <c r="P121" s="48"/>
      <c r="Q121" s="98"/>
      <c r="R121" s="98"/>
      <c r="S121" s="9"/>
      <c r="T121" s="9"/>
      <c r="U121" s="9"/>
      <c r="V121" s="9"/>
      <c r="W121" s="9"/>
      <c r="X121" s="9"/>
      <c r="Y121" s="9"/>
      <c r="Z121" s="9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48"/>
      <c r="J122" s="48"/>
      <c r="K122" s="48"/>
      <c r="L122" s="48"/>
      <c r="M122" s="29"/>
      <c r="N122" s="49"/>
      <c r="O122" s="49"/>
      <c r="P122" s="48"/>
      <c r="Q122" s="98"/>
      <c r="R122" s="98"/>
      <c r="S122" s="9"/>
      <c r="T122" s="9"/>
      <c r="U122" s="9"/>
      <c r="V122" s="9"/>
      <c r="W122" s="9"/>
      <c r="X122" s="9"/>
      <c r="Y122" s="9"/>
      <c r="Z122" s="9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48"/>
      <c r="J123" s="48"/>
      <c r="K123" s="48"/>
      <c r="L123" s="48"/>
      <c r="M123" s="29"/>
      <c r="N123" s="49"/>
      <c r="O123" s="49"/>
      <c r="P123" s="48"/>
      <c r="Q123" s="98"/>
      <c r="R123" s="98"/>
      <c r="S123" s="9"/>
      <c r="T123" s="9"/>
      <c r="U123" s="9"/>
      <c r="V123" s="9"/>
      <c r="W123" s="9"/>
      <c r="X123" s="9"/>
      <c r="Y123" s="9"/>
      <c r="Z123" s="9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48"/>
      <c r="J124" s="48"/>
      <c r="K124" s="48"/>
      <c r="L124" s="48"/>
      <c r="M124" s="29"/>
      <c r="N124" s="49"/>
      <c r="O124" s="49"/>
      <c r="P124" s="48"/>
      <c r="Q124" s="98"/>
      <c r="R124" s="98"/>
      <c r="S124" s="9"/>
      <c r="T124" s="9"/>
      <c r="U124" s="9"/>
      <c r="V124" s="9"/>
      <c r="W124" s="9"/>
      <c r="X124" s="9"/>
      <c r="Y124" s="9"/>
      <c r="Z124" s="9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48"/>
      <c r="J125" s="48"/>
      <c r="K125" s="48"/>
      <c r="L125" s="48"/>
      <c r="M125" s="29"/>
      <c r="N125" s="49"/>
      <c r="O125" s="49"/>
      <c r="P125" s="48"/>
      <c r="Q125" s="98"/>
      <c r="R125" s="98"/>
      <c r="S125" s="9"/>
      <c r="T125" s="9"/>
      <c r="U125" s="9"/>
      <c r="V125" s="9"/>
      <c r="W125" s="9"/>
      <c r="X125" s="9"/>
      <c r="Y125" s="9"/>
      <c r="Z125" s="9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48"/>
      <c r="J126" s="48"/>
      <c r="K126" s="48"/>
      <c r="L126" s="48"/>
      <c r="M126" s="29"/>
      <c r="N126" s="49"/>
      <c r="O126" s="49"/>
      <c r="P126" s="48"/>
      <c r="Q126" s="98"/>
      <c r="R126" s="98"/>
      <c r="S126" s="9"/>
      <c r="T126" s="9"/>
      <c r="U126" s="9"/>
      <c r="V126" s="9"/>
      <c r="W126" s="9"/>
      <c r="X126" s="9"/>
      <c r="Y126" s="9"/>
      <c r="Z126" s="9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48"/>
      <c r="J127" s="48"/>
      <c r="K127" s="48"/>
      <c r="L127" s="48"/>
      <c r="M127" s="29"/>
      <c r="N127" s="49"/>
      <c r="O127" s="49"/>
      <c r="P127" s="48"/>
      <c r="Q127" s="98"/>
      <c r="R127" s="98"/>
      <c r="S127" s="9"/>
      <c r="T127" s="9"/>
      <c r="U127" s="9"/>
      <c r="V127" s="9"/>
      <c r="W127" s="9"/>
      <c r="X127" s="9"/>
      <c r="Y127" s="9"/>
      <c r="Z127" s="9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48"/>
      <c r="J128" s="48"/>
      <c r="K128" s="48"/>
      <c r="L128" s="48"/>
      <c r="M128" s="29"/>
      <c r="N128" s="49"/>
      <c r="O128" s="49"/>
      <c r="P128" s="48"/>
      <c r="Q128" s="98"/>
      <c r="R128" s="98"/>
      <c r="S128" s="9"/>
      <c r="T128" s="9"/>
      <c r="U128" s="9"/>
      <c r="V128" s="9"/>
      <c r="W128" s="9"/>
      <c r="X128" s="9"/>
      <c r="Y128" s="9"/>
      <c r="Z128" s="9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48"/>
      <c r="J129" s="48"/>
      <c r="K129" s="48"/>
      <c r="L129" s="48"/>
      <c r="M129" s="29"/>
      <c r="N129" s="49"/>
      <c r="O129" s="49"/>
      <c r="P129" s="48"/>
      <c r="Q129" s="98"/>
      <c r="R129" s="98"/>
      <c r="S129" s="9"/>
      <c r="T129" s="9"/>
      <c r="U129" s="9"/>
      <c r="V129" s="9"/>
      <c r="W129" s="9"/>
      <c r="X129" s="9"/>
      <c r="Y129" s="9"/>
      <c r="Z129" s="9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48"/>
      <c r="J130" s="48"/>
      <c r="K130" s="48"/>
      <c r="L130" s="48"/>
      <c r="M130" s="29"/>
      <c r="N130" s="49"/>
      <c r="O130" s="49"/>
      <c r="P130" s="48"/>
      <c r="Q130" s="98"/>
      <c r="R130" s="98"/>
      <c r="S130" s="9"/>
      <c r="T130" s="9"/>
      <c r="U130" s="9"/>
      <c r="V130" s="9"/>
      <c r="W130" s="9"/>
      <c r="X130" s="9"/>
      <c r="Y130" s="9"/>
      <c r="Z130" s="9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48"/>
      <c r="J131" s="48"/>
      <c r="K131" s="48"/>
      <c r="L131" s="48"/>
      <c r="M131" s="29"/>
      <c r="N131" s="49"/>
      <c r="O131" s="49"/>
      <c r="P131" s="48"/>
      <c r="Q131" s="98"/>
      <c r="R131" s="98"/>
      <c r="S131" s="9"/>
      <c r="T131" s="9"/>
      <c r="U131" s="9"/>
      <c r="V131" s="9"/>
      <c r="W131" s="9"/>
      <c r="X131" s="9"/>
      <c r="Y131" s="9"/>
      <c r="Z131" s="9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48"/>
      <c r="J132" s="48"/>
      <c r="K132" s="48"/>
      <c r="L132" s="48"/>
      <c r="M132" s="29"/>
      <c r="N132" s="49"/>
      <c r="O132" s="49"/>
      <c r="P132" s="48"/>
      <c r="Q132" s="98"/>
      <c r="R132" s="98"/>
      <c r="S132" s="9"/>
      <c r="T132" s="9"/>
      <c r="U132" s="9"/>
      <c r="V132" s="9"/>
      <c r="W132" s="9"/>
      <c r="X132" s="9"/>
      <c r="Y132" s="9"/>
      <c r="Z132" s="9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48"/>
      <c r="J133" s="48"/>
      <c r="K133" s="48"/>
      <c r="L133" s="48"/>
      <c r="M133" s="29"/>
      <c r="N133" s="49"/>
      <c r="O133" s="49"/>
      <c r="P133" s="48"/>
      <c r="Q133" s="98"/>
      <c r="R133" s="98"/>
      <c r="S133" s="9"/>
      <c r="T133" s="9"/>
      <c r="U133" s="9"/>
      <c r="V133" s="9"/>
      <c r="W133" s="9"/>
      <c r="X133" s="9"/>
      <c r="Y133" s="9"/>
      <c r="Z133" s="9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48"/>
      <c r="J134" s="48"/>
      <c r="K134" s="48"/>
      <c r="L134" s="48"/>
      <c r="M134" s="29"/>
      <c r="N134" s="49"/>
      <c r="O134" s="49"/>
      <c r="P134" s="48"/>
      <c r="Q134" s="98"/>
      <c r="R134" s="98"/>
      <c r="S134" s="9"/>
      <c r="T134" s="9"/>
      <c r="U134" s="9"/>
      <c r="V134" s="9"/>
      <c r="W134" s="9"/>
      <c r="X134" s="9"/>
      <c r="Y134" s="9"/>
      <c r="Z134" s="9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48"/>
      <c r="J135" s="48"/>
      <c r="K135" s="48"/>
      <c r="L135" s="48"/>
      <c r="M135" s="29"/>
      <c r="N135" s="49"/>
      <c r="O135" s="49"/>
      <c r="P135" s="48"/>
      <c r="Q135" s="98"/>
      <c r="R135" s="98"/>
      <c r="S135" s="9"/>
      <c r="T135" s="9"/>
      <c r="U135" s="9"/>
      <c r="V135" s="9"/>
      <c r="W135" s="9"/>
      <c r="X135" s="9"/>
      <c r="Y135" s="9"/>
      <c r="Z135" s="9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48"/>
      <c r="J136" s="48"/>
      <c r="K136" s="48"/>
      <c r="L136" s="48"/>
      <c r="M136" s="29"/>
      <c r="N136" s="49"/>
      <c r="O136" s="49"/>
      <c r="P136" s="48"/>
      <c r="Q136" s="98"/>
      <c r="R136" s="98"/>
      <c r="S136" s="9"/>
      <c r="T136" s="9"/>
      <c r="U136" s="9"/>
      <c r="V136" s="9"/>
      <c r="W136" s="9"/>
      <c r="X136" s="9"/>
      <c r="Y136" s="9"/>
      <c r="Z136" s="9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48"/>
      <c r="J137" s="48"/>
      <c r="K137" s="48"/>
      <c r="L137" s="48"/>
      <c r="M137" s="29"/>
      <c r="N137" s="49"/>
      <c r="O137" s="49"/>
      <c r="P137" s="48"/>
      <c r="Q137" s="98"/>
      <c r="R137" s="98"/>
      <c r="S137" s="9"/>
      <c r="T137" s="9"/>
      <c r="U137" s="9"/>
      <c r="V137" s="9"/>
      <c r="W137" s="9"/>
      <c r="X137" s="9"/>
      <c r="Y137" s="9"/>
      <c r="Z137" s="9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48"/>
      <c r="J138" s="48"/>
      <c r="K138" s="48"/>
      <c r="L138" s="48"/>
      <c r="M138" s="29"/>
      <c r="N138" s="49"/>
      <c r="O138" s="49"/>
      <c r="P138" s="48"/>
      <c r="Q138" s="98"/>
      <c r="R138" s="98"/>
      <c r="S138" s="9"/>
      <c r="T138" s="9"/>
      <c r="U138" s="9"/>
      <c r="V138" s="9"/>
      <c r="W138" s="9"/>
      <c r="X138" s="9"/>
      <c r="Y138" s="9"/>
      <c r="Z138" s="9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48"/>
      <c r="J139" s="48"/>
      <c r="K139" s="48"/>
      <c r="L139" s="48"/>
      <c r="M139" s="29"/>
      <c r="N139" s="49"/>
      <c r="O139" s="49"/>
      <c r="P139" s="48"/>
      <c r="Q139" s="98"/>
      <c r="R139" s="98"/>
      <c r="S139" s="9"/>
      <c r="T139" s="9"/>
      <c r="U139" s="9"/>
      <c r="V139" s="9"/>
      <c r="W139" s="9"/>
      <c r="X139" s="9"/>
      <c r="Y139" s="9"/>
      <c r="Z139" s="9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48"/>
      <c r="J140" s="48"/>
      <c r="K140" s="48"/>
      <c r="L140" s="48"/>
      <c r="M140" s="29"/>
      <c r="N140" s="49"/>
      <c r="O140" s="49"/>
      <c r="P140" s="48"/>
      <c r="Q140" s="98"/>
      <c r="R140" s="98"/>
      <c r="S140" s="9"/>
      <c r="T140" s="9"/>
      <c r="U140" s="9"/>
      <c r="V140" s="9"/>
      <c r="W140" s="9"/>
      <c r="X140" s="9"/>
      <c r="Y140" s="9"/>
      <c r="Z140" s="9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48"/>
      <c r="J141" s="48"/>
      <c r="K141" s="48"/>
      <c r="L141" s="48"/>
      <c r="M141" s="29"/>
      <c r="N141" s="49"/>
      <c r="O141" s="49"/>
      <c r="P141" s="48"/>
      <c r="Q141" s="98"/>
      <c r="R141" s="98"/>
      <c r="S141" s="9"/>
      <c r="T141" s="9"/>
      <c r="U141" s="9"/>
      <c r="V141" s="9"/>
      <c r="W141" s="9"/>
      <c r="X141" s="9"/>
      <c r="Y141" s="9"/>
      <c r="Z141" s="9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48"/>
      <c r="J142" s="48"/>
      <c r="K142" s="48"/>
      <c r="L142" s="48"/>
      <c r="M142" s="29"/>
      <c r="N142" s="49"/>
      <c r="O142" s="49"/>
      <c r="P142" s="48"/>
      <c r="Q142" s="98"/>
      <c r="R142" s="98"/>
      <c r="S142" s="9"/>
      <c r="T142" s="9"/>
      <c r="U142" s="9"/>
      <c r="V142" s="9"/>
      <c r="W142" s="9"/>
      <c r="X142" s="9"/>
      <c r="Y142" s="9"/>
      <c r="Z142" s="9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48"/>
      <c r="J143" s="48"/>
      <c r="K143" s="48"/>
      <c r="L143" s="48"/>
      <c r="M143" s="29"/>
      <c r="N143" s="49"/>
      <c r="O143" s="49"/>
      <c r="P143" s="48"/>
      <c r="Q143" s="98"/>
      <c r="R143" s="98"/>
      <c r="S143" s="9"/>
      <c r="T143" s="9"/>
      <c r="U143" s="9"/>
      <c r="V143" s="9"/>
      <c r="W143" s="9"/>
      <c r="X143" s="9"/>
      <c r="Y143" s="9"/>
      <c r="Z143" s="9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48"/>
      <c r="J144" s="48"/>
      <c r="K144" s="48"/>
      <c r="L144" s="48"/>
      <c r="M144" s="29"/>
      <c r="N144" s="49"/>
      <c r="O144" s="49"/>
      <c r="P144" s="48"/>
      <c r="Q144" s="98"/>
      <c r="R144" s="98"/>
      <c r="S144" s="9"/>
      <c r="T144" s="9"/>
      <c r="U144" s="9"/>
      <c r="V144" s="9"/>
      <c r="W144" s="9"/>
      <c r="X144" s="9"/>
      <c r="Y144" s="9"/>
      <c r="Z144" s="9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48"/>
      <c r="J145" s="48"/>
      <c r="K145" s="48"/>
      <c r="L145" s="48"/>
      <c r="M145" s="29"/>
      <c r="N145" s="49"/>
      <c r="O145" s="49"/>
      <c r="P145" s="48"/>
      <c r="Q145" s="98"/>
      <c r="R145" s="98"/>
      <c r="S145" s="9"/>
      <c r="T145" s="9"/>
      <c r="U145" s="9"/>
      <c r="V145" s="9"/>
      <c r="W145" s="9"/>
      <c r="X145" s="9"/>
      <c r="Y145" s="9"/>
      <c r="Z145" s="9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48"/>
      <c r="J146" s="48"/>
      <c r="K146" s="48"/>
      <c r="L146" s="48"/>
      <c r="M146" s="29"/>
      <c r="N146" s="49"/>
      <c r="O146" s="49"/>
      <c r="P146" s="48"/>
      <c r="Q146" s="98"/>
      <c r="R146" s="98"/>
      <c r="S146" s="9"/>
      <c r="T146" s="9"/>
      <c r="U146" s="9"/>
      <c r="V146" s="9"/>
      <c r="W146" s="9"/>
      <c r="X146" s="9"/>
      <c r="Y146" s="9"/>
      <c r="Z146" s="9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48"/>
      <c r="J147" s="48"/>
      <c r="K147" s="48"/>
      <c r="L147" s="48"/>
      <c r="M147" s="29"/>
      <c r="N147" s="49"/>
      <c r="O147" s="49"/>
      <c r="P147" s="48"/>
      <c r="Q147" s="98"/>
      <c r="R147" s="98"/>
      <c r="S147" s="9"/>
      <c r="T147" s="9"/>
      <c r="U147" s="9"/>
      <c r="V147" s="9"/>
      <c r="W147" s="9"/>
      <c r="X147" s="9"/>
      <c r="Y147" s="9"/>
      <c r="Z147" s="9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48"/>
      <c r="J148" s="48"/>
      <c r="K148" s="48"/>
      <c r="L148" s="48"/>
      <c r="M148" s="29"/>
      <c r="N148" s="49"/>
      <c r="O148" s="49"/>
      <c r="P148" s="48"/>
      <c r="Q148" s="98"/>
      <c r="R148" s="98"/>
      <c r="S148" s="9"/>
      <c r="T148" s="9"/>
      <c r="U148" s="9"/>
      <c r="V148" s="9"/>
      <c r="W148" s="9"/>
      <c r="X148" s="9"/>
      <c r="Y148" s="9"/>
      <c r="Z148" s="9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48"/>
      <c r="J149" s="48"/>
      <c r="K149" s="48"/>
      <c r="L149" s="48"/>
      <c r="M149" s="29"/>
      <c r="N149" s="49"/>
      <c r="O149" s="49"/>
      <c r="P149" s="48"/>
      <c r="Q149" s="98"/>
      <c r="R149" s="98"/>
      <c r="S149" s="9"/>
      <c r="T149" s="9"/>
      <c r="U149" s="9"/>
      <c r="V149" s="9"/>
      <c r="W149" s="9"/>
      <c r="X149" s="9"/>
      <c r="Y149" s="9"/>
      <c r="Z149" s="9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48"/>
      <c r="J150" s="48"/>
      <c r="K150" s="48"/>
      <c r="L150" s="48"/>
      <c r="M150" s="29"/>
      <c r="N150" s="49"/>
      <c r="O150" s="49"/>
      <c r="P150" s="48"/>
      <c r="Q150" s="98"/>
      <c r="R150" s="98"/>
      <c r="S150" s="9"/>
      <c r="T150" s="9"/>
      <c r="U150" s="9"/>
      <c r="V150" s="9"/>
      <c r="W150" s="9"/>
      <c r="X150" s="9"/>
      <c r="Y150" s="9"/>
      <c r="Z150" s="9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48"/>
      <c r="J151" s="48"/>
      <c r="K151" s="48"/>
      <c r="L151" s="48"/>
      <c r="M151" s="29"/>
      <c r="N151" s="49"/>
      <c r="O151" s="49"/>
      <c r="P151" s="48"/>
      <c r="Q151" s="98"/>
      <c r="R151" s="98"/>
      <c r="S151" s="9"/>
      <c r="T151" s="9"/>
      <c r="U151" s="9"/>
      <c r="V151" s="9"/>
      <c r="W151" s="9"/>
      <c r="X151" s="9"/>
      <c r="Y151" s="9"/>
      <c r="Z151" s="9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48"/>
      <c r="J152" s="48"/>
      <c r="K152" s="48"/>
      <c r="L152" s="48"/>
      <c r="M152" s="29"/>
      <c r="N152" s="49"/>
      <c r="O152" s="49"/>
      <c r="P152" s="48"/>
      <c r="Q152" s="98"/>
      <c r="R152" s="98"/>
      <c r="S152" s="9"/>
      <c r="T152" s="9"/>
      <c r="U152" s="9"/>
      <c r="V152" s="9"/>
      <c r="W152" s="9"/>
      <c r="X152" s="9"/>
      <c r="Y152" s="9"/>
      <c r="Z152" s="9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48"/>
      <c r="J153" s="48"/>
      <c r="K153" s="48"/>
      <c r="L153" s="48"/>
      <c r="M153" s="29"/>
      <c r="N153" s="49"/>
      <c r="O153" s="49"/>
      <c r="P153" s="48"/>
      <c r="Q153" s="98"/>
      <c r="R153" s="98"/>
      <c r="S153" s="9"/>
      <c r="T153" s="9"/>
      <c r="U153" s="9"/>
      <c r="V153" s="9"/>
      <c r="W153" s="9"/>
      <c r="X153" s="9"/>
      <c r="Y153" s="9"/>
      <c r="Z153" s="9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48"/>
      <c r="J154" s="48"/>
      <c r="K154" s="48"/>
      <c r="L154" s="48"/>
      <c r="M154" s="29"/>
      <c r="N154" s="49"/>
      <c r="O154" s="49"/>
      <c r="P154" s="48"/>
      <c r="Q154" s="98"/>
      <c r="R154" s="98"/>
      <c r="S154" s="9"/>
      <c r="T154" s="9"/>
      <c r="U154" s="9"/>
      <c r="V154" s="9"/>
      <c r="W154" s="9"/>
      <c r="X154" s="9"/>
      <c r="Y154" s="9"/>
      <c r="Z154" s="9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48"/>
      <c r="J155" s="48"/>
      <c r="K155" s="48"/>
      <c r="L155" s="48"/>
      <c r="M155" s="29"/>
      <c r="N155" s="49"/>
      <c r="O155" s="49"/>
      <c r="P155" s="48"/>
      <c r="Q155" s="98"/>
      <c r="R155" s="98"/>
      <c r="S155" s="9"/>
      <c r="T155" s="9"/>
      <c r="U155" s="9"/>
      <c r="V155" s="9"/>
      <c r="W155" s="9"/>
      <c r="X155" s="9"/>
      <c r="Y155" s="9"/>
      <c r="Z155" s="9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48"/>
      <c r="J156" s="48"/>
      <c r="K156" s="48"/>
      <c r="L156" s="48"/>
      <c r="M156" s="29"/>
      <c r="N156" s="49"/>
      <c r="O156" s="49"/>
      <c r="P156" s="48"/>
      <c r="Q156" s="98"/>
      <c r="R156" s="98"/>
      <c r="S156" s="9"/>
      <c r="T156" s="9"/>
      <c r="U156" s="9"/>
      <c r="V156" s="9"/>
      <c r="W156" s="9"/>
      <c r="X156" s="9"/>
      <c r="Y156" s="9"/>
      <c r="Z156" s="9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48"/>
      <c r="J157" s="48"/>
      <c r="K157" s="48"/>
      <c r="L157" s="48"/>
      <c r="M157" s="29"/>
      <c r="N157" s="49"/>
      <c r="O157" s="49"/>
      <c r="P157" s="48"/>
      <c r="Q157" s="98"/>
      <c r="R157" s="98"/>
      <c r="S157" s="9"/>
      <c r="T157" s="9"/>
      <c r="U157" s="9"/>
      <c r="V157" s="9"/>
      <c r="W157" s="9"/>
      <c r="X157" s="9"/>
      <c r="Y157" s="9"/>
      <c r="Z157" s="9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48"/>
      <c r="J158" s="48"/>
      <c r="K158" s="48"/>
      <c r="L158" s="48"/>
      <c r="M158" s="29"/>
      <c r="N158" s="49"/>
      <c r="O158" s="49"/>
      <c r="P158" s="48"/>
      <c r="Q158" s="98"/>
      <c r="R158" s="98"/>
      <c r="S158" s="9"/>
      <c r="T158" s="9"/>
      <c r="U158" s="9"/>
      <c r="V158" s="9"/>
      <c r="W158" s="9"/>
      <c r="X158" s="9"/>
      <c r="Y158" s="9"/>
      <c r="Z158" s="9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48"/>
      <c r="J159" s="48"/>
      <c r="K159" s="48"/>
      <c r="L159" s="48"/>
      <c r="M159" s="29"/>
      <c r="N159" s="49"/>
      <c r="O159" s="49"/>
      <c r="P159" s="48"/>
      <c r="Q159" s="98"/>
      <c r="R159" s="98"/>
      <c r="S159" s="9"/>
      <c r="T159" s="9"/>
      <c r="U159" s="9"/>
      <c r="V159" s="9"/>
      <c r="W159" s="9"/>
      <c r="X159" s="9"/>
      <c r="Y159" s="9"/>
      <c r="Z159" s="9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48"/>
      <c r="J160" s="48"/>
      <c r="K160" s="48"/>
      <c r="L160" s="48"/>
      <c r="M160" s="29"/>
      <c r="N160" s="49"/>
      <c r="O160" s="49"/>
      <c r="P160" s="48"/>
      <c r="Q160" s="98"/>
      <c r="R160" s="98"/>
      <c r="S160" s="9"/>
      <c r="T160" s="9"/>
      <c r="U160" s="9"/>
      <c r="V160" s="9"/>
      <c r="W160" s="9"/>
      <c r="X160" s="9"/>
      <c r="Y160" s="9"/>
      <c r="Z160" s="9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48"/>
      <c r="J161" s="48"/>
      <c r="K161" s="48"/>
      <c r="L161" s="48"/>
      <c r="M161" s="29"/>
      <c r="N161" s="49"/>
      <c r="O161" s="49"/>
      <c r="P161" s="48"/>
      <c r="Q161" s="98"/>
      <c r="R161" s="98"/>
      <c r="S161" s="9"/>
      <c r="T161" s="9"/>
      <c r="U161" s="9"/>
      <c r="V161" s="9"/>
      <c r="W161" s="9"/>
      <c r="X161" s="9"/>
      <c r="Y161" s="9"/>
      <c r="Z161" s="9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48"/>
      <c r="J162" s="48"/>
      <c r="K162" s="48"/>
      <c r="L162" s="48"/>
      <c r="M162" s="29"/>
      <c r="N162" s="49"/>
      <c r="O162" s="49"/>
      <c r="P162" s="48"/>
      <c r="Q162" s="98"/>
      <c r="R162" s="98"/>
      <c r="S162" s="9"/>
      <c r="T162" s="9"/>
      <c r="U162" s="9"/>
      <c r="V162" s="9"/>
      <c r="W162" s="9"/>
      <c r="X162" s="9"/>
      <c r="Y162" s="9"/>
      <c r="Z162" s="9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48"/>
      <c r="J163" s="48"/>
      <c r="K163" s="48"/>
      <c r="L163" s="48"/>
      <c r="M163" s="29"/>
      <c r="N163" s="49"/>
      <c r="O163" s="49"/>
      <c r="P163" s="48"/>
      <c r="Q163" s="98"/>
      <c r="R163" s="98"/>
      <c r="S163" s="9"/>
      <c r="T163" s="9"/>
      <c r="U163" s="9"/>
      <c r="V163" s="9"/>
      <c r="W163" s="9"/>
      <c r="X163" s="9"/>
      <c r="Y163" s="9"/>
      <c r="Z163" s="9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48"/>
      <c r="J164" s="48"/>
      <c r="K164" s="48"/>
      <c r="L164" s="48"/>
      <c r="M164" s="29"/>
      <c r="N164" s="49"/>
      <c r="O164" s="49"/>
      <c r="P164" s="48"/>
      <c r="Q164" s="98"/>
      <c r="R164" s="98"/>
      <c r="S164" s="9"/>
      <c r="T164" s="9"/>
      <c r="U164" s="9"/>
      <c r="V164" s="9"/>
      <c r="W164" s="9"/>
      <c r="X164" s="9"/>
      <c r="Y164" s="9"/>
      <c r="Z164" s="9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48"/>
      <c r="J165" s="48"/>
      <c r="K165" s="48"/>
      <c r="L165" s="48"/>
      <c r="M165" s="29"/>
      <c r="N165" s="49"/>
      <c r="O165" s="49"/>
      <c r="P165" s="48"/>
      <c r="Q165" s="98"/>
      <c r="R165" s="98"/>
      <c r="S165" s="9"/>
      <c r="T165" s="9"/>
      <c r="U165" s="9"/>
      <c r="V165" s="9"/>
      <c r="W165" s="9"/>
      <c r="X165" s="9"/>
      <c r="Y165" s="9"/>
      <c r="Z165" s="9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48"/>
      <c r="J166" s="48"/>
      <c r="K166" s="48"/>
      <c r="L166" s="48"/>
      <c r="M166" s="29"/>
      <c r="N166" s="49"/>
      <c r="O166" s="49"/>
      <c r="P166" s="48"/>
      <c r="Q166" s="98"/>
      <c r="R166" s="98"/>
      <c r="S166" s="9"/>
      <c r="T166" s="9"/>
      <c r="U166" s="9"/>
      <c r="V166" s="9"/>
      <c r="W166" s="9"/>
      <c r="X166" s="9"/>
      <c r="Y166" s="9"/>
      <c r="Z166" s="9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48"/>
      <c r="J167" s="48"/>
      <c r="K167" s="48"/>
      <c r="L167" s="48"/>
      <c r="M167" s="29"/>
      <c r="N167" s="49"/>
      <c r="O167" s="49"/>
      <c r="P167" s="48"/>
      <c r="Q167" s="98"/>
      <c r="R167" s="98"/>
      <c r="S167" s="9"/>
      <c r="T167" s="9"/>
      <c r="U167" s="9"/>
      <c r="V167" s="9"/>
      <c r="W167" s="9"/>
      <c r="X167" s="9"/>
      <c r="Y167" s="9"/>
      <c r="Z167" s="9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48"/>
      <c r="J168" s="48"/>
      <c r="K168" s="48"/>
      <c r="L168" s="48"/>
      <c r="M168" s="29"/>
      <c r="N168" s="49"/>
      <c r="O168" s="49"/>
      <c r="P168" s="48"/>
      <c r="Q168" s="98"/>
      <c r="R168" s="98"/>
      <c r="S168" s="9"/>
      <c r="T168" s="9"/>
      <c r="U168" s="9"/>
      <c r="V168" s="9"/>
      <c r="W168" s="9"/>
      <c r="X168" s="9"/>
      <c r="Y168" s="9"/>
      <c r="Z168" s="9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48"/>
      <c r="J169" s="48"/>
      <c r="K169" s="48"/>
      <c r="L169" s="48"/>
      <c r="M169" s="29"/>
      <c r="N169" s="49"/>
      <c r="O169" s="49"/>
      <c r="P169" s="48"/>
      <c r="Q169" s="98"/>
      <c r="R169" s="98"/>
      <c r="S169" s="9"/>
      <c r="T169" s="9"/>
      <c r="U169" s="9"/>
      <c r="V169" s="9"/>
      <c r="W169" s="9"/>
      <c r="X169" s="9"/>
      <c r="Y169" s="9"/>
      <c r="Z169" s="9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48"/>
      <c r="J170" s="48"/>
      <c r="K170" s="48"/>
      <c r="L170" s="48"/>
      <c r="M170" s="29"/>
      <c r="N170" s="49"/>
      <c r="O170" s="49"/>
      <c r="P170" s="48"/>
      <c r="Q170" s="98"/>
      <c r="R170" s="98"/>
      <c r="S170" s="9"/>
      <c r="T170" s="9"/>
      <c r="U170" s="9"/>
      <c r="V170" s="9"/>
      <c r="W170" s="9"/>
      <c r="X170" s="9"/>
      <c r="Y170" s="9"/>
      <c r="Z170" s="9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48"/>
      <c r="J171" s="48"/>
      <c r="K171" s="48"/>
      <c r="L171" s="48"/>
      <c r="M171" s="29"/>
      <c r="N171" s="49"/>
      <c r="O171" s="49"/>
      <c r="P171" s="48"/>
      <c r="Q171" s="98"/>
      <c r="R171" s="98"/>
      <c r="S171" s="9"/>
      <c r="T171" s="9"/>
      <c r="U171" s="9"/>
      <c r="V171" s="9"/>
      <c r="W171" s="9"/>
      <c r="X171" s="9"/>
      <c r="Y171" s="9"/>
      <c r="Z171" s="9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48"/>
      <c r="J172" s="48"/>
      <c r="K172" s="48"/>
      <c r="L172" s="48"/>
      <c r="M172" s="29"/>
      <c r="N172" s="49"/>
      <c r="O172" s="49"/>
      <c r="P172" s="48"/>
      <c r="Q172" s="98"/>
      <c r="R172" s="98"/>
      <c r="S172" s="9"/>
      <c r="T172" s="9"/>
      <c r="U172" s="9"/>
      <c r="V172" s="9"/>
      <c r="W172" s="9"/>
      <c r="X172" s="9"/>
      <c r="Y172" s="9"/>
      <c r="Z172" s="9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48"/>
      <c r="J173" s="48"/>
      <c r="K173" s="48"/>
      <c r="L173" s="48"/>
      <c r="M173" s="29"/>
      <c r="N173" s="49"/>
      <c r="O173" s="49"/>
      <c r="P173" s="48"/>
      <c r="Q173" s="98"/>
      <c r="R173" s="98"/>
      <c r="S173" s="9"/>
      <c r="T173" s="9"/>
      <c r="U173" s="9"/>
      <c r="V173" s="9"/>
      <c r="W173" s="9"/>
      <c r="X173" s="9"/>
      <c r="Y173" s="9"/>
      <c r="Z173" s="9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48"/>
      <c r="J174" s="48"/>
      <c r="K174" s="48"/>
      <c r="L174" s="48"/>
      <c r="M174" s="29"/>
      <c r="N174" s="49"/>
      <c r="O174" s="49"/>
      <c r="P174" s="48"/>
      <c r="Q174" s="98"/>
      <c r="R174" s="98"/>
      <c r="S174" s="9"/>
      <c r="T174" s="9"/>
      <c r="U174" s="9"/>
      <c r="V174" s="9"/>
      <c r="W174" s="9"/>
      <c r="X174" s="9"/>
      <c r="Y174" s="9"/>
      <c r="Z174" s="9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48"/>
      <c r="J175" s="48"/>
      <c r="K175" s="48"/>
      <c r="L175" s="48"/>
      <c r="M175" s="29"/>
      <c r="N175" s="49"/>
      <c r="O175" s="49"/>
      <c r="P175" s="48"/>
      <c r="Q175" s="98"/>
      <c r="R175" s="98"/>
      <c r="S175" s="9"/>
      <c r="T175" s="9"/>
      <c r="U175" s="9"/>
      <c r="V175" s="9"/>
      <c r="W175" s="9"/>
      <c r="X175" s="9"/>
      <c r="Y175" s="9"/>
      <c r="Z175" s="9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48"/>
      <c r="J176" s="48"/>
      <c r="K176" s="48"/>
      <c r="L176" s="48"/>
      <c r="M176" s="29"/>
      <c r="N176" s="49"/>
      <c r="O176" s="49"/>
      <c r="P176" s="48"/>
      <c r="Q176" s="98"/>
      <c r="R176" s="98"/>
      <c r="S176" s="9"/>
      <c r="T176" s="9"/>
      <c r="U176" s="9"/>
      <c r="V176" s="9"/>
      <c r="W176" s="9"/>
      <c r="X176" s="9"/>
      <c r="Y176" s="9"/>
      <c r="Z176" s="9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48"/>
      <c r="J177" s="48"/>
      <c r="K177" s="48"/>
      <c r="L177" s="48"/>
      <c r="M177" s="29"/>
      <c r="N177" s="49"/>
      <c r="O177" s="49"/>
      <c r="P177" s="48"/>
      <c r="Q177" s="98"/>
      <c r="R177" s="98"/>
      <c r="S177" s="9"/>
      <c r="T177" s="9"/>
      <c r="U177" s="9"/>
      <c r="V177" s="9"/>
      <c r="W177" s="9"/>
      <c r="X177" s="9"/>
      <c r="Y177" s="9"/>
      <c r="Z177" s="9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48"/>
      <c r="J178" s="48"/>
      <c r="K178" s="48"/>
      <c r="L178" s="48"/>
      <c r="M178" s="29"/>
      <c r="N178" s="49"/>
      <c r="O178" s="49"/>
      <c r="P178" s="48"/>
      <c r="Q178" s="98"/>
      <c r="R178" s="98"/>
      <c r="S178" s="9"/>
      <c r="T178" s="9"/>
      <c r="U178" s="9"/>
      <c r="V178" s="9"/>
      <c r="W178" s="9"/>
      <c r="X178" s="9"/>
      <c r="Y178" s="9"/>
      <c r="Z178" s="9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48"/>
      <c r="J179" s="48"/>
      <c r="K179" s="48"/>
      <c r="L179" s="48"/>
      <c r="M179" s="29"/>
      <c r="N179" s="49"/>
      <c r="O179" s="49"/>
      <c r="P179" s="48"/>
      <c r="Q179" s="98"/>
      <c r="R179" s="98"/>
      <c r="S179" s="9"/>
      <c r="T179" s="9"/>
      <c r="U179" s="9"/>
      <c r="V179" s="9"/>
      <c r="W179" s="9"/>
      <c r="X179" s="9"/>
      <c r="Y179" s="9"/>
      <c r="Z179" s="9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48"/>
      <c r="J180" s="48"/>
      <c r="K180" s="48"/>
      <c r="L180" s="48"/>
      <c r="M180" s="29"/>
      <c r="N180" s="49"/>
      <c r="O180" s="49"/>
      <c r="P180" s="48"/>
      <c r="Q180" s="98"/>
      <c r="R180" s="98"/>
      <c r="S180" s="9"/>
      <c r="T180" s="9"/>
      <c r="U180" s="9"/>
      <c r="V180" s="9"/>
      <c r="W180" s="9"/>
      <c r="X180" s="9"/>
      <c r="Y180" s="9"/>
      <c r="Z180" s="9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48"/>
      <c r="J181" s="48"/>
      <c r="K181" s="48"/>
      <c r="L181" s="48"/>
      <c r="M181" s="29"/>
      <c r="N181" s="49"/>
      <c r="O181" s="49"/>
      <c r="P181" s="48"/>
      <c r="Q181" s="98"/>
      <c r="R181" s="98"/>
      <c r="S181" s="9"/>
      <c r="T181" s="9"/>
      <c r="U181" s="9"/>
      <c r="V181" s="9"/>
      <c r="W181" s="9"/>
      <c r="X181" s="9"/>
      <c r="Y181" s="9"/>
      <c r="Z181" s="9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48"/>
      <c r="J182" s="48"/>
      <c r="K182" s="48"/>
      <c r="L182" s="48"/>
      <c r="M182" s="29"/>
      <c r="N182" s="49"/>
      <c r="O182" s="49"/>
      <c r="P182" s="48"/>
      <c r="Q182" s="98"/>
      <c r="R182" s="98"/>
      <c r="S182" s="9"/>
      <c r="T182" s="9"/>
      <c r="U182" s="9"/>
      <c r="V182" s="9"/>
      <c r="W182" s="9"/>
      <c r="X182" s="9"/>
      <c r="Y182" s="9"/>
      <c r="Z182" s="9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48"/>
      <c r="J183" s="48"/>
      <c r="K183" s="48"/>
      <c r="L183" s="48"/>
      <c r="M183" s="29"/>
      <c r="N183" s="49"/>
      <c r="O183" s="49"/>
      <c r="P183" s="48"/>
      <c r="Q183" s="98"/>
      <c r="R183" s="98"/>
      <c r="S183" s="9"/>
      <c r="T183" s="9"/>
      <c r="U183" s="9"/>
      <c r="V183" s="9"/>
      <c r="W183" s="9"/>
      <c r="X183" s="9"/>
      <c r="Y183" s="9"/>
      <c r="Z183" s="9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48"/>
      <c r="J184" s="48"/>
      <c r="K184" s="48"/>
      <c r="L184" s="48"/>
      <c r="M184" s="29"/>
      <c r="N184" s="49"/>
      <c r="O184" s="49"/>
      <c r="P184" s="48"/>
      <c r="Q184" s="98"/>
      <c r="R184" s="98"/>
      <c r="S184" s="9"/>
      <c r="T184" s="9"/>
      <c r="U184" s="9"/>
      <c r="V184" s="9"/>
      <c r="W184" s="9"/>
      <c r="X184" s="9"/>
      <c r="Y184" s="9"/>
      <c r="Z184" s="9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48"/>
      <c r="J185" s="48"/>
      <c r="K185" s="48"/>
      <c r="L185" s="48"/>
      <c r="M185" s="29"/>
      <c r="N185" s="49"/>
      <c r="O185" s="49"/>
      <c r="P185" s="48"/>
      <c r="Q185" s="98"/>
      <c r="R185" s="98"/>
      <c r="S185" s="9"/>
      <c r="T185" s="9"/>
      <c r="U185" s="9"/>
      <c r="V185" s="9"/>
      <c r="W185" s="9"/>
      <c r="X185" s="9"/>
      <c r="Y185" s="9"/>
      <c r="Z185" s="9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48"/>
      <c r="J186" s="48"/>
      <c r="K186" s="48"/>
      <c r="L186" s="48"/>
      <c r="M186" s="29"/>
      <c r="N186" s="49"/>
      <c r="O186" s="49"/>
      <c r="P186" s="48"/>
      <c r="Q186" s="98"/>
      <c r="R186" s="98"/>
      <c r="S186" s="9"/>
      <c r="T186" s="9"/>
      <c r="U186" s="9"/>
      <c r="V186" s="9"/>
      <c r="W186" s="9"/>
      <c r="X186" s="9"/>
      <c r="Y186" s="9"/>
      <c r="Z186" s="9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48"/>
      <c r="J187" s="48"/>
      <c r="K187" s="48"/>
      <c r="L187" s="48"/>
      <c r="M187" s="29"/>
      <c r="N187" s="49"/>
      <c r="O187" s="49"/>
      <c r="P187" s="48"/>
      <c r="Q187" s="98"/>
      <c r="R187" s="98"/>
      <c r="S187" s="9"/>
      <c r="T187" s="9"/>
      <c r="U187" s="9"/>
      <c r="V187" s="9"/>
      <c r="W187" s="9"/>
      <c r="X187" s="9"/>
      <c r="Y187" s="9"/>
      <c r="Z187" s="9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48"/>
      <c r="J188" s="48"/>
      <c r="K188" s="48"/>
      <c r="L188" s="48"/>
      <c r="M188" s="29"/>
      <c r="N188" s="49"/>
      <c r="O188" s="49"/>
      <c r="P188" s="48"/>
      <c r="Q188" s="98"/>
      <c r="R188" s="98"/>
      <c r="S188" s="9"/>
      <c r="T188" s="9"/>
      <c r="U188" s="9"/>
      <c r="V188" s="9"/>
      <c r="W188" s="9"/>
      <c r="X188" s="9"/>
      <c r="Y188" s="9"/>
      <c r="Z188" s="9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48"/>
      <c r="J189" s="48"/>
      <c r="K189" s="48"/>
      <c r="L189" s="48"/>
      <c r="M189" s="29"/>
      <c r="N189" s="49"/>
      <c r="O189" s="49"/>
      <c r="P189" s="48"/>
      <c r="Q189" s="98"/>
      <c r="R189" s="98"/>
      <c r="S189" s="9"/>
      <c r="T189" s="9"/>
      <c r="U189" s="9"/>
      <c r="V189" s="9"/>
      <c r="W189" s="9"/>
      <c r="X189" s="9"/>
      <c r="Y189" s="9"/>
      <c r="Z189" s="9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48"/>
      <c r="J190" s="48"/>
      <c r="K190" s="48"/>
      <c r="L190" s="48"/>
      <c r="M190" s="29"/>
      <c r="N190" s="49"/>
      <c r="O190" s="49"/>
      <c r="P190" s="48"/>
      <c r="Q190" s="98"/>
      <c r="R190" s="98"/>
      <c r="S190" s="9"/>
      <c r="T190" s="9"/>
      <c r="U190" s="9"/>
      <c r="V190" s="9"/>
      <c r="W190" s="9"/>
      <c r="X190" s="9"/>
      <c r="Y190" s="9"/>
      <c r="Z190" s="9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48"/>
      <c r="J191" s="48"/>
      <c r="K191" s="48"/>
      <c r="L191" s="48"/>
      <c r="M191" s="29"/>
      <c r="N191" s="49"/>
      <c r="O191" s="49"/>
      <c r="P191" s="48"/>
      <c r="Q191" s="98"/>
      <c r="R191" s="98"/>
      <c r="S191" s="9"/>
      <c r="T191" s="9"/>
      <c r="U191" s="9"/>
      <c r="V191" s="9"/>
      <c r="W191" s="9"/>
      <c r="X191" s="9"/>
      <c r="Y191" s="9"/>
      <c r="Z191" s="9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48"/>
      <c r="J192" s="48"/>
      <c r="K192" s="48"/>
      <c r="L192" s="48"/>
      <c r="M192" s="29"/>
      <c r="N192" s="49"/>
      <c r="O192" s="49"/>
      <c r="P192" s="48"/>
      <c r="Q192" s="98"/>
      <c r="R192" s="98"/>
      <c r="S192" s="9"/>
      <c r="T192" s="9"/>
      <c r="U192" s="9"/>
      <c r="V192" s="9"/>
      <c r="W192" s="9"/>
      <c r="X192" s="9"/>
      <c r="Y192" s="9"/>
      <c r="Z192" s="9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48"/>
      <c r="J193" s="48"/>
      <c r="K193" s="48"/>
      <c r="L193" s="48"/>
      <c r="M193" s="29"/>
      <c r="N193" s="49"/>
      <c r="O193" s="49"/>
      <c r="P193" s="48"/>
      <c r="Q193" s="98"/>
      <c r="R193" s="98"/>
      <c r="S193" s="9"/>
      <c r="T193" s="9"/>
      <c r="U193" s="9"/>
      <c r="V193" s="9"/>
      <c r="W193" s="9"/>
      <c r="X193" s="9"/>
      <c r="Y193" s="9"/>
      <c r="Z193" s="9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48"/>
      <c r="J194" s="48"/>
      <c r="K194" s="48"/>
      <c r="L194" s="48"/>
      <c r="M194" s="29"/>
      <c r="N194" s="49"/>
      <c r="O194" s="49"/>
      <c r="P194" s="48"/>
      <c r="Q194" s="98"/>
      <c r="R194" s="98"/>
      <c r="S194" s="9"/>
      <c r="T194" s="9"/>
      <c r="U194" s="9"/>
      <c r="V194" s="9"/>
      <c r="W194" s="9"/>
      <c r="X194" s="9"/>
      <c r="Y194" s="9"/>
      <c r="Z194" s="9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48"/>
      <c r="J195" s="48"/>
      <c r="K195" s="48"/>
      <c r="L195" s="48"/>
      <c r="M195" s="29"/>
      <c r="N195" s="49"/>
      <c r="O195" s="49"/>
      <c r="P195" s="48"/>
      <c r="Q195" s="98"/>
      <c r="R195" s="98"/>
      <c r="S195" s="9"/>
      <c r="T195" s="9"/>
      <c r="U195" s="9"/>
      <c r="V195" s="9"/>
      <c r="W195" s="9"/>
      <c r="X195" s="9"/>
      <c r="Y195" s="9"/>
      <c r="Z195" s="9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48"/>
      <c r="J196" s="48"/>
      <c r="K196" s="48"/>
      <c r="L196" s="48"/>
      <c r="M196" s="29"/>
      <c r="N196" s="49"/>
      <c r="O196" s="49"/>
      <c r="P196" s="48"/>
      <c r="Q196" s="98"/>
      <c r="R196" s="98"/>
      <c r="S196" s="9"/>
      <c r="T196" s="9"/>
      <c r="U196" s="9"/>
      <c r="V196" s="9"/>
      <c r="W196" s="9"/>
      <c r="X196" s="9"/>
      <c r="Y196" s="9"/>
      <c r="Z196" s="9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48"/>
      <c r="J197" s="48"/>
      <c r="K197" s="48"/>
      <c r="L197" s="48"/>
      <c r="M197" s="29"/>
      <c r="N197" s="49"/>
      <c r="O197" s="49"/>
      <c r="P197" s="48"/>
      <c r="Q197" s="98"/>
      <c r="R197" s="98"/>
      <c r="S197" s="9"/>
      <c r="T197" s="9"/>
      <c r="U197" s="9"/>
      <c r="V197" s="9"/>
      <c r="W197" s="9"/>
      <c r="X197" s="9"/>
      <c r="Y197" s="9"/>
      <c r="Z197" s="9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48"/>
      <c r="J198" s="48"/>
      <c r="K198" s="48"/>
      <c r="L198" s="48"/>
      <c r="M198" s="29"/>
      <c r="N198" s="49"/>
      <c r="O198" s="49"/>
      <c r="P198" s="48"/>
      <c r="Q198" s="98"/>
      <c r="R198" s="98"/>
      <c r="S198" s="9"/>
      <c r="T198" s="9"/>
      <c r="U198" s="9"/>
      <c r="V198" s="9"/>
      <c r="W198" s="9"/>
      <c r="X198" s="9"/>
      <c r="Y198" s="9"/>
      <c r="Z198" s="9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48"/>
      <c r="J199" s="48"/>
      <c r="K199" s="48"/>
      <c r="L199" s="48"/>
      <c r="M199" s="29"/>
      <c r="N199" s="49"/>
      <c r="O199" s="49"/>
      <c r="P199" s="48"/>
      <c r="Q199" s="98"/>
      <c r="R199" s="98"/>
      <c r="S199" s="9"/>
      <c r="T199" s="9"/>
      <c r="U199" s="9"/>
      <c r="V199" s="9"/>
      <c r="W199" s="9"/>
      <c r="X199" s="9"/>
      <c r="Y199" s="9"/>
      <c r="Z199" s="9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48"/>
      <c r="J200" s="48"/>
      <c r="K200" s="48"/>
      <c r="L200" s="48"/>
      <c r="M200" s="29"/>
      <c r="N200" s="49"/>
      <c r="O200" s="49"/>
      <c r="P200" s="48"/>
      <c r="Q200" s="98"/>
      <c r="R200" s="98"/>
      <c r="S200" s="9"/>
      <c r="T200" s="9"/>
      <c r="U200" s="9"/>
      <c r="V200" s="9"/>
      <c r="W200" s="9"/>
      <c r="X200" s="9"/>
      <c r="Y200" s="9"/>
      <c r="Z200" s="9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48"/>
      <c r="J201" s="48"/>
      <c r="K201" s="48"/>
      <c r="L201" s="48"/>
      <c r="M201" s="29"/>
      <c r="N201" s="49"/>
      <c r="O201" s="49"/>
      <c r="P201" s="48"/>
      <c r="Q201" s="98"/>
      <c r="R201" s="98"/>
      <c r="S201" s="9"/>
      <c r="T201" s="9"/>
      <c r="U201" s="9"/>
      <c r="V201" s="9"/>
      <c r="W201" s="9"/>
      <c r="X201" s="9"/>
      <c r="Y201" s="9"/>
      <c r="Z201" s="9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48"/>
      <c r="J202" s="48"/>
      <c r="K202" s="48"/>
      <c r="L202" s="48"/>
      <c r="M202" s="29"/>
      <c r="N202" s="49"/>
      <c r="O202" s="49"/>
      <c r="P202" s="48"/>
      <c r="Q202" s="98"/>
      <c r="R202" s="98"/>
      <c r="S202" s="9"/>
      <c r="T202" s="9"/>
      <c r="U202" s="9"/>
      <c r="V202" s="9"/>
      <c r="W202" s="9"/>
      <c r="X202" s="9"/>
      <c r="Y202" s="9"/>
      <c r="Z202" s="9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48"/>
      <c r="J203" s="48"/>
      <c r="K203" s="48"/>
      <c r="L203" s="48"/>
      <c r="M203" s="29"/>
      <c r="N203" s="49"/>
      <c r="O203" s="49"/>
      <c r="P203" s="48"/>
      <c r="Q203" s="98"/>
      <c r="R203" s="98"/>
      <c r="S203" s="9"/>
      <c r="T203" s="9"/>
      <c r="U203" s="9"/>
      <c r="V203" s="9"/>
      <c r="W203" s="9"/>
      <c r="X203" s="9"/>
      <c r="Y203" s="9"/>
      <c r="Z203" s="9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48"/>
      <c r="J204" s="48"/>
      <c r="K204" s="48"/>
      <c r="L204" s="48"/>
      <c r="M204" s="29"/>
      <c r="N204" s="49"/>
      <c r="O204" s="49"/>
      <c r="P204" s="48"/>
      <c r="Q204" s="98"/>
      <c r="R204" s="98"/>
      <c r="S204" s="9"/>
      <c r="T204" s="9"/>
      <c r="U204" s="9"/>
      <c r="V204" s="9"/>
      <c r="W204" s="9"/>
      <c r="X204" s="9"/>
      <c r="Y204" s="9"/>
      <c r="Z204" s="9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48"/>
      <c r="J205" s="48"/>
      <c r="K205" s="48"/>
      <c r="L205" s="48"/>
      <c r="M205" s="29"/>
      <c r="N205" s="49"/>
      <c r="O205" s="49"/>
      <c r="P205" s="48"/>
      <c r="Q205" s="98"/>
      <c r="R205" s="98"/>
      <c r="S205" s="9"/>
      <c r="T205" s="9"/>
      <c r="U205" s="9"/>
      <c r="V205" s="9"/>
      <c r="W205" s="9"/>
      <c r="X205" s="9"/>
      <c r="Y205" s="9"/>
      <c r="Z205" s="9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48"/>
      <c r="J206" s="48"/>
      <c r="K206" s="48"/>
      <c r="L206" s="48"/>
      <c r="M206" s="29"/>
      <c r="N206" s="49"/>
      <c r="O206" s="49"/>
      <c r="P206" s="48"/>
      <c r="Q206" s="98"/>
      <c r="R206" s="98"/>
      <c r="S206" s="9"/>
      <c r="T206" s="9"/>
      <c r="U206" s="9"/>
      <c r="V206" s="9"/>
      <c r="W206" s="9"/>
      <c r="X206" s="9"/>
      <c r="Y206" s="9"/>
      <c r="Z206" s="9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48"/>
      <c r="J207" s="48"/>
      <c r="K207" s="48"/>
      <c r="L207" s="48"/>
      <c r="M207" s="29"/>
      <c r="N207" s="49"/>
      <c r="O207" s="49"/>
      <c r="P207" s="48"/>
      <c r="Q207" s="98"/>
      <c r="R207" s="98"/>
      <c r="S207" s="9"/>
      <c r="T207" s="9"/>
      <c r="U207" s="9"/>
      <c r="V207" s="9"/>
      <c r="W207" s="9"/>
      <c r="X207" s="9"/>
      <c r="Y207" s="9"/>
      <c r="Z207" s="9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48"/>
      <c r="J208" s="48"/>
      <c r="K208" s="48"/>
      <c r="L208" s="48"/>
      <c r="M208" s="29"/>
      <c r="N208" s="49"/>
      <c r="O208" s="49"/>
      <c r="P208" s="48"/>
      <c r="Q208" s="98"/>
      <c r="R208" s="98"/>
      <c r="S208" s="9"/>
      <c r="T208" s="9"/>
      <c r="U208" s="9"/>
      <c r="V208" s="9"/>
      <c r="W208" s="9"/>
      <c r="X208" s="9"/>
      <c r="Y208" s="9"/>
      <c r="Z208" s="9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48"/>
      <c r="J209" s="48"/>
      <c r="K209" s="48"/>
      <c r="L209" s="48"/>
      <c r="M209" s="29"/>
      <c r="N209" s="49"/>
      <c r="O209" s="49"/>
      <c r="P209" s="48"/>
      <c r="Q209" s="98"/>
      <c r="R209" s="98"/>
      <c r="S209" s="9"/>
      <c r="T209" s="9"/>
      <c r="U209" s="9"/>
      <c r="V209" s="9"/>
      <c r="W209" s="9"/>
      <c r="X209" s="9"/>
      <c r="Y209" s="9"/>
      <c r="Z209" s="9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48"/>
      <c r="J210" s="48"/>
      <c r="K210" s="48"/>
      <c r="L210" s="48"/>
      <c r="M210" s="29"/>
      <c r="N210" s="49"/>
      <c r="O210" s="49"/>
      <c r="P210" s="48"/>
      <c r="Q210" s="98"/>
      <c r="R210" s="98"/>
      <c r="S210" s="9"/>
      <c r="T210" s="9"/>
      <c r="U210" s="9"/>
      <c r="V210" s="9"/>
      <c r="W210" s="9"/>
      <c r="X210" s="9"/>
      <c r="Y210" s="9"/>
      <c r="Z210" s="9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48"/>
      <c r="J211" s="48"/>
      <c r="K211" s="48"/>
      <c r="L211" s="48"/>
      <c r="M211" s="29"/>
      <c r="N211" s="49"/>
      <c r="O211" s="49"/>
      <c r="P211" s="48"/>
      <c r="Q211" s="98"/>
      <c r="R211" s="98"/>
      <c r="S211" s="9"/>
      <c r="T211" s="9"/>
      <c r="U211" s="9"/>
      <c r="V211" s="9"/>
      <c r="W211" s="9"/>
      <c r="X211" s="9"/>
      <c r="Y211" s="9"/>
      <c r="Z211" s="9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48"/>
      <c r="J212" s="48"/>
      <c r="K212" s="48"/>
      <c r="L212" s="48"/>
      <c r="M212" s="29"/>
      <c r="N212" s="49"/>
      <c r="O212" s="49"/>
      <c r="P212" s="48"/>
      <c r="Q212" s="98"/>
      <c r="R212" s="98"/>
      <c r="S212" s="9"/>
      <c r="T212" s="9"/>
      <c r="U212" s="9"/>
      <c r="V212" s="9"/>
      <c r="W212" s="9"/>
      <c r="X212" s="9"/>
      <c r="Y212" s="9"/>
      <c r="Z212" s="9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48"/>
      <c r="J213" s="48"/>
      <c r="K213" s="48"/>
      <c r="L213" s="48"/>
      <c r="M213" s="29"/>
      <c r="N213" s="49"/>
      <c r="O213" s="49"/>
      <c r="P213" s="48"/>
      <c r="Q213" s="98"/>
      <c r="R213" s="98"/>
      <c r="S213" s="9"/>
      <c r="T213" s="9"/>
      <c r="U213" s="9"/>
      <c r="V213" s="9"/>
      <c r="W213" s="9"/>
      <c r="X213" s="9"/>
      <c r="Y213" s="9"/>
      <c r="Z213" s="9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48"/>
      <c r="J214" s="48"/>
      <c r="K214" s="48"/>
      <c r="L214" s="48"/>
      <c r="M214" s="29"/>
      <c r="N214" s="49"/>
      <c r="O214" s="49"/>
      <c r="P214" s="48"/>
      <c r="Q214" s="98"/>
      <c r="R214" s="98"/>
      <c r="S214" s="9"/>
      <c r="T214" s="9"/>
      <c r="U214" s="9"/>
      <c r="V214" s="9"/>
      <c r="W214" s="9"/>
      <c r="X214" s="9"/>
      <c r="Y214" s="9"/>
      <c r="Z214" s="9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48"/>
      <c r="J215" s="48"/>
      <c r="K215" s="48"/>
      <c r="L215" s="48"/>
      <c r="M215" s="29"/>
      <c r="N215" s="49"/>
      <c r="O215" s="49"/>
      <c r="P215" s="48"/>
      <c r="Q215" s="98"/>
      <c r="R215" s="98"/>
      <c r="S215" s="9"/>
      <c r="T215" s="9"/>
      <c r="U215" s="9"/>
      <c r="V215" s="9"/>
      <c r="W215" s="9"/>
      <c r="X215" s="9"/>
      <c r="Y215" s="9"/>
      <c r="Z215" s="9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48"/>
      <c r="J216" s="48"/>
      <c r="K216" s="48"/>
      <c r="L216" s="48"/>
      <c r="M216" s="29"/>
      <c r="N216" s="49"/>
      <c r="O216" s="49"/>
      <c r="P216" s="48"/>
      <c r="Q216" s="98"/>
      <c r="R216" s="98"/>
      <c r="S216" s="9"/>
      <c r="T216" s="9"/>
      <c r="U216" s="9"/>
      <c r="V216" s="9"/>
      <c r="W216" s="9"/>
      <c r="X216" s="9"/>
      <c r="Y216" s="9"/>
      <c r="Z216" s="9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48"/>
      <c r="J217" s="48"/>
      <c r="K217" s="48"/>
      <c r="L217" s="48"/>
      <c r="M217" s="29"/>
      <c r="N217" s="49"/>
      <c r="O217" s="49"/>
      <c r="P217" s="48"/>
      <c r="Q217" s="98"/>
      <c r="R217" s="98"/>
      <c r="S217" s="9"/>
      <c r="T217" s="9"/>
      <c r="U217" s="9"/>
      <c r="V217" s="9"/>
      <c r="W217" s="9"/>
      <c r="X217" s="9"/>
      <c r="Y217" s="9"/>
      <c r="Z217" s="9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48"/>
      <c r="J218" s="48"/>
      <c r="K218" s="48"/>
      <c r="L218" s="48"/>
      <c r="M218" s="29"/>
      <c r="N218" s="49"/>
      <c r="O218" s="49"/>
      <c r="P218" s="48"/>
      <c r="Q218" s="98"/>
      <c r="R218" s="98"/>
      <c r="S218" s="9"/>
      <c r="T218" s="9"/>
      <c r="U218" s="9"/>
      <c r="V218" s="9"/>
      <c r="W218" s="9"/>
      <c r="X218" s="9"/>
      <c r="Y218" s="9"/>
      <c r="Z218" s="9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48"/>
      <c r="J219" s="48"/>
      <c r="K219" s="48"/>
      <c r="L219" s="48"/>
      <c r="M219" s="29"/>
      <c r="N219" s="49"/>
      <c r="O219" s="49"/>
      <c r="P219" s="48"/>
      <c r="Q219" s="98"/>
      <c r="R219" s="98"/>
      <c r="S219" s="9"/>
      <c r="T219" s="9"/>
      <c r="U219" s="9"/>
      <c r="V219" s="9"/>
      <c r="W219" s="9"/>
      <c r="X219" s="9"/>
      <c r="Y219" s="9"/>
      <c r="Z219" s="9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48"/>
      <c r="J220" s="48"/>
      <c r="K220" s="48"/>
      <c r="L220" s="48"/>
      <c r="M220" s="29"/>
      <c r="N220" s="49"/>
      <c r="O220" s="49"/>
      <c r="P220" s="48"/>
      <c r="Q220" s="98"/>
      <c r="R220" s="98"/>
      <c r="S220" s="9"/>
      <c r="T220" s="9"/>
      <c r="U220" s="9"/>
      <c r="V220" s="9"/>
      <c r="W220" s="9"/>
      <c r="X220" s="9"/>
      <c r="Y220" s="9"/>
      <c r="Z220" s="9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48"/>
      <c r="J221" s="48"/>
      <c r="K221" s="48"/>
      <c r="L221" s="48"/>
      <c r="M221" s="29"/>
      <c r="N221" s="49"/>
      <c r="O221" s="49"/>
      <c r="P221" s="48"/>
      <c r="Q221" s="98"/>
      <c r="R221" s="98"/>
      <c r="S221" s="9"/>
      <c r="T221" s="9"/>
      <c r="U221" s="9"/>
      <c r="V221" s="9"/>
      <c r="W221" s="9"/>
      <c r="X221" s="9"/>
      <c r="Y221" s="9"/>
      <c r="Z221" s="9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48"/>
      <c r="J222" s="48"/>
      <c r="K222" s="48"/>
      <c r="L222" s="48"/>
      <c r="M222" s="29"/>
      <c r="N222" s="49"/>
      <c r="O222" s="49"/>
      <c r="P222" s="48"/>
      <c r="Q222" s="98"/>
      <c r="R222" s="98"/>
      <c r="S222" s="9"/>
      <c r="T222" s="9"/>
      <c r="U222" s="9"/>
      <c r="V222" s="9"/>
      <c r="W222" s="9"/>
      <c r="X222" s="9"/>
      <c r="Y222" s="9"/>
      <c r="Z222" s="9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48"/>
      <c r="J223" s="48"/>
      <c r="K223" s="48"/>
      <c r="L223" s="48"/>
      <c r="M223" s="29"/>
      <c r="N223" s="49"/>
      <c r="O223" s="49"/>
      <c r="P223" s="48"/>
      <c r="Q223" s="98"/>
      <c r="R223" s="98"/>
      <c r="S223" s="9"/>
      <c r="T223" s="9"/>
      <c r="U223" s="9"/>
      <c r="V223" s="9"/>
      <c r="W223" s="9"/>
      <c r="X223" s="9"/>
      <c r="Y223" s="9"/>
      <c r="Z223" s="9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48"/>
      <c r="J224" s="48"/>
      <c r="K224" s="48"/>
      <c r="L224" s="48"/>
      <c r="M224" s="29"/>
      <c r="N224" s="49"/>
      <c r="O224" s="49"/>
      <c r="P224" s="48"/>
      <c r="Q224" s="98"/>
      <c r="R224" s="98"/>
      <c r="S224" s="9"/>
      <c r="T224" s="9"/>
      <c r="U224" s="9"/>
      <c r="V224" s="9"/>
      <c r="W224" s="9"/>
      <c r="X224" s="9"/>
      <c r="Y224" s="9"/>
      <c r="Z224" s="9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48"/>
      <c r="J225" s="48"/>
      <c r="K225" s="48"/>
      <c r="L225" s="48"/>
      <c r="M225" s="29"/>
      <c r="N225" s="49"/>
      <c r="O225" s="49"/>
      <c r="P225" s="48"/>
      <c r="Q225" s="98"/>
      <c r="R225" s="98"/>
      <c r="S225" s="9"/>
      <c r="T225" s="9"/>
      <c r="U225" s="9"/>
      <c r="V225" s="9"/>
      <c r="W225" s="9"/>
      <c r="X225" s="9"/>
      <c r="Y225" s="9"/>
      <c r="Z225" s="9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48"/>
      <c r="J226" s="48"/>
      <c r="K226" s="48"/>
      <c r="L226" s="48"/>
      <c r="M226" s="29"/>
      <c r="N226" s="49"/>
      <c r="O226" s="49"/>
      <c r="P226" s="48"/>
      <c r="Q226" s="98"/>
      <c r="R226" s="98"/>
      <c r="S226" s="9"/>
      <c r="T226" s="9"/>
      <c r="U226" s="9"/>
      <c r="V226" s="9"/>
      <c r="W226" s="9"/>
      <c r="X226" s="9"/>
      <c r="Y226" s="9"/>
      <c r="Z226" s="9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48"/>
      <c r="J227" s="48"/>
      <c r="K227" s="48"/>
      <c r="L227" s="48"/>
      <c r="M227" s="29"/>
      <c r="N227" s="49"/>
      <c r="O227" s="49"/>
      <c r="P227" s="48"/>
      <c r="Q227" s="98"/>
      <c r="R227" s="98"/>
      <c r="S227" s="9"/>
      <c r="T227" s="9"/>
      <c r="U227" s="9"/>
      <c r="V227" s="9"/>
      <c r="W227" s="9"/>
      <c r="X227" s="9"/>
      <c r="Y227" s="9"/>
      <c r="Z227" s="9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48"/>
      <c r="J228" s="48"/>
      <c r="K228" s="48"/>
      <c r="L228" s="48"/>
      <c r="M228" s="29"/>
      <c r="N228" s="49"/>
      <c r="O228" s="49"/>
      <c r="P228" s="48"/>
      <c r="Q228" s="98"/>
      <c r="R228" s="98"/>
      <c r="S228" s="9"/>
      <c r="T228" s="9"/>
      <c r="U228" s="9"/>
      <c r="V228" s="9"/>
      <c r="W228" s="9"/>
      <c r="X228" s="9"/>
      <c r="Y228" s="9"/>
      <c r="Z228" s="9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48"/>
      <c r="J229" s="48"/>
      <c r="K229" s="48"/>
      <c r="L229" s="48"/>
      <c r="M229" s="29"/>
      <c r="N229" s="49"/>
      <c r="O229" s="49"/>
      <c r="P229" s="48"/>
      <c r="Q229" s="98"/>
      <c r="R229" s="98"/>
      <c r="S229" s="9"/>
      <c r="T229" s="9"/>
      <c r="U229" s="9"/>
      <c r="V229" s="9"/>
      <c r="W229" s="9"/>
      <c r="X229" s="9"/>
      <c r="Y229" s="9"/>
      <c r="Z229" s="9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48"/>
      <c r="J230" s="48"/>
      <c r="K230" s="48"/>
      <c r="L230" s="48"/>
      <c r="M230" s="29"/>
      <c r="N230" s="49"/>
      <c r="O230" s="49"/>
      <c r="P230" s="48"/>
      <c r="Q230" s="98"/>
      <c r="R230" s="98"/>
      <c r="S230" s="9"/>
      <c r="T230" s="9"/>
      <c r="U230" s="9"/>
      <c r="V230" s="9"/>
      <c r="W230" s="9"/>
      <c r="X230" s="9"/>
      <c r="Y230" s="9"/>
      <c r="Z230" s="9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48"/>
      <c r="J231" s="48"/>
      <c r="K231" s="48"/>
      <c r="L231" s="48"/>
      <c r="M231" s="29"/>
      <c r="N231" s="49"/>
      <c r="O231" s="49"/>
      <c r="P231" s="48"/>
      <c r="Q231" s="98"/>
      <c r="R231" s="98"/>
      <c r="S231" s="9"/>
      <c r="T231" s="9"/>
      <c r="U231" s="9"/>
      <c r="V231" s="9"/>
      <c r="W231" s="9"/>
      <c r="X231" s="9"/>
      <c r="Y231" s="9"/>
      <c r="Z231" s="9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48"/>
      <c r="J232" s="48"/>
      <c r="K232" s="48"/>
      <c r="L232" s="48"/>
      <c r="M232" s="29"/>
      <c r="N232" s="49"/>
      <c r="O232" s="49"/>
      <c r="P232" s="48"/>
      <c r="Q232" s="98"/>
      <c r="R232" s="98"/>
      <c r="S232" s="9"/>
      <c r="T232" s="9"/>
      <c r="U232" s="9"/>
      <c r="V232" s="9"/>
      <c r="W232" s="9"/>
      <c r="X232" s="9"/>
      <c r="Y232" s="9"/>
      <c r="Z232" s="9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48"/>
      <c r="J233" s="48"/>
      <c r="K233" s="48"/>
      <c r="L233" s="48"/>
      <c r="M233" s="29"/>
      <c r="N233" s="49"/>
      <c r="O233" s="49"/>
      <c r="P233" s="48"/>
      <c r="Q233" s="98"/>
      <c r="R233" s="98"/>
      <c r="S233" s="9"/>
      <c r="T233" s="9"/>
      <c r="U233" s="9"/>
      <c r="V233" s="9"/>
      <c r="W233" s="9"/>
      <c r="X233" s="9"/>
      <c r="Y233" s="9"/>
      <c r="Z233" s="9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48"/>
      <c r="J234" s="48"/>
      <c r="K234" s="48"/>
      <c r="L234" s="48"/>
      <c r="M234" s="29"/>
      <c r="N234" s="49"/>
      <c r="O234" s="49"/>
      <c r="P234" s="48"/>
      <c r="Q234" s="98"/>
      <c r="R234" s="98"/>
      <c r="S234" s="9"/>
      <c r="T234" s="9"/>
      <c r="U234" s="9"/>
      <c r="V234" s="9"/>
      <c r="W234" s="9"/>
      <c r="X234" s="9"/>
      <c r="Y234" s="9"/>
      <c r="Z234" s="9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48"/>
      <c r="J235" s="48"/>
      <c r="K235" s="48"/>
      <c r="L235" s="48"/>
      <c r="M235" s="29"/>
      <c r="N235" s="49"/>
      <c r="O235" s="49"/>
      <c r="P235" s="48"/>
      <c r="Q235" s="98"/>
      <c r="R235" s="98"/>
      <c r="S235" s="9"/>
      <c r="T235" s="9"/>
      <c r="U235" s="9"/>
      <c r="V235" s="9"/>
      <c r="W235" s="9"/>
      <c r="X235" s="9"/>
      <c r="Y235" s="9"/>
      <c r="Z235" s="9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48"/>
      <c r="J236" s="48"/>
      <c r="K236" s="48"/>
      <c r="L236" s="48"/>
      <c r="M236" s="29"/>
      <c r="N236" s="49"/>
      <c r="O236" s="49"/>
      <c r="P236" s="48"/>
      <c r="Q236" s="98"/>
      <c r="R236" s="98"/>
      <c r="S236" s="9"/>
      <c r="T236" s="9"/>
      <c r="U236" s="9"/>
      <c r="V236" s="9"/>
      <c r="W236" s="9"/>
      <c r="X236" s="9"/>
      <c r="Y236" s="9"/>
      <c r="Z236" s="9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48"/>
      <c r="J237" s="48"/>
      <c r="K237" s="48"/>
      <c r="L237" s="48"/>
      <c r="M237" s="29"/>
      <c r="N237" s="49"/>
      <c r="O237" s="49"/>
      <c r="P237" s="48"/>
      <c r="Q237" s="98"/>
      <c r="R237" s="98"/>
      <c r="S237" s="9"/>
      <c r="T237" s="9"/>
      <c r="U237" s="9"/>
      <c r="V237" s="9"/>
      <c r="W237" s="9"/>
      <c r="X237" s="9"/>
      <c r="Y237" s="9"/>
      <c r="Z237" s="9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21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21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21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21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21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21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21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21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21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21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21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21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21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21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21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21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21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21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21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21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21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21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2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2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21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21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21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21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21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21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21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21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21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21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21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21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21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21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21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21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21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21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21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21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21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21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21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21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21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21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21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21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21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21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21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21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2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21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21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21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21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21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21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21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21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21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21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21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21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21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21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21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21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21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21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21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21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21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21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21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21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21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21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21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21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21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21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21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21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21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2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21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21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21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21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21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21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21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21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21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21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21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21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21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21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21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21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21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21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21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21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21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21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21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21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21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21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21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21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21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21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21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21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2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21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21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21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21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21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21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21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21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21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21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21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21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21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21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21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21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21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21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21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21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21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21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21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21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21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21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21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21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21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21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21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21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21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21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21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21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21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21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21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21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21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21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21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21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21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21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21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21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21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21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21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21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21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21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21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21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21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21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21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21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21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21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21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21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21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21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21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21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21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21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21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21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21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21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21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21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21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21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21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21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21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21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21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21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21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21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21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21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21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21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21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21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21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21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21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21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21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21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21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21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21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21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21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21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21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21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21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21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21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21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21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21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21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21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21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21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21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21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21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21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21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21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21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21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21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21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21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21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21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21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21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21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21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21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21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21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21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21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21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21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21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21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21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21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21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21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21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21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21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21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21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21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21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21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21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21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21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21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21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21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21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21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21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21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21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21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21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21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21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21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21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21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21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21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21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21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21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21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21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21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21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21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21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21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21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21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21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21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21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21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21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21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21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21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21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21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21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21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21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21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21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21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21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21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21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21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21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21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21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21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21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21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21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21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21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21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21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21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21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21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21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21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21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21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21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21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21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21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21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21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21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21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21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21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21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21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21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21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21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21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21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21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21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21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21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21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21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21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21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21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21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21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21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21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21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21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21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21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21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21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21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21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21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21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21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21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21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21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21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21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21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21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21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21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21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21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21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21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21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21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21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21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21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21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21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21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21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21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21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21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21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21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21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21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21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21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21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21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21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21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21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21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21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21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21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21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21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21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21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21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21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21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21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21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21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21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21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21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21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21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21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21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21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21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21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21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21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21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21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21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21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21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21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21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21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21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21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21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21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21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21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21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21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21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21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21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21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21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21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21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21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21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21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21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21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21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21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21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21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21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21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21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21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21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21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21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21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21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21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21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21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21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21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21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21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21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21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21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21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21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21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21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21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21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21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21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21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21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21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21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21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21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21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21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21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21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21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21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21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21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21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21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21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21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21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21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21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21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21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21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21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21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21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21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21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21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21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21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21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21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21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21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21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21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21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21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21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21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21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21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21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21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21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21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21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21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21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21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21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21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21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21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21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21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21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21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21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21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21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21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21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21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21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21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21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21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21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21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21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21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21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21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21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21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21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21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21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21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21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21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21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21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21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21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21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21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21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21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21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21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21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21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21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21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21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21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21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21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21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21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21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21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21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21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21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21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21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21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21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21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21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21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21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21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21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21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21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21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21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21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21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21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21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21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21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21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21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21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21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21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21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21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21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21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21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21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21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21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21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21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21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21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21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21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21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21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21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21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21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21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21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21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21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21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21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21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21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21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21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21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21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21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21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21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21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21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21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21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21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21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21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21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21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21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21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21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21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21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21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21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21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21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21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21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21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21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21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21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21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21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21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21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21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21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21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21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21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21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21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21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21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21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21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21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21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21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21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21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21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21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21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21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21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21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21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21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21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21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21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21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21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21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21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21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21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21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21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21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21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21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21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21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21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21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21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21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21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conditionalFormatting sqref="AB6:AB8">
    <cfRule type="cellIs" dxfId="5" priority="1" operator="lessThan">
      <formula>0</formula>
    </cfRule>
  </conditionalFormatting>
  <conditionalFormatting sqref="AC6:AC8">
    <cfRule type="containsText" dxfId="6" priority="2" operator="containsText" text="Outperform">
      <formula>NOT(ISERROR(SEARCH(("Outperform"),(AC6))))</formula>
    </cfRule>
  </conditionalFormatting>
  <conditionalFormatting sqref="AC6:AC8">
    <cfRule type="containsText" dxfId="7" priority="3" operator="containsText" text="Underperform">
      <formula>NOT(ISERROR(SEARCH(("Underperform"),(AC6))))</formula>
    </cfRule>
  </conditionalFormatting>
  <dataValidations>
    <dataValidation type="list" allowBlank="1" showErrorMessage="1" sqref="B1:B5 B23 B27 B32 B35:B1000">
      <formula1>'Prev. Dashboard'!B$20:B$43</formula1>
    </dataValidation>
    <dataValidation type="list" allowBlank="1" showErrorMessage="1" sqref="D1:D5 D27 D32 D35:D1000">
      <formula1>"SMA - Chidi Iwuchukwu,SADF$,GIF$,SMA - Consonance,SMA - OneFi,Leverage,SMA - Lion&amp;Lily"</formula1>
    </dataValidation>
    <dataValidation type="list" allowBlank="1" showErrorMessage="1" sqref="C1:C1000">
      <formula1>"Stanbic,Rencap,Mauritius"</formula1>
    </dataValidation>
    <dataValidation type="list" allowBlank="1" showErrorMessage="1" sqref="B9:B22 B28:B31 B33:B34">
      <formula1>'Prev. Dashboard'!B$20:B$45</formula1>
    </dataValidation>
    <dataValidation type="list" allowBlank="1" showErrorMessage="1" sqref="F1:F1000">
      <formula1>"Sell,Buy"</formula1>
    </dataValidation>
    <dataValidation type="list" allowBlank="1" showErrorMessage="1" sqref="E1:E1000">
      <formula1>"Kingsley,Kamil,Rasheed"</formula1>
    </dataValidation>
    <dataValidation type="list" allowBlank="1" showErrorMessage="1" sqref="D6:D26 D28:D31 D33:D34">
      <formula1>"SMA - Chidi Iwuchukwu,SADF$,GIF$,SMA - Consonance,SMA - OneFi,Leverage,SMA - Lion&amp;Lily,SADF GHC"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2" max="2" width="4.43"/>
    <col customWidth="1" min="3" max="3" width="25.71"/>
    <col customWidth="1" min="4" max="4" width="10.0"/>
    <col customWidth="1" min="5" max="5" width="8.86"/>
    <col customWidth="1" min="6" max="6" width="9.71"/>
    <col customWidth="1" min="7" max="7" width="8.43"/>
    <col customWidth="1" min="8" max="8" width="22.0"/>
    <col customWidth="1" min="9" max="9" width="12.43"/>
    <col customWidth="1" min="10" max="10" width="13.43"/>
    <col customWidth="1" min="11" max="11" width="10.86"/>
    <col customWidth="1" min="12" max="12" width="15.43"/>
    <col customWidth="1" min="13" max="13" width="12.14"/>
    <col customWidth="1" min="14" max="14" width="9.57"/>
    <col customWidth="1" min="15" max="15" width="20.71"/>
    <col customWidth="1" min="16" max="16" width="22.29"/>
    <col customWidth="1" min="17" max="19" width="17.71"/>
    <col customWidth="1" min="20" max="20" width="22.29"/>
    <col customWidth="1" min="21" max="21" width="5.14"/>
    <col customWidth="1" min="22" max="22" width="7.0"/>
    <col customWidth="1" min="23" max="23" width="13.57"/>
    <col customWidth="1" min="24" max="27" width="9.14"/>
  </cols>
  <sheetData>
    <row r="1" ht="13.5" customHeight="1">
      <c r="B1" s="1"/>
      <c r="C1" s="4"/>
      <c r="D1" s="5"/>
      <c r="E1" s="6"/>
      <c r="F1" s="6"/>
      <c r="G1" s="6"/>
      <c r="H1" s="1"/>
      <c r="I1" s="1"/>
      <c r="J1" s="62"/>
      <c r="K1" s="15">
        <f>PRICEDISC(L85,J85,M85,100,1)</f>
        <v>89.62835344</v>
      </c>
      <c r="L1" s="15">
        <v>86.64362482836987</v>
      </c>
      <c r="M1" s="4"/>
      <c r="N1" s="49">
        <f>COUPNCD(L68,J68,2,1)</f>
        <v>45042</v>
      </c>
      <c r="O1" s="19">
        <f>P68*100/O68</f>
        <v>98.77714286</v>
      </c>
      <c r="P1" s="15">
        <f>P65+R65</f>
        <v>2363070714</v>
      </c>
      <c r="Q1" s="15">
        <f>P1/O65</f>
        <v>1.181535357</v>
      </c>
      <c r="R1" s="79">
        <f>P65/O65*100</f>
        <v>115.2517679</v>
      </c>
      <c r="S1" s="80">
        <v>5.375E-4</v>
      </c>
      <c r="T1" s="1" t="s">
        <v>136</v>
      </c>
      <c r="U1" s="1"/>
      <c r="V1" s="1"/>
      <c r="W1" s="1"/>
      <c r="X1" s="1"/>
      <c r="Y1" s="1"/>
      <c r="Z1" s="1"/>
      <c r="AA1" s="1"/>
    </row>
    <row r="2" ht="13.5" customHeight="1">
      <c r="B2" s="1"/>
      <c r="C2" s="4"/>
      <c r="D2" s="5"/>
      <c r="E2" s="6"/>
      <c r="F2" s="6"/>
      <c r="G2" s="6"/>
      <c r="H2" s="34"/>
      <c r="I2" s="1"/>
      <c r="J2" s="1"/>
      <c r="K2" s="1"/>
      <c r="L2" s="1"/>
      <c r="M2" s="4"/>
      <c r="N2" s="43"/>
      <c r="O2" s="43"/>
      <c r="P2" s="15"/>
      <c r="Q2" s="15"/>
      <c r="R2" s="15"/>
      <c r="S2" s="15"/>
      <c r="T2" s="1"/>
      <c r="U2" s="1"/>
      <c r="V2" s="34"/>
      <c r="W2" s="1"/>
      <c r="X2" s="1"/>
      <c r="Y2" s="1"/>
      <c r="Z2" s="1"/>
      <c r="AA2" s="1"/>
    </row>
    <row r="3" ht="13.5" customHeight="1">
      <c r="B3" s="41" t="s">
        <v>13</v>
      </c>
      <c r="C3" s="81" t="s">
        <v>16</v>
      </c>
      <c r="D3" s="81" t="s">
        <v>17</v>
      </c>
      <c r="E3" s="81" t="s">
        <v>19</v>
      </c>
      <c r="F3" s="81" t="s">
        <v>11</v>
      </c>
      <c r="G3" s="81" t="s">
        <v>20</v>
      </c>
      <c r="H3" s="81" t="s">
        <v>22</v>
      </c>
      <c r="I3" s="81" t="s">
        <v>24</v>
      </c>
      <c r="J3" s="81" t="s">
        <v>28</v>
      </c>
      <c r="K3" s="81" t="s">
        <v>29</v>
      </c>
      <c r="L3" s="81" t="s">
        <v>30</v>
      </c>
      <c r="M3" s="81" t="s">
        <v>31</v>
      </c>
      <c r="N3" s="81" t="s">
        <v>32</v>
      </c>
      <c r="O3" s="81" t="s">
        <v>33</v>
      </c>
      <c r="P3" s="81" t="s">
        <v>54</v>
      </c>
      <c r="Q3" s="41" t="s">
        <v>55</v>
      </c>
      <c r="R3" s="41" t="s">
        <v>35</v>
      </c>
      <c r="S3" s="41" t="s">
        <v>138</v>
      </c>
      <c r="T3" s="41" t="s">
        <v>54</v>
      </c>
      <c r="U3" s="41"/>
      <c r="V3" s="41" t="s">
        <v>43</v>
      </c>
      <c r="W3" s="3"/>
      <c r="X3" s="3"/>
      <c r="Y3" s="3"/>
      <c r="Z3" s="3"/>
      <c r="AA3" s="3"/>
    </row>
    <row r="4" ht="13.5" customHeight="1">
      <c r="B4" s="3">
        <v>1.0</v>
      </c>
      <c r="C4" s="3" t="s">
        <v>92</v>
      </c>
      <c r="D4" s="3" t="s">
        <v>58</v>
      </c>
      <c r="E4" s="3" t="s">
        <v>139</v>
      </c>
      <c r="F4" s="3" t="s">
        <v>70</v>
      </c>
      <c r="G4" s="3" t="s">
        <v>12</v>
      </c>
      <c r="H4" s="3" t="s">
        <v>140</v>
      </c>
      <c r="I4" s="48">
        <v>0.125</v>
      </c>
      <c r="J4" s="49">
        <v>46044.0</v>
      </c>
      <c r="K4" s="49">
        <v>44327.0</v>
      </c>
      <c r="L4" s="49">
        <v>44330.0</v>
      </c>
      <c r="M4" s="48">
        <f t="shared" ref="M4:M5" si="1">IFERROR(YIELD(L4,J4,I4,N4,100,2,1),"")</f>
        <v>0.1289945045</v>
      </c>
      <c r="N4" s="54">
        <v>98.58</v>
      </c>
      <c r="O4" s="54">
        <v>1.94E8</v>
      </c>
      <c r="P4" s="84">
        <f t="shared" ref="P4:P110" si="2">IFERROR((O4*N4/100)+ACCRINT(COUPPCD(L4,J4,2,1),COUPNCD(L4,J4,2,1),L4,I4,O4,2,1),O4*N4/100)</f>
        <v>198747962.4</v>
      </c>
      <c r="Q4" s="9">
        <f t="shared" ref="Q4:Q110" si="3">O4*N4/100</f>
        <v>191245200</v>
      </c>
      <c r="R4" s="9">
        <f t="shared" ref="R4:R76" si="4">IFERROR(ACCRINT(COUPPCD(L4,J4,2,1),COUPNCD(L4,J4,2,0),L4,I4,O4,2,1),"")</f>
        <v>7502762.431</v>
      </c>
      <c r="S4" s="9"/>
      <c r="T4" s="9">
        <f t="shared" ref="T4:T67" si="5">IFERROR(Q4+R4,Q4)</f>
        <v>198747962.4</v>
      </c>
      <c r="U4" s="9"/>
      <c r="V4" s="9" t="s">
        <v>143</v>
      </c>
      <c r="W4" s="9"/>
      <c r="X4" s="3"/>
      <c r="Y4" s="9"/>
      <c r="Z4" s="3"/>
      <c r="AA4" s="3"/>
    </row>
    <row r="5" ht="13.5" customHeight="1">
      <c r="B5" s="3">
        <f t="shared" ref="B5:B277" si="6">B4+1</f>
        <v>2</v>
      </c>
      <c r="C5" s="3" t="s">
        <v>92</v>
      </c>
      <c r="D5" s="3" t="s">
        <v>58</v>
      </c>
      <c r="E5" s="3" t="s">
        <v>139</v>
      </c>
      <c r="F5" s="3" t="s">
        <v>70</v>
      </c>
      <c r="G5" s="3" t="s">
        <v>12</v>
      </c>
      <c r="H5" s="3" t="s">
        <v>144</v>
      </c>
      <c r="I5" s="48">
        <v>0.125</v>
      </c>
      <c r="J5" s="49">
        <v>49395.0</v>
      </c>
      <c r="K5" s="49">
        <v>44327.0</v>
      </c>
      <c r="L5" s="49">
        <v>44333.0</v>
      </c>
      <c r="M5" s="48">
        <f t="shared" si="1"/>
        <v>0.1385949543</v>
      </c>
      <c r="N5" s="54">
        <v>91.68</v>
      </c>
      <c r="O5" s="54">
        <v>2.0E8</v>
      </c>
      <c r="P5" s="84">
        <f t="shared" si="2"/>
        <v>186824673.9</v>
      </c>
      <c r="Q5" s="9">
        <f t="shared" si="3"/>
        <v>183360000</v>
      </c>
      <c r="R5" s="9">
        <f t="shared" si="4"/>
        <v>3464673.913</v>
      </c>
      <c r="S5" s="9"/>
      <c r="T5" s="9">
        <f t="shared" si="5"/>
        <v>186824673.9</v>
      </c>
      <c r="U5" s="9"/>
      <c r="V5" s="9" t="s">
        <v>143</v>
      </c>
      <c r="W5" s="9"/>
      <c r="X5" s="3"/>
      <c r="Y5" s="9"/>
      <c r="Z5" s="9"/>
      <c r="AA5" s="3"/>
    </row>
    <row r="6" ht="13.5" customHeight="1">
      <c r="B6" s="3">
        <f t="shared" si="6"/>
        <v>3</v>
      </c>
      <c r="C6" s="3" t="s">
        <v>93</v>
      </c>
      <c r="D6" s="3" t="s">
        <v>58</v>
      </c>
      <c r="E6" s="3" t="s">
        <v>139</v>
      </c>
      <c r="F6" s="3" t="s">
        <v>70</v>
      </c>
      <c r="G6" s="3" t="s">
        <v>12</v>
      </c>
      <c r="H6" s="3" t="s">
        <v>145</v>
      </c>
      <c r="I6" s="48">
        <v>0.098</v>
      </c>
      <c r="J6" s="49">
        <v>53167.0</v>
      </c>
      <c r="K6" s="49">
        <v>44334.0</v>
      </c>
      <c r="L6" s="49">
        <v>44336.0</v>
      </c>
      <c r="M6" s="48">
        <f t="shared" ref="M6:M8" si="7">YIELD(L6,J6,I6,N6,100,2,1)</f>
        <v>0.1399994984</v>
      </c>
      <c r="N6" s="54">
        <v>71.1</v>
      </c>
      <c r="O6" s="54">
        <v>2.0E8</v>
      </c>
      <c r="P6" s="84">
        <f t="shared" si="2"/>
        <v>148480663</v>
      </c>
      <c r="Q6" s="9">
        <f t="shared" si="3"/>
        <v>142200000</v>
      </c>
      <c r="R6" s="9">
        <f t="shared" si="4"/>
        <v>6280662.983</v>
      </c>
      <c r="S6" s="9"/>
      <c r="T6" s="9">
        <f t="shared" si="5"/>
        <v>148480663</v>
      </c>
      <c r="U6" s="9"/>
      <c r="V6" s="9" t="s">
        <v>143</v>
      </c>
      <c r="W6" s="9"/>
      <c r="X6" s="3"/>
      <c r="Y6" s="9"/>
      <c r="Z6" s="3"/>
      <c r="AA6" s="3"/>
    </row>
    <row r="7" ht="13.5" customHeight="1">
      <c r="B7" s="3">
        <f t="shared" si="6"/>
        <v>4</v>
      </c>
      <c r="C7" s="3" t="s">
        <v>92</v>
      </c>
      <c r="D7" s="3" t="s">
        <v>58</v>
      </c>
      <c r="E7" s="3" t="s">
        <v>139</v>
      </c>
      <c r="F7" s="3" t="s">
        <v>70</v>
      </c>
      <c r="G7" s="3" t="s">
        <v>12</v>
      </c>
      <c r="H7" s="3" t="s">
        <v>146</v>
      </c>
      <c r="I7" s="48">
        <v>0.162884</v>
      </c>
      <c r="J7" s="49">
        <v>46463.0</v>
      </c>
      <c r="K7" s="49">
        <v>44337.0</v>
      </c>
      <c r="L7" s="49">
        <v>44341.0</v>
      </c>
      <c r="M7" s="48">
        <f t="shared" si="7"/>
        <v>0.1309941755</v>
      </c>
      <c r="N7" s="54">
        <v>112.64</v>
      </c>
      <c r="O7" s="54">
        <v>1.0E8</v>
      </c>
      <c r="P7" s="84">
        <f t="shared" si="2"/>
        <v>115694075</v>
      </c>
      <c r="Q7" s="9">
        <f t="shared" si="3"/>
        <v>112640000</v>
      </c>
      <c r="R7" s="9">
        <f t="shared" si="4"/>
        <v>3054075</v>
      </c>
      <c r="S7" s="9"/>
      <c r="T7" s="9">
        <f t="shared" si="5"/>
        <v>115694075</v>
      </c>
      <c r="U7" s="9"/>
      <c r="V7" s="9" t="s">
        <v>143</v>
      </c>
      <c r="W7" s="9"/>
      <c r="X7" s="3"/>
      <c r="Y7" s="9"/>
      <c r="Z7" s="3"/>
      <c r="AA7" s="3"/>
    </row>
    <row r="8" ht="13.5" customHeight="1">
      <c r="B8" s="3">
        <f t="shared" si="6"/>
        <v>5</v>
      </c>
      <c r="C8" s="3" t="s">
        <v>93</v>
      </c>
      <c r="D8" s="3" t="s">
        <v>58</v>
      </c>
      <c r="E8" s="3" t="s">
        <v>139</v>
      </c>
      <c r="F8" s="3" t="s">
        <v>70</v>
      </c>
      <c r="G8" s="3" t="s">
        <v>12</v>
      </c>
      <c r="H8" s="3" t="s">
        <v>147</v>
      </c>
      <c r="I8" s="48">
        <v>0.148</v>
      </c>
      <c r="J8" s="49">
        <v>54539.0</v>
      </c>
      <c r="K8" s="49">
        <v>44347.0</v>
      </c>
      <c r="L8" s="49">
        <v>44349.0</v>
      </c>
      <c r="M8" s="48">
        <f t="shared" si="7"/>
        <v>0.1398003476</v>
      </c>
      <c r="N8" s="54">
        <v>105.69</v>
      </c>
      <c r="O8" s="54">
        <v>5.0E8</v>
      </c>
      <c r="P8" s="84">
        <f t="shared" si="2"/>
        <v>535930874.3</v>
      </c>
      <c r="Q8" s="9">
        <f t="shared" si="3"/>
        <v>528450000</v>
      </c>
      <c r="R8" s="9">
        <f t="shared" si="4"/>
        <v>7480874.317</v>
      </c>
      <c r="S8" s="9"/>
      <c r="T8" s="9">
        <f t="shared" si="5"/>
        <v>535930874.3</v>
      </c>
      <c r="U8" s="9"/>
      <c r="V8" s="9" t="s">
        <v>143</v>
      </c>
      <c r="W8" s="9"/>
      <c r="X8" s="3"/>
      <c r="Y8" s="9"/>
      <c r="Z8" s="3"/>
      <c r="AA8" s="3"/>
    </row>
    <row r="9" ht="13.5" customHeight="1">
      <c r="B9" s="3">
        <f t="shared" si="6"/>
        <v>6</v>
      </c>
      <c r="C9" s="3" t="s">
        <v>92</v>
      </c>
      <c r="D9" s="3" t="s">
        <v>58</v>
      </c>
      <c r="E9" s="3" t="s">
        <v>139</v>
      </c>
      <c r="F9" s="3" t="s">
        <v>70</v>
      </c>
      <c r="G9" s="3" t="s">
        <v>12</v>
      </c>
      <c r="H9" s="3" t="s">
        <v>144</v>
      </c>
      <c r="I9" s="48">
        <v>0.125</v>
      </c>
      <c r="J9" s="49">
        <v>49395.0</v>
      </c>
      <c r="K9" s="49">
        <v>44348.0</v>
      </c>
      <c r="L9" s="49">
        <f>K9+2</f>
        <v>44350</v>
      </c>
      <c r="M9" s="48">
        <f t="shared" ref="M9:M11" si="8">IFERROR(YIELD(L9,J9,I9,N9,100,2,1),"")</f>
        <v>0.1381959545</v>
      </c>
      <c r="N9" s="54">
        <v>91.91</v>
      </c>
      <c r="O9" s="54">
        <v>1.0E8</v>
      </c>
      <c r="P9" s="84">
        <f t="shared" si="2"/>
        <v>94219782.61</v>
      </c>
      <c r="Q9" s="9">
        <f t="shared" si="3"/>
        <v>91910000</v>
      </c>
      <c r="R9" s="9">
        <f t="shared" si="4"/>
        <v>2309782.609</v>
      </c>
      <c r="S9" s="9"/>
      <c r="T9" s="9">
        <f t="shared" si="5"/>
        <v>94219782.61</v>
      </c>
      <c r="U9" s="9"/>
      <c r="V9" s="9" t="s">
        <v>143</v>
      </c>
      <c r="W9" s="9"/>
      <c r="X9" s="3"/>
      <c r="Y9" s="9"/>
      <c r="Z9" s="9"/>
      <c r="AA9" s="3"/>
    </row>
    <row r="10" ht="13.5" customHeight="1">
      <c r="B10" s="3">
        <f t="shared" si="6"/>
        <v>7</v>
      </c>
      <c r="C10" s="3" t="s">
        <v>92</v>
      </c>
      <c r="D10" s="3" t="s">
        <v>58</v>
      </c>
      <c r="E10" s="3" t="s">
        <v>139</v>
      </c>
      <c r="F10" s="3" t="s">
        <v>70</v>
      </c>
      <c r="G10" s="3" t="s">
        <v>12</v>
      </c>
      <c r="H10" s="3" t="s">
        <v>150</v>
      </c>
      <c r="I10" s="48">
        <v>0.1298</v>
      </c>
      <c r="J10" s="49">
        <v>54874.0</v>
      </c>
      <c r="K10" s="49">
        <v>44348.0</v>
      </c>
      <c r="L10" s="49">
        <v>44350.0</v>
      </c>
      <c r="M10" s="48">
        <f t="shared" si="8"/>
        <v>0.139194229</v>
      </c>
      <c r="N10" s="54">
        <v>93.34</v>
      </c>
      <c r="O10" s="54">
        <v>3.0E8</v>
      </c>
      <c r="P10" s="84">
        <f t="shared" si="2"/>
        <v>287215434.8</v>
      </c>
      <c r="Q10" s="9">
        <f t="shared" si="3"/>
        <v>280020000</v>
      </c>
      <c r="R10" s="9">
        <f t="shared" si="4"/>
        <v>7195434.783</v>
      </c>
      <c r="S10" s="9"/>
      <c r="T10" s="9">
        <f t="shared" si="5"/>
        <v>287215434.8</v>
      </c>
      <c r="U10" s="9"/>
      <c r="V10" s="9" t="s">
        <v>143</v>
      </c>
      <c r="W10" s="9"/>
      <c r="X10" s="3"/>
      <c r="Y10" s="9"/>
      <c r="Z10" s="9"/>
      <c r="AA10" s="3"/>
    </row>
    <row r="11" ht="13.5" customHeight="1">
      <c r="B11" s="3">
        <f t="shared" si="6"/>
        <v>8</v>
      </c>
      <c r="C11" s="3" t="s">
        <v>92</v>
      </c>
      <c r="D11" s="3" t="s">
        <v>58</v>
      </c>
      <c r="E11" s="3" t="s">
        <v>139</v>
      </c>
      <c r="F11" s="3" t="s">
        <v>70</v>
      </c>
      <c r="G11" s="3" t="s">
        <v>12</v>
      </c>
      <c r="H11" s="3" t="s">
        <v>150</v>
      </c>
      <c r="I11" s="48">
        <v>0.1298</v>
      </c>
      <c r="J11" s="49">
        <v>54874.0</v>
      </c>
      <c r="K11" s="49">
        <v>44348.0</v>
      </c>
      <c r="L11" s="49">
        <v>44350.0</v>
      </c>
      <c r="M11" s="48">
        <f t="shared" si="8"/>
        <v>0.139194229</v>
      </c>
      <c r="N11" s="54">
        <v>93.34</v>
      </c>
      <c r="O11" s="54">
        <v>2.0E8</v>
      </c>
      <c r="P11" s="84">
        <f t="shared" si="2"/>
        <v>191476956.5</v>
      </c>
      <c r="Q11" s="9">
        <f t="shared" si="3"/>
        <v>186680000</v>
      </c>
      <c r="R11" s="9">
        <f t="shared" si="4"/>
        <v>4796956.522</v>
      </c>
      <c r="S11" s="9"/>
      <c r="T11" s="9">
        <f t="shared" si="5"/>
        <v>191476956.5</v>
      </c>
      <c r="U11" s="9"/>
      <c r="V11" s="9" t="s">
        <v>143</v>
      </c>
      <c r="W11" s="9"/>
      <c r="X11" s="3"/>
      <c r="Y11" s="9"/>
      <c r="Z11" s="9"/>
      <c r="AA11" s="3"/>
    </row>
    <row r="12" ht="13.5" customHeight="1">
      <c r="B12" s="3">
        <f t="shared" si="6"/>
        <v>9</v>
      </c>
      <c r="C12" s="3" t="s">
        <v>93</v>
      </c>
      <c r="D12" s="3" t="s">
        <v>58</v>
      </c>
      <c r="E12" s="3" t="s">
        <v>139</v>
      </c>
      <c r="F12" s="3" t="s">
        <v>70</v>
      </c>
      <c r="G12" s="3" t="s">
        <v>12</v>
      </c>
      <c r="H12" s="3" t="s">
        <v>147</v>
      </c>
      <c r="I12" s="48">
        <v>0.148</v>
      </c>
      <c r="J12" s="49">
        <v>54539.0</v>
      </c>
      <c r="K12" s="49">
        <v>44344.0</v>
      </c>
      <c r="L12" s="49">
        <v>44351.0</v>
      </c>
      <c r="M12" s="48">
        <f t="shared" ref="M12:M13" si="9">YIELD(L12,J12,I12,N12,100,2,1)</f>
        <v>0.140302018</v>
      </c>
      <c r="N12" s="54">
        <v>105.32</v>
      </c>
      <c r="O12" s="54">
        <v>5.0E8</v>
      </c>
      <c r="P12" s="84">
        <f t="shared" si="2"/>
        <v>534485245.9</v>
      </c>
      <c r="Q12" s="9">
        <f t="shared" si="3"/>
        <v>526600000</v>
      </c>
      <c r="R12" s="9">
        <f t="shared" si="4"/>
        <v>7885245.902</v>
      </c>
      <c r="S12" s="9"/>
      <c r="T12" s="9">
        <f t="shared" si="5"/>
        <v>534485245.9</v>
      </c>
      <c r="U12" s="9"/>
      <c r="V12" s="9" t="s">
        <v>143</v>
      </c>
      <c r="W12" s="9"/>
      <c r="X12" s="3"/>
      <c r="Y12" s="9"/>
      <c r="Z12" s="9"/>
      <c r="AA12" s="3"/>
    </row>
    <row r="13" ht="13.5" customHeight="1">
      <c r="B13" s="3">
        <f t="shared" si="6"/>
        <v>10</v>
      </c>
      <c r="C13" s="3" t="s">
        <v>93</v>
      </c>
      <c r="D13" s="3" t="s">
        <v>58</v>
      </c>
      <c r="E13" s="3" t="s">
        <v>139</v>
      </c>
      <c r="F13" s="3" t="s">
        <v>70</v>
      </c>
      <c r="G13" s="3" t="s">
        <v>12</v>
      </c>
      <c r="H13" s="3" t="s">
        <v>147</v>
      </c>
      <c r="I13" s="48">
        <v>0.148</v>
      </c>
      <c r="J13" s="49">
        <v>54539.0</v>
      </c>
      <c r="K13" s="49">
        <v>44347.0</v>
      </c>
      <c r="L13" s="49">
        <v>44351.0</v>
      </c>
      <c r="M13" s="48">
        <f t="shared" si="9"/>
        <v>0.139798044</v>
      </c>
      <c r="N13" s="54">
        <v>105.69</v>
      </c>
      <c r="O13" s="54">
        <v>3.0E8</v>
      </c>
      <c r="P13" s="84">
        <f t="shared" si="2"/>
        <v>321801147.5</v>
      </c>
      <c r="Q13" s="9">
        <f t="shared" si="3"/>
        <v>317070000</v>
      </c>
      <c r="R13" s="9">
        <f t="shared" si="4"/>
        <v>4731147.541</v>
      </c>
      <c r="S13" s="9"/>
      <c r="T13" s="9">
        <f t="shared" si="5"/>
        <v>321801147.5</v>
      </c>
      <c r="U13" s="9"/>
      <c r="V13" s="9" t="s">
        <v>143</v>
      </c>
      <c r="W13" s="9"/>
      <c r="X13" s="3"/>
      <c r="Y13" s="9"/>
      <c r="Z13" s="3"/>
      <c r="AA13" s="3"/>
    </row>
    <row r="14" ht="13.5" customHeight="1">
      <c r="B14" s="3">
        <f t="shared" si="6"/>
        <v>11</v>
      </c>
      <c r="C14" s="3" t="s">
        <v>93</v>
      </c>
      <c r="D14" s="3" t="s">
        <v>58</v>
      </c>
      <c r="E14" s="3" t="s">
        <v>139</v>
      </c>
      <c r="F14" s="3" t="s">
        <v>70</v>
      </c>
      <c r="G14" s="3" t="s">
        <v>12</v>
      </c>
      <c r="H14" s="3" t="s">
        <v>150</v>
      </c>
      <c r="I14" s="48">
        <v>0.1298</v>
      </c>
      <c r="J14" s="49">
        <v>54874.0</v>
      </c>
      <c r="K14" s="49">
        <v>44348.0</v>
      </c>
      <c r="L14" s="49">
        <v>44354.0</v>
      </c>
      <c r="M14" s="48">
        <f t="shared" ref="M14:M81" si="10">IFERROR(YIELD(L14,J14,I14,N14,100,2,1),"")</f>
        <v>0.1392988922</v>
      </c>
      <c r="N14" s="54">
        <v>93.27</v>
      </c>
      <c r="O14" s="54">
        <v>3.0E8</v>
      </c>
      <c r="P14" s="84">
        <f t="shared" si="2"/>
        <v>287428695.7</v>
      </c>
      <c r="Q14" s="9">
        <f t="shared" si="3"/>
        <v>279810000</v>
      </c>
      <c r="R14" s="9">
        <f t="shared" si="4"/>
        <v>7618695.652</v>
      </c>
      <c r="S14" s="9"/>
      <c r="T14" s="9">
        <f t="shared" si="5"/>
        <v>287428695.7</v>
      </c>
      <c r="U14" s="9"/>
      <c r="V14" s="9" t="s">
        <v>143</v>
      </c>
      <c r="W14" s="9"/>
      <c r="X14" s="3"/>
      <c r="Y14" s="9"/>
      <c r="Z14" s="9"/>
      <c r="AA14" s="3"/>
    </row>
    <row r="15" ht="13.5" customHeight="1">
      <c r="B15" s="3">
        <f t="shared" si="6"/>
        <v>12</v>
      </c>
      <c r="C15" s="3" t="s">
        <v>95</v>
      </c>
      <c r="D15" s="3" t="s">
        <v>58</v>
      </c>
      <c r="E15" s="3" t="s">
        <v>139</v>
      </c>
      <c r="F15" s="3" t="s">
        <v>70</v>
      </c>
      <c r="G15" s="3" t="s">
        <v>12</v>
      </c>
      <c r="H15" s="3" t="s">
        <v>150</v>
      </c>
      <c r="I15" s="48">
        <v>0.1298</v>
      </c>
      <c r="J15" s="49">
        <v>54874.0</v>
      </c>
      <c r="K15" s="49">
        <v>44371.0</v>
      </c>
      <c r="L15" s="49">
        <v>44372.0</v>
      </c>
      <c r="M15" s="48">
        <f t="shared" si="10"/>
        <v>0.137</v>
      </c>
      <c r="N15" s="54">
        <v>94.8071680713</v>
      </c>
      <c r="O15" s="54">
        <v>1.0E9</v>
      </c>
      <c r="P15" s="84">
        <f t="shared" si="2"/>
        <v>979816245.9</v>
      </c>
      <c r="Q15" s="9">
        <f t="shared" si="3"/>
        <v>948071680.7</v>
      </c>
      <c r="R15" s="9">
        <f t="shared" si="4"/>
        <v>31744565.22</v>
      </c>
      <c r="S15" s="9"/>
      <c r="T15" s="9">
        <f t="shared" si="5"/>
        <v>979816245.9</v>
      </c>
      <c r="U15" s="9"/>
      <c r="V15" s="9" t="s">
        <v>143</v>
      </c>
      <c r="W15" s="9"/>
      <c r="X15" s="3"/>
      <c r="Y15" s="9"/>
      <c r="Z15" s="9"/>
      <c r="AA15" s="3"/>
    </row>
    <row r="16" ht="13.5" customHeight="1">
      <c r="B16" s="3">
        <f t="shared" si="6"/>
        <v>13</v>
      </c>
      <c r="C16" s="3" t="s">
        <v>96</v>
      </c>
      <c r="D16" s="3" t="s">
        <v>58</v>
      </c>
      <c r="E16" s="3" t="s">
        <v>139</v>
      </c>
      <c r="F16" s="3" t="s">
        <v>70</v>
      </c>
      <c r="G16" s="3" t="s">
        <v>12</v>
      </c>
      <c r="H16" s="3" t="s">
        <v>150</v>
      </c>
      <c r="I16" s="48">
        <v>0.1298</v>
      </c>
      <c r="J16" s="49">
        <v>54874.0</v>
      </c>
      <c r="K16" s="49">
        <v>44378.0</v>
      </c>
      <c r="L16" s="49">
        <v>44382.0</v>
      </c>
      <c r="M16" s="48">
        <f t="shared" si="10"/>
        <v>0.1300000497</v>
      </c>
      <c r="N16" s="54">
        <v>99.7995</v>
      </c>
      <c r="O16" s="54">
        <v>5.0E8</v>
      </c>
      <c r="P16" s="84">
        <f t="shared" si="2"/>
        <v>516633369.6</v>
      </c>
      <c r="Q16" s="9">
        <f t="shared" si="3"/>
        <v>498997500</v>
      </c>
      <c r="R16" s="9">
        <f t="shared" si="4"/>
        <v>17635869.57</v>
      </c>
      <c r="S16" s="9"/>
      <c r="T16" s="9">
        <f t="shared" si="5"/>
        <v>516633369.6</v>
      </c>
      <c r="U16" s="9"/>
      <c r="V16" s="9" t="s">
        <v>143</v>
      </c>
      <c r="W16" s="9"/>
      <c r="X16" s="3"/>
      <c r="Y16" s="9"/>
      <c r="Z16" s="9"/>
      <c r="AA16" s="3"/>
    </row>
    <row r="17" ht="13.5" customHeight="1">
      <c r="B17" s="3">
        <f t="shared" si="6"/>
        <v>14</v>
      </c>
      <c r="C17" s="3" t="s">
        <v>93</v>
      </c>
      <c r="D17" s="3" t="s">
        <v>58</v>
      </c>
      <c r="E17" s="3" t="s">
        <v>139</v>
      </c>
      <c r="F17" s="3" t="s">
        <v>70</v>
      </c>
      <c r="G17" s="3" t="s">
        <v>12</v>
      </c>
      <c r="H17" s="3" t="s">
        <v>150</v>
      </c>
      <c r="I17" s="48">
        <v>0.1298</v>
      </c>
      <c r="J17" s="49">
        <v>54874.0</v>
      </c>
      <c r="K17" s="49">
        <v>44379.0</v>
      </c>
      <c r="L17" s="49">
        <v>44383.0</v>
      </c>
      <c r="M17" s="48">
        <f t="shared" si="10"/>
        <v>0.1299995127</v>
      </c>
      <c r="N17" s="54">
        <v>99.8</v>
      </c>
      <c r="O17" s="54">
        <v>1.5E9</v>
      </c>
      <c r="P17" s="84">
        <f t="shared" si="2"/>
        <v>1550436685</v>
      </c>
      <c r="Q17" s="9">
        <f t="shared" si="3"/>
        <v>1497000000</v>
      </c>
      <c r="R17" s="9">
        <f t="shared" si="4"/>
        <v>53436684.78</v>
      </c>
      <c r="S17" s="9"/>
      <c r="T17" s="9">
        <f t="shared" si="5"/>
        <v>1550436685</v>
      </c>
      <c r="U17" s="9"/>
      <c r="V17" s="9" t="s">
        <v>143</v>
      </c>
      <c r="W17" s="9"/>
      <c r="X17" s="3"/>
      <c r="Y17" s="9"/>
      <c r="Z17" s="9"/>
      <c r="AA17" s="3"/>
    </row>
    <row r="18" ht="13.5" customHeight="1">
      <c r="B18" s="3">
        <f t="shared" si="6"/>
        <v>15</v>
      </c>
      <c r="C18" s="3" t="s">
        <v>93</v>
      </c>
      <c r="D18" s="3" t="s">
        <v>58</v>
      </c>
      <c r="E18" s="3" t="s">
        <v>139</v>
      </c>
      <c r="F18" s="3" t="s">
        <v>70</v>
      </c>
      <c r="G18" s="3" t="s">
        <v>14</v>
      </c>
      <c r="H18" s="3" t="s">
        <v>147</v>
      </c>
      <c r="I18" s="48">
        <v>0.148</v>
      </c>
      <c r="J18" s="49">
        <v>54539.0</v>
      </c>
      <c r="K18" s="49">
        <v>44382.0</v>
      </c>
      <c r="L18" s="49">
        <v>44383.0</v>
      </c>
      <c r="M18" s="48">
        <f t="shared" si="10"/>
        <v>0.1300044626</v>
      </c>
      <c r="N18" s="54">
        <v>113.37</v>
      </c>
      <c r="O18" s="54">
        <v>7.0E8</v>
      </c>
      <c r="P18" s="84">
        <f t="shared" si="2"/>
        <v>813687267.8</v>
      </c>
      <c r="Q18" s="9">
        <f t="shared" si="3"/>
        <v>793590000</v>
      </c>
      <c r="R18" s="9">
        <f t="shared" si="4"/>
        <v>20097267.76</v>
      </c>
      <c r="S18" s="9"/>
      <c r="T18" s="9">
        <f t="shared" si="5"/>
        <v>813687267.8</v>
      </c>
      <c r="U18" s="9"/>
      <c r="V18" s="9" t="s">
        <v>143</v>
      </c>
      <c r="W18" s="9"/>
      <c r="X18" s="3"/>
      <c r="Y18" s="9"/>
      <c r="Z18" s="9"/>
      <c r="AA18" s="3"/>
    </row>
    <row r="19" ht="13.5" customHeight="1">
      <c r="B19" s="3">
        <f t="shared" si="6"/>
        <v>16</v>
      </c>
      <c r="C19" s="3" t="s">
        <v>93</v>
      </c>
      <c r="D19" s="3" t="s">
        <v>58</v>
      </c>
      <c r="E19" s="3" t="s">
        <v>139</v>
      </c>
      <c r="F19" s="3" t="s">
        <v>70</v>
      </c>
      <c r="G19" s="3" t="s">
        <v>14</v>
      </c>
      <c r="H19" s="3" t="s">
        <v>144</v>
      </c>
      <c r="I19" s="48">
        <v>0.125</v>
      </c>
      <c r="J19" s="49">
        <v>49395.0</v>
      </c>
      <c r="K19" s="49">
        <v>44382.0</v>
      </c>
      <c r="L19" s="49">
        <v>44383.0</v>
      </c>
      <c r="M19" s="48">
        <f t="shared" si="10"/>
        <v>0.1294956871</v>
      </c>
      <c r="N19" s="54">
        <v>97.1</v>
      </c>
      <c r="O19" s="54">
        <v>1.0E8</v>
      </c>
      <c r="P19" s="84">
        <f t="shared" si="2"/>
        <v>100530706.5</v>
      </c>
      <c r="Q19" s="9">
        <f t="shared" si="3"/>
        <v>97100000</v>
      </c>
      <c r="R19" s="9">
        <f t="shared" si="4"/>
        <v>3430706.522</v>
      </c>
      <c r="S19" s="9"/>
      <c r="T19" s="9">
        <f t="shared" si="5"/>
        <v>100530706.5</v>
      </c>
      <c r="U19" s="9"/>
      <c r="V19" s="9" t="s">
        <v>143</v>
      </c>
      <c r="W19" s="9"/>
      <c r="X19" s="3"/>
      <c r="Y19" s="9"/>
      <c r="Z19" s="9"/>
      <c r="AA19" s="3"/>
    </row>
    <row r="20" ht="13.5" customHeight="1">
      <c r="B20" s="3">
        <f t="shared" si="6"/>
        <v>17</v>
      </c>
      <c r="C20" s="3" t="s">
        <v>93</v>
      </c>
      <c r="D20" s="3" t="s">
        <v>58</v>
      </c>
      <c r="E20" s="3" t="s">
        <v>139</v>
      </c>
      <c r="F20" s="3" t="s">
        <v>70</v>
      </c>
      <c r="G20" s="3" t="s">
        <v>14</v>
      </c>
      <c r="H20" s="3" t="s">
        <v>144</v>
      </c>
      <c r="I20" s="48">
        <v>0.125</v>
      </c>
      <c r="J20" s="49">
        <v>49395.0</v>
      </c>
      <c r="K20" s="49">
        <v>44382.0</v>
      </c>
      <c r="L20" s="49">
        <v>44383.0</v>
      </c>
      <c r="M20" s="48">
        <f t="shared" si="10"/>
        <v>0.1294956871</v>
      </c>
      <c r="N20" s="54">
        <v>97.1</v>
      </c>
      <c r="O20" s="54">
        <v>2.0E8</v>
      </c>
      <c r="P20" s="84">
        <f t="shared" si="2"/>
        <v>201061413</v>
      </c>
      <c r="Q20" s="9">
        <f t="shared" si="3"/>
        <v>194200000</v>
      </c>
      <c r="R20" s="9">
        <f t="shared" si="4"/>
        <v>6861413.043</v>
      </c>
      <c r="S20" s="9"/>
      <c r="T20" s="9">
        <f t="shared" si="5"/>
        <v>201061413</v>
      </c>
      <c r="U20" s="9"/>
      <c r="V20" s="9" t="s">
        <v>143</v>
      </c>
      <c r="W20" s="9"/>
      <c r="X20" s="3"/>
      <c r="Y20" s="9"/>
      <c r="Z20" s="9"/>
      <c r="AA20" s="3"/>
    </row>
    <row r="21" ht="13.5" customHeight="1">
      <c r="B21" s="3">
        <f t="shared" si="6"/>
        <v>18</v>
      </c>
      <c r="C21" s="3" t="s">
        <v>96</v>
      </c>
      <c r="D21" s="3" t="s">
        <v>58</v>
      </c>
      <c r="E21" s="3" t="s">
        <v>139</v>
      </c>
      <c r="F21" s="3" t="s">
        <v>70</v>
      </c>
      <c r="G21" s="3" t="s">
        <v>12</v>
      </c>
      <c r="H21" s="3" t="s">
        <v>150</v>
      </c>
      <c r="I21" s="48">
        <v>0.1298</v>
      </c>
      <c r="J21" s="49">
        <v>54874.0</v>
      </c>
      <c r="K21" s="49">
        <v>44378.0</v>
      </c>
      <c r="L21" s="49">
        <v>44383.0</v>
      </c>
      <c r="M21" s="48">
        <f t="shared" si="10"/>
        <v>0.1300000475</v>
      </c>
      <c r="N21" s="54">
        <v>99.7996</v>
      </c>
      <c r="O21" s="54">
        <v>1.2E9</v>
      </c>
      <c r="P21" s="84">
        <f t="shared" si="2"/>
        <v>1240344548</v>
      </c>
      <c r="Q21" s="9">
        <f t="shared" si="3"/>
        <v>1197595200</v>
      </c>
      <c r="R21" s="9">
        <f t="shared" si="4"/>
        <v>42749347.83</v>
      </c>
      <c r="S21" s="9"/>
      <c r="T21" s="9">
        <f t="shared" si="5"/>
        <v>1240344548</v>
      </c>
      <c r="U21" s="9"/>
      <c r="V21" s="9" t="s">
        <v>143</v>
      </c>
      <c r="W21" s="9"/>
      <c r="X21" s="3"/>
      <c r="Y21" s="9"/>
      <c r="Z21" s="9"/>
      <c r="AA21" s="3"/>
    </row>
    <row r="22" ht="13.5" customHeight="1">
      <c r="B22" s="3">
        <f t="shared" si="6"/>
        <v>19</v>
      </c>
      <c r="C22" s="95" t="s">
        <v>83</v>
      </c>
      <c r="D22" s="95" t="s">
        <v>58</v>
      </c>
      <c r="E22" s="95" t="s">
        <v>74</v>
      </c>
      <c r="F22" s="95" t="s">
        <v>70</v>
      </c>
      <c r="G22" s="95" t="s">
        <v>12</v>
      </c>
      <c r="H22" s="95" t="s">
        <v>150</v>
      </c>
      <c r="I22" s="96">
        <v>0.1298</v>
      </c>
      <c r="J22" s="97">
        <v>54874.0</v>
      </c>
      <c r="K22" s="97">
        <v>44426.0</v>
      </c>
      <c r="L22" s="97">
        <f>K22+2</f>
        <v>44428</v>
      </c>
      <c r="M22" s="96">
        <f t="shared" si="10"/>
        <v>0.128</v>
      </c>
      <c r="N22" s="99">
        <v>101.3326222759</v>
      </c>
      <c r="O22" s="99">
        <v>9.0E8</v>
      </c>
      <c r="P22" s="101">
        <f t="shared" si="2"/>
        <v>958340665.7</v>
      </c>
      <c r="Q22" s="101">
        <f t="shared" si="3"/>
        <v>911993600.5</v>
      </c>
      <c r="R22" s="101">
        <f t="shared" si="4"/>
        <v>46347065.22</v>
      </c>
      <c r="S22" s="101"/>
      <c r="T22" s="101">
        <f t="shared" si="5"/>
        <v>958340665.7</v>
      </c>
      <c r="U22" s="101"/>
      <c r="V22" s="101" t="s">
        <v>143</v>
      </c>
      <c r="W22" s="102"/>
      <c r="X22" s="102"/>
      <c r="Y22" s="102"/>
      <c r="Z22" s="102"/>
      <c r="AA22" s="102"/>
    </row>
    <row r="23" ht="13.5" customHeight="1">
      <c r="B23" s="3">
        <f t="shared" si="6"/>
        <v>20</v>
      </c>
      <c r="C23" s="95" t="s">
        <v>93</v>
      </c>
      <c r="D23" s="95" t="s">
        <v>58</v>
      </c>
      <c r="E23" s="95" t="s">
        <v>74</v>
      </c>
      <c r="F23" s="95" t="s">
        <v>70</v>
      </c>
      <c r="G23" s="95" t="s">
        <v>12</v>
      </c>
      <c r="H23" s="95" t="s">
        <v>150</v>
      </c>
      <c r="I23" s="96">
        <v>0.1298</v>
      </c>
      <c r="J23" s="97">
        <v>54874.0</v>
      </c>
      <c r="K23" s="97">
        <v>44427.0</v>
      </c>
      <c r="L23" s="97">
        <v>44431.0</v>
      </c>
      <c r="M23" s="96">
        <f t="shared" si="10"/>
        <v>0.1275002619</v>
      </c>
      <c r="N23" s="99">
        <v>101.72</v>
      </c>
      <c r="O23" s="99">
        <v>1.0E9</v>
      </c>
      <c r="P23" s="101">
        <f t="shared" si="2"/>
        <v>1069754891</v>
      </c>
      <c r="Q23" s="101">
        <f t="shared" si="3"/>
        <v>1017200000</v>
      </c>
      <c r="R23" s="101">
        <f t="shared" si="4"/>
        <v>52554891.3</v>
      </c>
      <c r="S23" s="101"/>
      <c r="T23" s="101">
        <f t="shared" si="5"/>
        <v>1069754891</v>
      </c>
      <c r="U23" s="101"/>
      <c r="V23" s="101" t="s">
        <v>143</v>
      </c>
      <c r="W23" s="102"/>
      <c r="X23" s="102"/>
      <c r="Y23" s="102"/>
      <c r="Z23" s="102"/>
      <c r="AA23" s="102"/>
    </row>
    <row r="24" ht="13.5" customHeight="1">
      <c r="B24" s="3">
        <f t="shared" si="6"/>
        <v>21</v>
      </c>
      <c r="C24" s="95" t="s">
        <v>98</v>
      </c>
      <c r="D24" s="95" t="s">
        <v>58</v>
      </c>
      <c r="E24" s="95" t="s">
        <v>74</v>
      </c>
      <c r="F24" s="95" t="s">
        <v>70</v>
      </c>
      <c r="G24" s="95" t="s">
        <v>12</v>
      </c>
      <c r="H24" s="95" t="s">
        <v>150</v>
      </c>
      <c r="I24" s="96">
        <v>0.1298</v>
      </c>
      <c r="J24" s="97">
        <v>54874.0</v>
      </c>
      <c r="K24" s="97">
        <v>44427.0</v>
      </c>
      <c r="L24" s="97">
        <v>44428.0</v>
      </c>
      <c r="M24" s="96">
        <f t="shared" si="10"/>
        <v>0.1274977803</v>
      </c>
      <c r="N24" s="103">
        <v>101.72</v>
      </c>
      <c r="O24" s="103">
        <v>5.0E8</v>
      </c>
      <c r="P24" s="101">
        <f t="shared" si="2"/>
        <v>534348369.6</v>
      </c>
      <c r="Q24" s="101">
        <f t="shared" si="3"/>
        <v>508600000</v>
      </c>
      <c r="R24" s="101">
        <f t="shared" si="4"/>
        <v>25748369.57</v>
      </c>
      <c r="S24" s="101"/>
      <c r="T24" s="101">
        <f t="shared" si="5"/>
        <v>534348369.6</v>
      </c>
      <c r="U24" s="101"/>
      <c r="V24" s="101" t="s">
        <v>143</v>
      </c>
      <c r="W24" s="102"/>
      <c r="X24" s="102"/>
      <c r="Y24" s="102"/>
      <c r="Z24" s="102"/>
      <c r="AA24" s="102"/>
    </row>
    <row r="25" ht="13.5" customHeight="1">
      <c r="B25" s="3">
        <f t="shared" si="6"/>
        <v>22</v>
      </c>
      <c r="C25" s="95" t="s">
        <v>98</v>
      </c>
      <c r="D25" s="95" t="s">
        <v>58</v>
      </c>
      <c r="E25" s="95" t="s">
        <v>74</v>
      </c>
      <c r="F25" s="95" t="s">
        <v>70</v>
      </c>
      <c r="G25" s="95" t="s">
        <v>12</v>
      </c>
      <c r="H25" s="95" t="s">
        <v>150</v>
      </c>
      <c r="I25" s="96">
        <v>0.1298</v>
      </c>
      <c r="J25" s="97">
        <v>54874.0</v>
      </c>
      <c r="K25" s="97">
        <v>44427.0</v>
      </c>
      <c r="L25" s="97">
        <v>44428.0</v>
      </c>
      <c r="M25" s="96">
        <f t="shared" si="10"/>
        <v>0.1274977803</v>
      </c>
      <c r="N25" s="103">
        <v>101.72</v>
      </c>
      <c r="O25" s="103">
        <v>2.110615E7</v>
      </c>
      <c r="P25" s="101">
        <f t="shared" si="2"/>
        <v>22556073.68</v>
      </c>
      <c r="Q25" s="101">
        <f t="shared" si="3"/>
        <v>21469175.78</v>
      </c>
      <c r="R25" s="101">
        <f t="shared" si="4"/>
        <v>1086897.901</v>
      </c>
      <c r="S25" s="101"/>
      <c r="T25" s="101">
        <f t="shared" si="5"/>
        <v>22556073.68</v>
      </c>
      <c r="U25" s="101"/>
      <c r="V25" s="101" t="s">
        <v>143</v>
      </c>
      <c r="W25" s="102"/>
      <c r="X25" s="102"/>
      <c r="Y25" s="102"/>
      <c r="Z25" s="102"/>
      <c r="AA25" s="102"/>
    </row>
    <row r="26" ht="13.5" customHeight="1">
      <c r="B26" s="3">
        <f t="shared" si="6"/>
        <v>23</v>
      </c>
      <c r="C26" s="95" t="s">
        <v>98</v>
      </c>
      <c r="D26" s="95" t="s">
        <v>58</v>
      </c>
      <c r="E26" s="95" t="s">
        <v>139</v>
      </c>
      <c r="F26" s="95" t="s">
        <v>70</v>
      </c>
      <c r="G26" s="95" t="s">
        <v>12</v>
      </c>
      <c r="H26" s="95" t="s">
        <v>150</v>
      </c>
      <c r="I26" s="96">
        <v>0.1298</v>
      </c>
      <c r="J26" s="97">
        <v>54874.0</v>
      </c>
      <c r="K26" s="97">
        <v>44427.0</v>
      </c>
      <c r="L26" s="97">
        <v>44428.0</v>
      </c>
      <c r="M26" s="96">
        <f t="shared" si="10"/>
        <v>0.1274977803</v>
      </c>
      <c r="N26" s="103">
        <v>101.72</v>
      </c>
      <c r="O26" s="103">
        <v>2.7889385E8</v>
      </c>
      <c r="P26" s="101">
        <f t="shared" si="2"/>
        <v>298052948.1</v>
      </c>
      <c r="Q26" s="101">
        <f t="shared" si="3"/>
        <v>283690824.2</v>
      </c>
      <c r="R26" s="101">
        <f t="shared" si="4"/>
        <v>14362123.84</v>
      </c>
      <c r="S26" s="101"/>
      <c r="T26" s="101">
        <f t="shared" si="5"/>
        <v>298052948.1</v>
      </c>
      <c r="U26" s="101"/>
      <c r="V26" s="101" t="s">
        <v>143</v>
      </c>
      <c r="W26" s="102"/>
      <c r="X26" s="102"/>
      <c r="Y26" s="102"/>
      <c r="Z26" s="102"/>
      <c r="AA26" s="102"/>
    </row>
    <row r="27" ht="13.5" customHeight="1">
      <c r="B27" s="3">
        <f t="shared" si="6"/>
        <v>24</v>
      </c>
      <c r="C27" s="90" t="s">
        <v>77</v>
      </c>
      <c r="D27" s="90" t="s">
        <v>58</v>
      </c>
      <c r="E27" s="90" t="s">
        <v>139</v>
      </c>
      <c r="F27" s="90" t="s">
        <v>70</v>
      </c>
      <c r="G27" s="90" t="s">
        <v>14</v>
      </c>
      <c r="H27" s="90" t="s">
        <v>150</v>
      </c>
      <c r="I27" s="91">
        <v>0.1298</v>
      </c>
      <c r="J27" s="92">
        <v>54874.0</v>
      </c>
      <c r="K27" s="92">
        <v>44448.0</v>
      </c>
      <c r="L27" s="92">
        <v>44452.0</v>
      </c>
      <c r="M27" s="91">
        <f t="shared" si="10"/>
        <v>0.1311955052</v>
      </c>
      <c r="N27" s="94">
        <v>98.95</v>
      </c>
      <c r="O27" s="94">
        <v>1.0E9</v>
      </c>
      <c r="P27" s="106">
        <f t="shared" si="2"/>
        <v>1049461957</v>
      </c>
      <c r="Q27" s="93">
        <f t="shared" si="3"/>
        <v>989500000</v>
      </c>
      <c r="R27" s="93">
        <f t="shared" si="4"/>
        <v>59961956.52</v>
      </c>
      <c r="S27" s="93"/>
      <c r="T27" s="93">
        <f t="shared" si="5"/>
        <v>1049461957</v>
      </c>
      <c r="U27" s="107"/>
      <c r="V27" s="93" t="s">
        <v>143</v>
      </c>
      <c r="W27" s="108"/>
      <c r="X27" s="108"/>
      <c r="Y27" s="108"/>
      <c r="Z27" s="108"/>
      <c r="AA27" s="108"/>
    </row>
    <row r="28" ht="13.5" customHeight="1">
      <c r="B28" s="3">
        <f t="shared" si="6"/>
        <v>25</v>
      </c>
      <c r="C28" s="3" t="s">
        <v>77</v>
      </c>
      <c r="D28" s="3" t="s">
        <v>58</v>
      </c>
      <c r="E28" s="3" t="s">
        <v>139</v>
      </c>
      <c r="F28" s="3" t="s">
        <v>70</v>
      </c>
      <c r="G28" s="3" t="s">
        <v>14</v>
      </c>
      <c r="H28" s="3" t="s">
        <v>150</v>
      </c>
      <c r="I28" s="48">
        <v>0.1298</v>
      </c>
      <c r="J28" s="49">
        <v>54874.0</v>
      </c>
      <c r="K28" s="49">
        <v>44448.0</v>
      </c>
      <c r="L28" s="49">
        <v>44452.0</v>
      </c>
      <c r="M28" s="48">
        <f t="shared" si="10"/>
        <v>0.1311955052</v>
      </c>
      <c r="N28" s="98">
        <v>98.95</v>
      </c>
      <c r="O28" s="98">
        <v>5.0E8</v>
      </c>
      <c r="P28" s="84">
        <f t="shared" si="2"/>
        <v>524730978.3</v>
      </c>
      <c r="Q28" s="9">
        <f t="shared" si="3"/>
        <v>494750000</v>
      </c>
      <c r="R28" s="9">
        <f t="shared" si="4"/>
        <v>29980978.26</v>
      </c>
      <c r="S28" s="9"/>
      <c r="T28" s="9">
        <f t="shared" si="5"/>
        <v>524730978.3</v>
      </c>
      <c r="U28" s="62"/>
      <c r="V28" s="9" t="s">
        <v>143</v>
      </c>
      <c r="W28" s="1"/>
      <c r="X28" s="1"/>
      <c r="Y28" s="1"/>
      <c r="Z28" s="1"/>
      <c r="AA28" s="1"/>
    </row>
    <row r="29" ht="13.5" customHeight="1">
      <c r="B29" s="3">
        <f t="shared" si="6"/>
        <v>26</v>
      </c>
      <c r="C29" s="3" t="s">
        <v>77</v>
      </c>
      <c r="D29" s="3" t="s">
        <v>58</v>
      </c>
      <c r="E29" s="3" t="s">
        <v>139</v>
      </c>
      <c r="F29" s="3" t="s">
        <v>70</v>
      </c>
      <c r="G29" s="3" t="s">
        <v>14</v>
      </c>
      <c r="H29" s="3" t="s">
        <v>150</v>
      </c>
      <c r="I29" s="48">
        <v>0.1298</v>
      </c>
      <c r="J29" s="49">
        <v>54874.0</v>
      </c>
      <c r="K29" s="49">
        <v>44448.0</v>
      </c>
      <c r="L29" s="49">
        <v>44452.0</v>
      </c>
      <c r="M29" s="48">
        <f t="shared" si="10"/>
        <v>0.1311955052</v>
      </c>
      <c r="N29" s="98">
        <v>98.95</v>
      </c>
      <c r="O29" s="98">
        <v>2.0E8</v>
      </c>
      <c r="P29" s="84">
        <f t="shared" si="2"/>
        <v>209892391.3</v>
      </c>
      <c r="Q29" s="9">
        <f t="shared" si="3"/>
        <v>197900000</v>
      </c>
      <c r="R29" s="9">
        <f t="shared" si="4"/>
        <v>11992391.3</v>
      </c>
      <c r="S29" s="9"/>
      <c r="T29" s="9">
        <f t="shared" si="5"/>
        <v>209892391.3</v>
      </c>
      <c r="U29" s="62"/>
      <c r="V29" s="9" t="s">
        <v>143</v>
      </c>
      <c r="W29" s="1"/>
      <c r="X29" s="1"/>
      <c r="Y29" s="1"/>
      <c r="Z29" s="1"/>
      <c r="AA29" s="1"/>
    </row>
    <row r="30" ht="13.5" customHeight="1">
      <c r="B30" s="3">
        <f t="shared" si="6"/>
        <v>27</v>
      </c>
      <c r="C30" s="3" t="s">
        <v>77</v>
      </c>
      <c r="D30" s="3" t="s">
        <v>58</v>
      </c>
      <c r="E30" s="3" t="s">
        <v>139</v>
      </c>
      <c r="F30" s="3" t="s">
        <v>70</v>
      </c>
      <c r="G30" s="3" t="s">
        <v>14</v>
      </c>
      <c r="H30" s="3" t="s">
        <v>150</v>
      </c>
      <c r="I30" s="48">
        <v>0.1298</v>
      </c>
      <c r="J30" s="49">
        <v>54874.0</v>
      </c>
      <c r="K30" s="49">
        <v>44448.0</v>
      </c>
      <c r="L30" s="49">
        <v>44453.0</v>
      </c>
      <c r="M30" s="48">
        <f t="shared" si="10"/>
        <v>0.131196829</v>
      </c>
      <c r="N30" s="98">
        <v>98.95</v>
      </c>
      <c r="O30" s="98">
        <v>5.0E8</v>
      </c>
      <c r="P30" s="84">
        <f t="shared" si="2"/>
        <v>524907337</v>
      </c>
      <c r="Q30" s="9">
        <f t="shared" si="3"/>
        <v>494750000</v>
      </c>
      <c r="R30" s="9">
        <f t="shared" si="4"/>
        <v>30157336.96</v>
      </c>
      <c r="S30" s="9"/>
      <c r="T30" s="9">
        <f t="shared" si="5"/>
        <v>524907337</v>
      </c>
      <c r="U30" s="62"/>
      <c r="V30" s="9" t="s">
        <v>143</v>
      </c>
      <c r="W30" s="1"/>
      <c r="X30" s="1"/>
      <c r="Y30" s="1"/>
      <c r="Z30" s="1"/>
      <c r="AA30" s="1"/>
    </row>
    <row r="31" ht="13.5" customHeight="1">
      <c r="B31" s="3">
        <f t="shared" si="6"/>
        <v>28</v>
      </c>
      <c r="C31" s="3" t="s">
        <v>77</v>
      </c>
      <c r="D31" s="3" t="s">
        <v>58</v>
      </c>
      <c r="E31" s="3" t="s">
        <v>139</v>
      </c>
      <c r="F31" s="3" t="s">
        <v>70</v>
      </c>
      <c r="G31" s="3" t="s">
        <v>14</v>
      </c>
      <c r="H31" s="3" t="s">
        <v>150</v>
      </c>
      <c r="I31" s="48">
        <v>0.1298</v>
      </c>
      <c r="J31" s="49">
        <v>54874.0</v>
      </c>
      <c r="K31" s="49">
        <v>44448.0</v>
      </c>
      <c r="L31" s="49">
        <v>44452.0</v>
      </c>
      <c r="M31" s="48">
        <f t="shared" si="10"/>
        <v>0.1311955052</v>
      </c>
      <c r="N31" s="98">
        <v>98.95</v>
      </c>
      <c r="O31" s="98">
        <v>3.0E8</v>
      </c>
      <c r="P31" s="84">
        <f t="shared" si="2"/>
        <v>314838587</v>
      </c>
      <c r="Q31" s="9">
        <f t="shared" si="3"/>
        <v>296850000</v>
      </c>
      <c r="R31" s="9">
        <f t="shared" si="4"/>
        <v>17988586.96</v>
      </c>
      <c r="S31" s="9"/>
      <c r="T31" s="9">
        <f t="shared" si="5"/>
        <v>314838587</v>
      </c>
      <c r="U31" s="62"/>
      <c r="V31" s="9" t="s">
        <v>62</v>
      </c>
      <c r="W31" s="1"/>
      <c r="X31" s="1"/>
      <c r="Y31" s="1"/>
      <c r="Z31" s="1"/>
      <c r="AA31" s="1"/>
    </row>
    <row r="32" ht="13.5" customHeight="1">
      <c r="B32" s="3">
        <f t="shared" si="6"/>
        <v>29</v>
      </c>
      <c r="C32" s="3" t="s">
        <v>77</v>
      </c>
      <c r="D32" s="3" t="s">
        <v>58</v>
      </c>
      <c r="E32" s="3" t="s">
        <v>139</v>
      </c>
      <c r="F32" s="3" t="s">
        <v>70</v>
      </c>
      <c r="G32" s="3" t="s">
        <v>14</v>
      </c>
      <c r="H32" s="3" t="s">
        <v>147</v>
      </c>
      <c r="I32" s="48">
        <v>0.148</v>
      </c>
      <c r="J32" s="49">
        <v>54539.0</v>
      </c>
      <c r="K32" s="49">
        <v>44453.0</v>
      </c>
      <c r="L32" s="49">
        <v>44455.0</v>
      </c>
      <c r="M32" s="48">
        <f t="shared" si="10"/>
        <v>0.1299981373</v>
      </c>
      <c r="N32" s="98">
        <v>113.38</v>
      </c>
      <c r="O32" s="98">
        <v>5.0E8</v>
      </c>
      <c r="P32" s="84">
        <f t="shared" si="2"/>
        <v>595812568.3</v>
      </c>
      <c r="Q32" s="9">
        <f t="shared" si="3"/>
        <v>566900000</v>
      </c>
      <c r="R32" s="9">
        <f t="shared" si="4"/>
        <v>28912568.31</v>
      </c>
      <c r="S32" s="9"/>
      <c r="T32" s="9">
        <f t="shared" si="5"/>
        <v>595812568.3</v>
      </c>
      <c r="U32" s="62"/>
      <c r="V32" s="9" t="s">
        <v>62</v>
      </c>
      <c r="W32" s="1"/>
      <c r="X32" s="1"/>
      <c r="Y32" s="1"/>
      <c r="Z32" s="1"/>
      <c r="AA32" s="1"/>
    </row>
    <row r="33" ht="13.5" customHeight="1">
      <c r="B33" s="3">
        <f t="shared" si="6"/>
        <v>30</v>
      </c>
      <c r="C33" s="3" t="s">
        <v>77</v>
      </c>
      <c r="D33" s="3" t="s">
        <v>58</v>
      </c>
      <c r="E33" s="3" t="s">
        <v>139</v>
      </c>
      <c r="F33" s="3" t="s">
        <v>70</v>
      </c>
      <c r="G33" s="3" t="s">
        <v>14</v>
      </c>
      <c r="H33" s="3" t="s">
        <v>147</v>
      </c>
      <c r="I33" s="48">
        <v>0.148</v>
      </c>
      <c r="J33" s="49">
        <v>54539.0</v>
      </c>
      <c r="K33" s="49">
        <v>44453.0</v>
      </c>
      <c r="L33" s="49">
        <v>44455.0</v>
      </c>
      <c r="M33" s="48">
        <f t="shared" si="10"/>
        <v>0.1299981373</v>
      </c>
      <c r="N33" s="98">
        <v>113.38</v>
      </c>
      <c r="O33" s="98">
        <v>1.0E8</v>
      </c>
      <c r="P33" s="84">
        <f t="shared" si="2"/>
        <v>119162513.7</v>
      </c>
      <c r="Q33" s="9">
        <f t="shared" si="3"/>
        <v>113380000</v>
      </c>
      <c r="R33" s="9">
        <f t="shared" si="4"/>
        <v>5782513.661</v>
      </c>
      <c r="S33" s="9"/>
      <c r="T33" s="9">
        <f t="shared" si="5"/>
        <v>119162513.7</v>
      </c>
      <c r="U33" s="62"/>
      <c r="V33" s="9" t="s">
        <v>62</v>
      </c>
      <c r="W33" s="1"/>
      <c r="X33" s="1"/>
      <c r="Y33" s="1"/>
      <c r="Z33" s="1"/>
      <c r="AA33" s="1"/>
    </row>
    <row r="34" ht="13.5" customHeight="1">
      <c r="B34" s="3">
        <f t="shared" si="6"/>
        <v>31</v>
      </c>
      <c r="C34" s="3" t="s">
        <v>77</v>
      </c>
      <c r="D34" s="3" t="s">
        <v>58</v>
      </c>
      <c r="E34" s="3" t="s">
        <v>139</v>
      </c>
      <c r="F34" s="3" t="s">
        <v>70</v>
      </c>
      <c r="G34" s="3" t="s">
        <v>12</v>
      </c>
      <c r="H34" s="3" t="s">
        <v>161</v>
      </c>
      <c r="I34" s="48">
        <v>0.1398</v>
      </c>
      <c r="J34" s="49">
        <v>46806.0</v>
      </c>
      <c r="K34" s="49">
        <v>44455.0</v>
      </c>
      <c r="L34" s="49">
        <v>44459.0</v>
      </c>
      <c r="M34" s="48">
        <f t="shared" si="10"/>
        <v>0.1151994944</v>
      </c>
      <c r="N34" s="98">
        <v>110.93</v>
      </c>
      <c r="O34" s="98">
        <v>5.0E8</v>
      </c>
      <c r="P34" s="84">
        <f t="shared" si="2"/>
        <v>559968478.3</v>
      </c>
      <c r="Q34" s="9">
        <f t="shared" si="3"/>
        <v>554650000</v>
      </c>
      <c r="R34" s="9">
        <f t="shared" si="4"/>
        <v>5318478.261</v>
      </c>
      <c r="S34" s="9"/>
      <c r="T34" s="9">
        <f t="shared" si="5"/>
        <v>559968478.3</v>
      </c>
      <c r="U34" s="62"/>
      <c r="V34" s="9" t="s">
        <v>62</v>
      </c>
      <c r="W34" s="1"/>
      <c r="X34" s="1"/>
      <c r="Y34" s="1"/>
      <c r="Z34" s="1"/>
      <c r="AA34" s="1"/>
    </row>
    <row r="35" ht="13.5" customHeight="1">
      <c r="B35" s="3">
        <f t="shared" si="6"/>
        <v>32</v>
      </c>
      <c r="C35" s="3" t="s">
        <v>77</v>
      </c>
      <c r="D35" s="3" t="s">
        <v>58</v>
      </c>
      <c r="E35" s="3" t="s">
        <v>139</v>
      </c>
      <c r="F35" s="3" t="s">
        <v>70</v>
      </c>
      <c r="G35" s="3" t="s">
        <v>12</v>
      </c>
      <c r="H35" s="3" t="s">
        <v>161</v>
      </c>
      <c r="I35" s="48">
        <v>0.1398</v>
      </c>
      <c r="J35" s="49">
        <v>46806.0</v>
      </c>
      <c r="K35" s="49">
        <v>44455.0</v>
      </c>
      <c r="L35" s="49">
        <v>44459.0</v>
      </c>
      <c r="M35" s="48">
        <f t="shared" si="10"/>
        <v>0.1151994944</v>
      </c>
      <c r="N35" s="98">
        <v>110.93</v>
      </c>
      <c r="O35" s="98">
        <v>2.0E8</v>
      </c>
      <c r="P35" s="84">
        <f t="shared" si="2"/>
        <v>223987391.3</v>
      </c>
      <c r="Q35" s="9">
        <f t="shared" si="3"/>
        <v>221860000</v>
      </c>
      <c r="R35" s="9">
        <f t="shared" si="4"/>
        <v>2127391.304</v>
      </c>
      <c r="S35" s="9"/>
      <c r="T35" s="9">
        <f t="shared" si="5"/>
        <v>223987391.3</v>
      </c>
      <c r="U35" s="62"/>
      <c r="V35" s="9" t="s">
        <v>62</v>
      </c>
      <c r="W35" s="1"/>
      <c r="X35" s="1"/>
      <c r="Y35" s="1"/>
      <c r="Z35" s="1"/>
      <c r="AA35" s="1"/>
    </row>
    <row r="36" ht="13.5" customHeight="1">
      <c r="B36" s="3">
        <f t="shared" si="6"/>
        <v>33</v>
      </c>
      <c r="C36" s="3" t="s">
        <v>77</v>
      </c>
      <c r="D36" s="3" t="s">
        <v>58</v>
      </c>
      <c r="E36" s="3" t="s">
        <v>139</v>
      </c>
      <c r="F36" s="3" t="s">
        <v>70</v>
      </c>
      <c r="G36" s="3" t="s">
        <v>12</v>
      </c>
      <c r="H36" s="3" t="s">
        <v>161</v>
      </c>
      <c r="I36" s="48">
        <v>0.1398</v>
      </c>
      <c r="J36" s="49">
        <v>46806.0</v>
      </c>
      <c r="K36" s="49">
        <v>44455.0</v>
      </c>
      <c r="L36" s="49">
        <v>44459.0</v>
      </c>
      <c r="M36" s="48">
        <f t="shared" si="10"/>
        <v>0.1145097011</v>
      </c>
      <c r="N36" s="98">
        <v>111.26</v>
      </c>
      <c r="O36" s="98">
        <v>3.0E8</v>
      </c>
      <c r="P36" s="84">
        <f t="shared" si="2"/>
        <v>336971087</v>
      </c>
      <c r="Q36" s="9">
        <f t="shared" si="3"/>
        <v>333780000</v>
      </c>
      <c r="R36" s="9">
        <f t="shared" si="4"/>
        <v>3191086.957</v>
      </c>
      <c r="S36" s="9"/>
      <c r="T36" s="9">
        <f t="shared" si="5"/>
        <v>336971087</v>
      </c>
      <c r="U36" s="62"/>
      <c r="V36" s="9" t="s">
        <v>62</v>
      </c>
      <c r="W36" s="1"/>
      <c r="X36" s="1"/>
      <c r="Y36" s="1"/>
      <c r="Z36" s="1"/>
      <c r="AA36" s="1"/>
    </row>
    <row r="37" ht="13.5" customHeight="1">
      <c r="B37" s="3">
        <f t="shared" si="6"/>
        <v>34</v>
      </c>
      <c r="C37" s="3" t="s">
        <v>77</v>
      </c>
      <c r="D37" s="3" t="s">
        <v>58</v>
      </c>
      <c r="E37" s="3" t="s">
        <v>139</v>
      </c>
      <c r="F37" s="3" t="s">
        <v>70</v>
      </c>
      <c r="G37" s="3" t="s">
        <v>12</v>
      </c>
      <c r="H37" s="3" t="s">
        <v>161</v>
      </c>
      <c r="I37" s="48">
        <v>0.1398</v>
      </c>
      <c r="J37" s="49">
        <v>46806.0</v>
      </c>
      <c r="K37" s="49">
        <v>44455.0</v>
      </c>
      <c r="L37" s="49">
        <v>44456.0</v>
      </c>
      <c r="M37" s="48">
        <f t="shared" si="10"/>
        <v>0.1144931339</v>
      </c>
      <c r="N37" s="98">
        <v>111.28</v>
      </c>
      <c r="O37" s="98">
        <v>1.0E8</v>
      </c>
      <c r="P37" s="84">
        <f t="shared" si="2"/>
        <v>112229728.3</v>
      </c>
      <c r="Q37" s="9">
        <f t="shared" si="3"/>
        <v>111280000</v>
      </c>
      <c r="R37" s="9">
        <f t="shared" si="4"/>
        <v>949728.2609</v>
      </c>
      <c r="S37" s="9"/>
      <c r="T37" s="9">
        <f t="shared" si="5"/>
        <v>112229728.3</v>
      </c>
      <c r="U37" s="62"/>
      <c r="V37" s="9" t="s">
        <v>62</v>
      </c>
      <c r="W37" s="1"/>
      <c r="X37" s="1"/>
      <c r="Y37" s="1"/>
      <c r="Z37" s="1"/>
      <c r="AA37" s="1"/>
    </row>
    <row r="38" ht="13.5" customHeight="1">
      <c r="B38" s="3">
        <f t="shared" si="6"/>
        <v>35</v>
      </c>
      <c r="C38" s="3" t="s">
        <v>77</v>
      </c>
      <c r="D38" s="3" t="s">
        <v>58</v>
      </c>
      <c r="E38" s="3" t="s">
        <v>139</v>
      </c>
      <c r="F38" s="3" t="s">
        <v>70</v>
      </c>
      <c r="G38" s="3" t="s">
        <v>12</v>
      </c>
      <c r="H38" s="3" t="s">
        <v>161</v>
      </c>
      <c r="I38" s="48">
        <v>0.1398</v>
      </c>
      <c r="J38" s="49">
        <v>46806.0</v>
      </c>
      <c r="K38" s="49">
        <v>44455.0</v>
      </c>
      <c r="L38" s="49">
        <v>44459.0</v>
      </c>
      <c r="M38" s="48">
        <f t="shared" si="10"/>
        <v>0.1141970584</v>
      </c>
      <c r="N38" s="98">
        <v>111.41</v>
      </c>
      <c r="O38" s="98">
        <v>4.0E8</v>
      </c>
      <c r="P38" s="84">
        <f t="shared" si="2"/>
        <v>449894782.6</v>
      </c>
      <c r="Q38" s="9">
        <f t="shared" si="3"/>
        <v>445640000</v>
      </c>
      <c r="R38" s="9">
        <f t="shared" si="4"/>
        <v>4254782.609</v>
      </c>
      <c r="S38" s="9"/>
      <c r="T38" s="9">
        <f t="shared" si="5"/>
        <v>449894782.6</v>
      </c>
      <c r="U38" s="62"/>
      <c r="V38" s="9" t="s">
        <v>62</v>
      </c>
      <c r="W38" s="1"/>
      <c r="X38" s="1"/>
      <c r="Y38" s="1"/>
      <c r="Z38" s="1"/>
      <c r="AA38" s="1"/>
    </row>
    <row r="39" ht="13.5" customHeight="1">
      <c r="B39" s="3">
        <f t="shared" si="6"/>
        <v>36</v>
      </c>
      <c r="C39" s="3" t="s">
        <v>77</v>
      </c>
      <c r="D39" s="3" t="s">
        <v>58</v>
      </c>
      <c r="E39" s="3" t="s">
        <v>139</v>
      </c>
      <c r="F39" s="3" t="s">
        <v>70</v>
      </c>
      <c r="G39" s="3" t="s">
        <v>14</v>
      </c>
      <c r="H39" s="3" t="s">
        <v>150</v>
      </c>
      <c r="I39" s="48">
        <v>0.1298</v>
      </c>
      <c r="J39" s="49">
        <v>54874.0</v>
      </c>
      <c r="K39" s="49">
        <v>44459.0</v>
      </c>
      <c r="L39" s="49">
        <v>44461.0</v>
      </c>
      <c r="M39" s="48">
        <f t="shared" si="10"/>
        <v>0.1291945672</v>
      </c>
      <c r="N39" s="98">
        <v>100.45</v>
      </c>
      <c r="O39" s="98">
        <v>1.0E8</v>
      </c>
      <c r="P39" s="84">
        <f t="shared" si="2"/>
        <v>106763641.3</v>
      </c>
      <c r="Q39" s="9">
        <f t="shared" si="3"/>
        <v>100450000</v>
      </c>
      <c r="R39" s="9">
        <f t="shared" si="4"/>
        <v>6313641.304</v>
      </c>
      <c r="S39" s="9"/>
      <c r="T39" s="9">
        <f t="shared" si="5"/>
        <v>106763641.3</v>
      </c>
      <c r="U39" s="62"/>
      <c r="V39" s="9" t="s">
        <v>62</v>
      </c>
      <c r="W39" s="1"/>
      <c r="X39" s="1"/>
      <c r="Y39" s="1"/>
      <c r="Z39" s="1"/>
      <c r="AA39" s="1"/>
    </row>
    <row r="40" ht="13.5" customHeight="1">
      <c r="B40" s="3">
        <f t="shared" si="6"/>
        <v>37</v>
      </c>
      <c r="C40" s="3" t="s">
        <v>77</v>
      </c>
      <c r="D40" s="3" t="s">
        <v>58</v>
      </c>
      <c r="E40" s="3" t="s">
        <v>139</v>
      </c>
      <c r="F40" s="3" t="s">
        <v>70</v>
      </c>
      <c r="G40" s="3" t="s">
        <v>14</v>
      </c>
      <c r="H40" s="3" t="s">
        <v>150</v>
      </c>
      <c r="I40" s="48">
        <v>0.1298</v>
      </c>
      <c r="J40" s="49">
        <v>54874.0</v>
      </c>
      <c r="K40" s="49">
        <v>44459.0</v>
      </c>
      <c r="L40" s="49">
        <v>44461.0</v>
      </c>
      <c r="M40" s="48">
        <f t="shared" si="10"/>
        <v>0.1294996725</v>
      </c>
      <c r="N40" s="98">
        <v>100.22</v>
      </c>
      <c r="O40" s="98">
        <v>1.4E9</v>
      </c>
      <c r="P40" s="84">
        <f t="shared" si="2"/>
        <v>1491470978</v>
      </c>
      <c r="Q40" s="9">
        <f t="shared" si="3"/>
        <v>1403080000</v>
      </c>
      <c r="R40" s="9">
        <f t="shared" si="4"/>
        <v>88390978.26</v>
      </c>
      <c r="S40" s="9"/>
      <c r="T40" s="9">
        <f t="shared" si="5"/>
        <v>1491470978</v>
      </c>
      <c r="U40" s="62"/>
      <c r="V40" s="9" t="s">
        <v>62</v>
      </c>
      <c r="W40" s="1"/>
      <c r="X40" s="1"/>
      <c r="Y40" s="1"/>
      <c r="Z40" s="1"/>
      <c r="AA40" s="1"/>
    </row>
    <row r="41" ht="13.5" customHeight="1">
      <c r="B41" s="3">
        <f t="shared" si="6"/>
        <v>38</v>
      </c>
      <c r="C41" s="3" t="s">
        <v>77</v>
      </c>
      <c r="D41" s="3" t="s">
        <v>58</v>
      </c>
      <c r="E41" s="3" t="s">
        <v>139</v>
      </c>
      <c r="F41" s="3" t="s">
        <v>70</v>
      </c>
      <c r="G41" s="3" t="s">
        <v>14</v>
      </c>
      <c r="H41" s="3" t="s">
        <v>150</v>
      </c>
      <c r="I41" s="48">
        <v>0.1298</v>
      </c>
      <c r="J41" s="49">
        <v>54874.0</v>
      </c>
      <c r="K41" s="49">
        <v>44459.0</v>
      </c>
      <c r="L41" s="49">
        <v>44461.0</v>
      </c>
      <c r="M41" s="48">
        <f t="shared" si="10"/>
        <v>0.1296993538</v>
      </c>
      <c r="N41" s="98">
        <v>100.07</v>
      </c>
      <c r="O41" s="98">
        <v>5.0E8</v>
      </c>
      <c r="P41" s="84">
        <f t="shared" si="2"/>
        <v>531918206.5</v>
      </c>
      <c r="Q41" s="9">
        <f t="shared" si="3"/>
        <v>500350000</v>
      </c>
      <c r="R41" s="9">
        <f t="shared" si="4"/>
        <v>31568206.52</v>
      </c>
      <c r="S41" s="9"/>
      <c r="T41" s="9">
        <f t="shared" si="5"/>
        <v>531918206.5</v>
      </c>
      <c r="U41" s="62"/>
      <c r="V41" s="9" t="s">
        <v>62</v>
      </c>
      <c r="W41" s="1"/>
      <c r="X41" s="1"/>
      <c r="Y41" s="1"/>
      <c r="Z41" s="1"/>
      <c r="AA41" s="1"/>
    </row>
    <row r="42" ht="13.5" customHeight="1">
      <c r="B42" s="3">
        <f t="shared" si="6"/>
        <v>39</v>
      </c>
      <c r="C42" s="3" t="s">
        <v>77</v>
      </c>
      <c r="D42" s="3" t="s">
        <v>58</v>
      </c>
      <c r="E42" s="3" t="s">
        <v>139</v>
      </c>
      <c r="F42" s="3" t="s">
        <v>70</v>
      </c>
      <c r="G42" s="3" t="s">
        <v>14</v>
      </c>
      <c r="H42" s="3" t="s">
        <v>150</v>
      </c>
      <c r="I42" s="48">
        <v>0.1298</v>
      </c>
      <c r="J42" s="49">
        <v>54874.0</v>
      </c>
      <c r="K42" s="49">
        <v>44459.0</v>
      </c>
      <c r="L42" s="49">
        <v>44461.0</v>
      </c>
      <c r="M42" s="48">
        <f t="shared" si="10"/>
        <v>0.1296993538</v>
      </c>
      <c r="N42" s="98">
        <v>100.07</v>
      </c>
      <c r="O42" s="98">
        <v>3.0E8</v>
      </c>
      <c r="P42" s="84">
        <f t="shared" si="2"/>
        <v>319150923.9</v>
      </c>
      <c r="Q42" s="9">
        <f t="shared" si="3"/>
        <v>300210000</v>
      </c>
      <c r="R42" s="9">
        <f t="shared" si="4"/>
        <v>18940923.91</v>
      </c>
      <c r="S42" s="9"/>
      <c r="T42" s="9">
        <f t="shared" si="5"/>
        <v>319150923.9</v>
      </c>
      <c r="U42" s="62"/>
      <c r="V42" s="9" t="s">
        <v>62</v>
      </c>
      <c r="W42" s="1"/>
      <c r="X42" s="1"/>
      <c r="Y42" s="1"/>
      <c r="Z42" s="1"/>
      <c r="AA42" s="1"/>
    </row>
    <row r="43" ht="13.5" customHeight="1">
      <c r="B43" s="3">
        <f t="shared" si="6"/>
        <v>40</v>
      </c>
      <c r="C43" s="3" t="s">
        <v>77</v>
      </c>
      <c r="D43" s="3" t="s">
        <v>58</v>
      </c>
      <c r="E43" s="3" t="s">
        <v>139</v>
      </c>
      <c r="F43" s="3" t="s">
        <v>70</v>
      </c>
      <c r="G43" s="3" t="s">
        <v>14</v>
      </c>
      <c r="H43" s="3" t="s">
        <v>150</v>
      </c>
      <c r="I43" s="48">
        <v>0.1298</v>
      </c>
      <c r="J43" s="49">
        <v>54874.0</v>
      </c>
      <c r="K43" s="49">
        <v>44459.0</v>
      </c>
      <c r="L43" s="49">
        <v>44461.0</v>
      </c>
      <c r="M43" s="48">
        <f t="shared" si="10"/>
        <v>0.1296993538</v>
      </c>
      <c r="N43" s="98">
        <v>100.07</v>
      </c>
      <c r="O43" s="98">
        <v>2.0E8</v>
      </c>
      <c r="P43" s="84">
        <f t="shared" si="2"/>
        <v>212767282.6</v>
      </c>
      <c r="Q43" s="9">
        <f t="shared" si="3"/>
        <v>200140000</v>
      </c>
      <c r="R43" s="9">
        <f t="shared" si="4"/>
        <v>12627282.61</v>
      </c>
      <c r="S43" s="9"/>
      <c r="T43" s="9">
        <f t="shared" si="5"/>
        <v>212767282.6</v>
      </c>
      <c r="U43" s="62"/>
      <c r="V43" s="9" t="s">
        <v>62</v>
      </c>
      <c r="W43" s="1"/>
      <c r="X43" s="1"/>
      <c r="Y43" s="1"/>
      <c r="Z43" s="1"/>
      <c r="AA43" s="1"/>
    </row>
    <row r="44" ht="13.5" customHeight="1">
      <c r="B44" s="3">
        <f t="shared" si="6"/>
        <v>41</v>
      </c>
      <c r="C44" s="3" t="s">
        <v>77</v>
      </c>
      <c r="D44" s="3" t="s">
        <v>58</v>
      </c>
      <c r="E44" s="3" t="s">
        <v>139</v>
      </c>
      <c r="F44" s="3" t="s">
        <v>70</v>
      </c>
      <c r="G44" s="3" t="s">
        <v>14</v>
      </c>
      <c r="H44" s="3" t="s">
        <v>150</v>
      </c>
      <c r="I44" s="48">
        <v>0.1298</v>
      </c>
      <c r="J44" s="49">
        <v>54874.0</v>
      </c>
      <c r="K44" s="49">
        <v>44459.0</v>
      </c>
      <c r="L44" s="49">
        <v>44461.0</v>
      </c>
      <c r="M44" s="48">
        <f t="shared" si="10"/>
        <v>0.1296993538</v>
      </c>
      <c r="N44" s="98">
        <v>100.07</v>
      </c>
      <c r="O44" s="98">
        <v>3.0E8</v>
      </c>
      <c r="P44" s="84">
        <f t="shared" si="2"/>
        <v>319150923.9</v>
      </c>
      <c r="Q44" s="9">
        <f t="shared" si="3"/>
        <v>300210000</v>
      </c>
      <c r="R44" s="9">
        <f t="shared" si="4"/>
        <v>18940923.91</v>
      </c>
      <c r="S44" s="9"/>
      <c r="T44" s="9">
        <f t="shared" si="5"/>
        <v>319150923.9</v>
      </c>
      <c r="U44" s="62"/>
      <c r="V44" s="9" t="s">
        <v>62</v>
      </c>
      <c r="W44" s="1"/>
      <c r="X44" s="1"/>
      <c r="Y44" s="1"/>
      <c r="Z44" s="1"/>
      <c r="AA44" s="1"/>
    </row>
    <row r="45" ht="13.5" customHeight="1">
      <c r="B45" s="3">
        <f t="shared" si="6"/>
        <v>42</v>
      </c>
      <c r="C45" s="3" t="s">
        <v>77</v>
      </c>
      <c r="D45" s="3" t="s">
        <v>58</v>
      </c>
      <c r="E45" s="3" t="s">
        <v>139</v>
      </c>
      <c r="F45" s="3" t="s">
        <v>70</v>
      </c>
      <c r="G45" s="3" t="s">
        <v>14</v>
      </c>
      <c r="H45" s="3" t="s">
        <v>150</v>
      </c>
      <c r="I45" s="48">
        <v>0.1298</v>
      </c>
      <c r="J45" s="49">
        <v>54874.0</v>
      </c>
      <c r="K45" s="49">
        <v>44460.0</v>
      </c>
      <c r="L45" s="49">
        <v>44462.0</v>
      </c>
      <c r="M45" s="48">
        <f t="shared" si="10"/>
        <v>0.1299010158</v>
      </c>
      <c r="N45" s="98">
        <v>99.92</v>
      </c>
      <c r="O45" s="98">
        <v>5.0E8</v>
      </c>
      <c r="P45" s="84">
        <f t="shared" si="2"/>
        <v>531344565.2</v>
      </c>
      <c r="Q45" s="9">
        <f t="shared" si="3"/>
        <v>499600000</v>
      </c>
      <c r="R45" s="9">
        <f t="shared" si="4"/>
        <v>31744565.22</v>
      </c>
      <c r="S45" s="9"/>
      <c r="T45" s="9">
        <f t="shared" si="5"/>
        <v>531344565.2</v>
      </c>
      <c r="U45" s="62"/>
      <c r="V45" s="9" t="s">
        <v>62</v>
      </c>
      <c r="W45" s="1"/>
      <c r="X45" s="1"/>
      <c r="Y45" s="1"/>
      <c r="Z45" s="1"/>
      <c r="AA45" s="1"/>
    </row>
    <row r="46" ht="13.5" customHeight="1">
      <c r="B46" s="3">
        <f t="shared" si="6"/>
        <v>43</v>
      </c>
      <c r="C46" s="3" t="s">
        <v>77</v>
      </c>
      <c r="D46" s="3" t="s">
        <v>58</v>
      </c>
      <c r="E46" s="3" t="s">
        <v>139</v>
      </c>
      <c r="F46" s="3" t="s">
        <v>70</v>
      </c>
      <c r="G46" s="3" t="s">
        <v>14</v>
      </c>
      <c r="H46" s="3" t="s">
        <v>150</v>
      </c>
      <c r="I46" s="48">
        <v>0.1298</v>
      </c>
      <c r="J46" s="49">
        <v>54874.0</v>
      </c>
      <c r="K46" s="49">
        <v>44460.0</v>
      </c>
      <c r="L46" s="49">
        <v>44462.0</v>
      </c>
      <c r="M46" s="48">
        <f t="shared" si="10"/>
        <v>0.1299946541</v>
      </c>
      <c r="N46" s="98">
        <v>99.85</v>
      </c>
      <c r="O46" s="98">
        <v>5.0E8</v>
      </c>
      <c r="P46" s="84">
        <f t="shared" si="2"/>
        <v>530994565.2</v>
      </c>
      <c r="Q46" s="9">
        <f t="shared" si="3"/>
        <v>499250000</v>
      </c>
      <c r="R46" s="9">
        <f t="shared" si="4"/>
        <v>31744565.22</v>
      </c>
      <c r="S46" s="9"/>
      <c r="T46" s="9">
        <f t="shared" si="5"/>
        <v>530994565.2</v>
      </c>
      <c r="U46" s="62"/>
      <c r="V46" s="9" t="s">
        <v>62</v>
      </c>
      <c r="W46" s="1"/>
      <c r="X46" s="1"/>
      <c r="Y46" s="1"/>
      <c r="Z46" s="1"/>
      <c r="AA46" s="1"/>
    </row>
    <row r="47" ht="13.5" customHeight="1">
      <c r="B47" s="3">
        <f t="shared" si="6"/>
        <v>44</v>
      </c>
      <c r="C47" s="3" t="s">
        <v>77</v>
      </c>
      <c r="D47" s="3" t="s">
        <v>58</v>
      </c>
      <c r="E47" s="3" t="s">
        <v>139</v>
      </c>
      <c r="F47" s="3" t="s">
        <v>70</v>
      </c>
      <c r="G47" s="3" t="s">
        <v>14</v>
      </c>
      <c r="H47" s="3" t="s">
        <v>150</v>
      </c>
      <c r="I47" s="48">
        <v>0.1298</v>
      </c>
      <c r="J47" s="49">
        <v>54874.0</v>
      </c>
      <c r="K47" s="49">
        <v>44460.0</v>
      </c>
      <c r="L47" s="49">
        <v>44462.0</v>
      </c>
      <c r="M47" s="48">
        <f t="shared" si="10"/>
        <v>0.1299946541</v>
      </c>
      <c r="N47" s="98">
        <v>99.85</v>
      </c>
      <c r="O47" s="98">
        <v>5.0E8</v>
      </c>
      <c r="P47" s="84">
        <f t="shared" si="2"/>
        <v>530994565.2</v>
      </c>
      <c r="Q47" s="9">
        <f t="shared" si="3"/>
        <v>499250000</v>
      </c>
      <c r="R47" s="9">
        <f t="shared" si="4"/>
        <v>31744565.22</v>
      </c>
      <c r="S47" s="9"/>
      <c r="T47" s="9">
        <f t="shared" si="5"/>
        <v>530994565.2</v>
      </c>
      <c r="U47" s="62"/>
      <c r="V47" s="9" t="s">
        <v>62</v>
      </c>
      <c r="W47" s="1"/>
      <c r="X47" s="1"/>
      <c r="Y47" s="1"/>
      <c r="Z47" s="1"/>
      <c r="AA47" s="1"/>
    </row>
    <row r="48" ht="13.5" customHeight="1">
      <c r="B48" s="3">
        <f t="shared" si="6"/>
        <v>45</v>
      </c>
      <c r="C48" s="3" t="s">
        <v>77</v>
      </c>
      <c r="D48" s="3" t="s">
        <v>58</v>
      </c>
      <c r="E48" s="3" t="s">
        <v>139</v>
      </c>
      <c r="F48" s="3" t="s">
        <v>70</v>
      </c>
      <c r="G48" s="3" t="s">
        <v>14</v>
      </c>
      <c r="H48" s="3" t="s">
        <v>150</v>
      </c>
      <c r="I48" s="48">
        <v>0.1298</v>
      </c>
      <c r="J48" s="49">
        <v>54874.0</v>
      </c>
      <c r="K48" s="49">
        <v>44460.0</v>
      </c>
      <c r="L48" s="49">
        <v>44463.0</v>
      </c>
      <c r="M48" s="48">
        <f t="shared" si="10"/>
        <v>0.1299960999</v>
      </c>
      <c r="N48" s="98">
        <v>99.85</v>
      </c>
      <c r="O48" s="98">
        <v>3.0E8</v>
      </c>
      <c r="P48" s="84">
        <f t="shared" si="2"/>
        <v>318702554.3</v>
      </c>
      <c r="Q48" s="9">
        <f t="shared" si="3"/>
        <v>299550000</v>
      </c>
      <c r="R48" s="9">
        <f t="shared" si="4"/>
        <v>19152554.35</v>
      </c>
      <c r="S48" s="9"/>
      <c r="T48" s="9">
        <f t="shared" si="5"/>
        <v>318702554.3</v>
      </c>
      <c r="U48" s="62"/>
      <c r="V48" s="9" t="s">
        <v>62</v>
      </c>
      <c r="W48" s="1"/>
      <c r="X48" s="1"/>
      <c r="Y48" s="1"/>
      <c r="Z48" s="1"/>
      <c r="AA48" s="1"/>
    </row>
    <row r="49" ht="13.5" customHeight="1">
      <c r="B49" s="3">
        <f t="shared" si="6"/>
        <v>46</v>
      </c>
      <c r="C49" s="3" t="s">
        <v>77</v>
      </c>
      <c r="D49" s="3" t="s">
        <v>58</v>
      </c>
      <c r="E49" s="3" t="s">
        <v>139</v>
      </c>
      <c r="F49" s="3" t="s">
        <v>70</v>
      </c>
      <c r="G49" s="3" t="s">
        <v>14</v>
      </c>
      <c r="H49" s="3" t="s">
        <v>150</v>
      </c>
      <c r="I49" s="48">
        <v>0.1298</v>
      </c>
      <c r="J49" s="49">
        <v>54874.0</v>
      </c>
      <c r="K49" s="49">
        <v>44460.0</v>
      </c>
      <c r="L49" s="49">
        <v>44462.0</v>
      </c>
      <c r="M49" s="48">
        <f t="shared" si="10"/>
        <v>0.1299946541</v>
      </c>
      <c r="N49" s="98">
        <v>99.85</v>
      </c>
      <c r="O49" s="98">
        <v>2.0E8</v>
      </c>
      <c r="P49" s="84">
        <f t="shared" si="2"/>
        <v>212397826.1</v>
      </c>
      <c r="Q49" s="9">
        <f t="shared" si="3"/>
        <v>199700000</v>
      </c>
      <c r="R49" s="9">
        <f t="shared" si="4"/>
        <v>12697826.09</v>
      </c>
      <c r="S49" s="9"/>
      <c r="T49" s="9">
        <f t="shared" si="5"/>
        <v>212397826.1</v>
      </c>
      <c r="U49" s="62"/>
      <c r="V49" s="9" t="s">
        <v>62</v>
      </c>
      <c r="W49" s="1"/>
      <c r="X49" s="1"/>
      <c r="Y49" s="1"/>
      <c r="Z49" s="1"/>
      <c r="AA49" s="1"/>
    </row>
    <row r="50" ht="13.5" customHeight="1">
      <c r="B50" s="3">
        <f t="shared" si="6"/>
        <v>47</v>
      </c>
      <c r="C50" s="3" t="s">
        <v>77</v>
      </c>
      <c r="D50" s="3" t="s">
        <v>58</v>
      </c>
      <c r="E50" s="3" t="s">
        <v>139</v>
      </c>
      <c r="F50" s="3" t="s">
        <v>70</v>
      </c>
      <c r="G50" s="3" t="s">
        <v>14</v>
      </c>
      <c r="H50" s="3" t="s">
        <v>150</v>
      </c>
      <c r="I50" s="48">
        <v>0.1298</v>
      </c>
      <c r="J50" s="49">
        <v>54874.0</v>
      </c>
      <c r="K50" s="49">
        <v>44460.0</v>
      </c>
      <c r="L50" s="49">
        <v>44462.0</v>
      </c>
      <c r="M50" s="48">
        <f t="shared" si="10"/>
        <v>0.1299946541</v>
      </c>
      <c r="N50" s="98">
        <v>99.85</v>
      </c>
      <c r="O50" s="98">
        <v>2.0E8</v>
      </c>
      <c r="P50" s="84">
        <f t="shared" si="2"/>
        <v>212397826.1</v>
      </c>
      <c r="Q50" s="9">
        <f t="shared" si="3"/>
        <v>199700000</v>
      </c>
      <c r="R50" s="9">
        <f t="shared" si="4"/>
        <v>12697826.09</v>
      </c>
      <c r="S50" s="9"/>
      <c r="T50" s="9">
        <f t="shared" si="5"/>
        <v>212397826.1</v>
      </c>
      <c r="U50" s="62"/>
      <c r="V50" s="9" t="s">
        <v>62</v>
      </c>
      <c r="W50" s="1"/>
      <c r="X50" s="1"/>
      <c r="Y50" s="1"/>
      <c r="Z50" s="1"/>
      <c r="AA50" s="1"/>
    </row>
    <row r="51" ht="13.5" customHeight="1">
      <c r="B51" s="3">
        <f t="shared" si="6"/>
        <v>48</v>
      </c>
      <c r="C51" s="3" t="s">
        <v>77</v>
      </c>
      <c r="D51" s="3" t="s">
        <v>58</v>
      </c>
      <c r="E51" s="3" t="s">
        <v>139</v>
      </c>
      <c r="F51" s="3" t="s">
        <v>70</v>
      </c>
      <c r="G51" s="3" t="s">
        <v>14</v>
      </c>
      <c r="H51" s="3" t="s">
        <v>150</v>
      </c>
      <c r="I51" s="48">
        <v>0.1298</v>
      </c>
      <c r="J51" s="49">
        <v>54874.0</v>
      </c>
      <c r="K51" s="49">
        <v>44460.0</v>
      </c>
      <c r="L51" s="49">
        <v>44463.0</v>
      </c>
      <c r="M51" s="48">
        <f t="shared" si="10"/>
        <v>0.1299960999</v>
      </c>
      <c r="N51" s="98">
        <v>99.85</v>
      </c>
      <c r="O51" s="98">
        <v>2.0E8</v>
      </c>
      <c r="P51" s="84">
        <f t="shared" si="2"/>
        <v>212468369.6</v>
      </c>
      <c r="Q51" s="9">
        <f t="shared" si="3"/>
        <v>199700000</v>
      </c>
      <c r="R51" s="9">
        <f t="shared" si="4"/>
        <v>12768369.57</v>
      </c>
      <c r="S51" s="9"/>
      <c r="T51" s="9">
        <f t="shared" si="5"/>
        <v>212468369.6</v>
      </c>
      <c r="U51" s="62"/>
      <c r="V51" s="9" t="s">
        <v>62</v>
      </c>
      <c r="W51" s="1"/>
      <c r="X51" s="1"/>
      <c r="Y51" s="1"/>
      <c r="Z51" s="1"/>
      <c r="AA51" s="1"/>
    </row>
    <row r="52" ht="13.5" customHeight="1">
      <c r="B52" s="3">
        <f t="shared" si="6"/>
        <v>49</v>
      </c>
      <c r="C52" s="3" t="s">
        <v>83</v>
      </c>
      <c r="D52" s="3" t="s">
        <v>58</v>
      </c>
      <c r="E52" s="3" t="s">
        <v>139</v>
      </c>
      <c r="F52" s="3" t="s">
        <v>70</v>
      </c>
      <c r="G52" s="3" t="s">
        <v>12</v>
      </c>
      <c r="H52" s="3" t="s">
        <v>161</v>
      </c>
      <c r="I52" s="48">
        <v>0.1398</v>
      </c>
      <c r="J52" s="49">
        <v>46806.0</v>
      </c>
      <c r="K52" s="49">
        <v>44461.0</v>
      </c>
      <c r="L52" s="49">
        <v>44463.0</v>
      </c>
      <c r="M52" s="48">
        <f t="shared" si="10"/>
        <v>0.116</v>
      </c>
      <c r="N52" s="98">
        <v>110.5335929177</v>
      </c>
      <c r="O52" s="98">
        <v>3.579E9</v>
      </c>
      <c r="P52" s="84">
        <f t="shared" si="2"/>
        <v>3999505482</v>
      </c>
      <c r="Q52" s="9">
        <f t="shared" si="3"/>
        <v>3955997291</v>
      </c>
      <c r="R52" s="9">
        <f t="shared" si="4"/>
        <v>43508191.3</v>
      </c>
      <c r="S52" s="9"/>
      <c r="T52" s="9">
        <f t="shared" si="5"/>
        <v>3999505482</v>
      </c>
      <c r="U52" s="62"/>
      <c r="V52" s="9" t="s">
        <v>62</v>
      </c>
      <c r="W52" s="1"/>
      <c r="X52" s="1"/>
      <c r="Y52" s="1"/>
      <c r="Z52" s="1"/>
      <c r="AA52" s="1"/>
    </row>
    <row r="53" ht="13.5" customHeight="1">
      <c r="B53" s="3">
        <f t="shared" si="6"/>
        <v>50</v>
      </c>
      <c r="C53" s="3" t="s">
        <v>83</v>
      </c>
      <c r="D53" s="3" t="s">
        <v>58</v>
      </c>
      <c r="E53" s="3" t="s">
        <v>139</v>
      </c>
      <c r="F53" s="3" t="s">
        <v>70</v>
      </c>
      <c r="G53" s="3" t="s">
        <v>12</v>
      </c>
      <c r="H53" s="3" t="s">
        <v>167</v>
      </c>
      <c r="I53" s="48">
        <v>0.124</v>
      </c>
      <c r="J53" s="49">
        <v>49752.0</v>
      </c>
      <c r="K53" s="49">
        <v>44461.0</v>
      </c>
      <c r="L53" s="49">
        <v>44463.0</v>
      </c>
      <c r="M53" s="48">
        <f t="shared" si="10"/>
        <v>0.1275</v>
      </c>
      <c r="N53" s="98">
        <v>97.7070681707</v>
      </c>
      <c r="O53" s="98">
        <v>3.033E9</v>
      </c>
      <c r="P53" s="84">
        <f t="shared" si="2"/>
        <v>2969688947</v>
      </c>
      <c r="Q53" s="9">
        <f t="shared" si="3"/>
        <v>2963455378</v>
      </c>
      <c r="R53" s="9">
        <f t="shared" si="4"/>
        <v>6233569.061</v>
      </c>
      <c r="S53" s="9"/>
      <c r="T53" s="9">
        <f t="shared" si="5"/>
        <v>2969688947</v>
      </c>
      <c r="U53" s="62"/>
      <c r="V53" s="9" t="s">
        <v>62</v>
      </c>
      <c r="W53" s="1"/>
      <c r="X53" s="1"/>
      <c r="Y53" s="1"/>
      <c r="Z53" s="1"/>
      <c r="AA53" s="1"/>
    </row>
    <row r="54" ht="13.5" customHeight="1">
      <c r="B54" s="3">
        <f t="shared" si="6"/>
        <v>51</v>
      </c>
      <c r="C54" s="3" t="s">
        <v>115</v>
      </c>
      <c r="D54" s="3" t="s">
        <v>58</v>
      </c>
      <c r="E54" s="3" t="s">
        <v>139</v>
      </c>
      <c r="F54" s="3" t="s">
        <v>70</v>
      </c>
      <c r="G54" s="3" t="s">
        <v>14</v>
      </c>
      <c r="H54" s="3" t="s">
        <v>167</v>
      </c>
      <c r="I54" s="48">
        <v>0.124</v>
      </c>
      <c r="J54" s="49">
        <v>49752.0</v>
      </c>
      <c r="K54" s="49">
        <v>44477.0</v>
      </c>
      <c r="L54" s="49">
        <v>44481.0</v>
      </c>
      <c r="M54" s="48">
        <f t="shared" si="10"/>
        <v>0.1295078999</v>
      </c>
      <c r="N54" s="98">
        <v>96.42</v>
      </c>
      <c r="O54" s="98">
        <v>5.0E8</v>
      </c>
      <c r="P54" s="84">
        <f t="shared" si="2"/>
        <v>486210497.2</v>
      </c>
      <c r="Q54" s="9">
        <f t="shared" si="3"/>
        <v>482100000</v>
      </c>
      <c r="R54" s="9">
        <f t="shared" si="4"/>
        <v>4110497.238</v>
      </c>
      <c r="S54" s="9"/>
      <c r="T54" s="9">
        <f t="shared" si="5"/>
        <v>486210497.2</v>
      </c>
      <c r="U54" s="62"/>
      <c r="V54" s="9" t="s">
        <v>62</v>
      </c>
      <c r="W54" s="1"/>
      <c r="X54" s="1"/>
      <c r="Y54" s="1"/>
      <c r="Z54" s="1"/>
      <c r="AA54" s="1"/>
    </row>
    <row r="55" ht="13.5" customHeight="1">
      <c r="B55" s="3">
        <f t="shared" si="6"/>
        <v>52</v>
      </c>
      <c r="C55" s="3" t="s">
        <v>115</v>
      </c>
      <c r="D55" s="3" t="s">
        <v>58</v>
      </c>
      <c r="E55" s="3" t="s">
        <v>139</v>
      </c>
      <c r="F55" s="3" t="s">
        <v>70</v>
      </c>
      <c r="G55" s="3" t="s">
        <v>14</v>
      </c>
      <c r="H55" s="3" t="s">
        <v>167</v>
      </c>
      <c r="I55" s="48">
        <v>0.124</v>
      </c>
      <c r="J55" s="49">
        <v>49752.0</v>
      </c>
      <c r="K55" s="49">
        <v>44477.0</v>
      </c>
      <c r="L55" s="49">
        <v>44481.0</v>
      </c>
      <c r="M55" s="48">
        <f t="shared" si="10"/>
        <v>0.1300027285</v>
      </c>
      <c r="N55" s="98">
        <v>96.11</v>
      </c>
      <c r="O55" s="98">
        <v>2.533E9</v>
      </c>
      <c r="P55" s="84">
        <f t="shared" si="2"/>
        <v>2455290079</v>
      </c>
      <c r="Q55" s="9">
        <f t="shared" si="3"/>
        <v>2434466300</v>
      </c>
      <c r="R55" s="9">
        <f t="shared" si="4"/>
        <v>20823779.01</v>
      </c>
      <c r="S55" s="9"/>
      <c r="T55" s="9">
        <f t="shared" si="5"/>
        <v>2455290079</v>
      </c>
      <c r="U55" s="62"/>
      <c r="V55" s="9" t="s">
        <v>62</v>
      </c>
      <c r="W55" s="1"/>
      <c r="X55" s="1"/>
      <c r="Y55" s="1"/>
      <c r="Z55" s="1"/>
      <c r="AA55" s="1"/>
    </row>
    <row r="56" ht="13.5" customHeight="1">
      <c r="B56" s="3">
        <f t="shared" si="6"/>
        <v>53</v>
      </c>
      <c r="C56" s="3" t="s">
        <v>115</v>
      </c>
      <c r="D56" s="3" t="s">
        <v>58</v>
      </c>
      <c r="E56" s="3" t="s">
        <v>139</v>
      </c>
      <c r="F56" s="3" t="s">
        <v>70</v>
      </c>
      <c r="G56" s="3" t="s">
        <v>14</v>
      </c>
      <c r="H56" s="3" t="s">
        <v>161</v>
      </c>
      <c r="I56" s="48">
        <v>0.1398</v>
      </c>
      <c r="J56" s="49">
        <v>46806.0</v>
      </c>
      <c r="K56" s="49">
        <v>44483.0</v>
      </c>
      <c r="L56" s="49">
        <v>44487.0</v>
      </c>
      <c r="M56" s="48">
        <f t="shared" si="10"/>
        <v>0.12</v>
      </c>
      <c r="N56" s="98">
        <v>108.5827945203</v>
      </c>
      <c r="O56" s="98">
        <v>1.0E9</v>
      </c>
      <c r="P56" s="84">
        <f t="shared" si="2"/>
        <v>1107101858</v>
      </c>
      <c r="Q56" s="9">
        <f t="shared" si="3"/>
        <v>1085827945</v>
      </c>
      <c r="R56" s="9">
        <f t="shared" si="4"/>
        <v>21273913.04</v>
      </c>
      <c r="S56" s="9"/>
      <c r="T56" s="9">
        <f t="shared" si="5"/>
        <v>1107101858</v>
      </c>
      <c r="U56" s="62"/>
      <c r="V56" s="9" t="s">
        <v>62</v>
      </c>
      <c r="W56" s="1"/>
      <c r="X56" s="1"/>
      <c r="Y56" s="1"/>
      <c r="Z56" s="1"/>
      <c r="AA56" s="1"/>
    </row>
    <row r="57" ht="13.5" customHeight="1">
      <c r="B57" s="3">
        <f t="shared" si="6"/>
        <v>54</v>
      </c>
      <c r="C57" s="3" t="s">
        <v>115</v>
      </c>
      <c r="D57" s="3" t="s">
        <v>58</v>
      </c>
      <c r="E57" s="3" t="s">
        <v>139</v>
      </c>
      <c r="F57" s="3" t="s">
        <v>70</v>
      </c>
      <c r="G57" s="3" t="s">
        <v>14</v>
      </c>
      <c r="H57" s="3" t="s">
        <v>161</v>
      </c>
      <c r="I57" s="48">
        <v>0.1398</v>
      </c>
      <c r="J57" s="49">
        <v>46806.0</v>
      </c>
      <c r="K57" s="49">
        <v>44489.0</v>
      </c>
      <c r="L57" s="49">
        <v>44491.0</v>
      </c>
      <c r="M57" s="48">
        <f t="shared" si="10"/>
        <v>0.12</v>
      </c>
      <c r="N57" s="98">
        <v>108.5711651537</v>
      </c>
      <c r="O57" s="98">
        <v>5.0E8</v>
      </c>
      <c r="P57" s="84">
        <f t="shared" si="2"/>
        <v>554252564.9</v>
      </c>
      <c r="Q57" s="9">
        <f t="shared" si="3"/>
        <v>542855825.8</v>
      </c>
      <c r="R57" s="9">
        <f t="shared" si="4"/>
        <v>11396739.13</v>
      </c>
      <c r="S57" s="9"/>
      <c r="T57" s="9">
        <f t="shared" si="5"/>
        <v>554252564.9</v>
      </c>
      <c r="U57" s="62"/>
      <c r="V57" s="9" t="s">
        <v>62</v>
      </c>
      <c r="W57" s="1"/>
      <c r="X57" s="1"/>
      <c r="Y57" s="1"/>
      <c r="Z57" s="1"/>
      <c r="AA57" s="1"/>
    </row>
    <row r="58" ht="13.5" customHeight="1">
      <c r="B58" s="3">
        <f t="shared" si="6"/>
        <v>55</v>
      </c>
      <c r="C58" s="3" t="s">
        <v>77</v>
      </c>
      <c r="D58" s="3" t="s">
        <v>58</v>
      </c>
      <c r="E58" s="3" t="s">
        <v>139</v>
      </c>
      <c r="F58" s="3" t="s">
        <v>70</v>
      </c>
      <c r="G58" s="3" t="s">
        <v>14</v>
      </c>
      <c r="H58" s="3" t="s">
        <v>145</v>
      </c>
      <c r="I58" s="48">
        <v>0.098</v>
      </c>
      <c r="J58" s="49">
        <v>53167.0</v>
      </c>
      <c r="K58" s="49">
        <v>44490.0</v>
      </c>
      <c r="L58" s="49">
        <v>44494.0</v>
      </c>
      <c r="M58" s="48">
        <f t="shared" si="10"/>
        <v>0.1249938359</v>
      </c>
      <c r="N58" s="98">
        <v>79.58</v>
      </c>
      <c r="O58" s="98">
        <v>2.0E8</v>
      </c>
      <c r="P58" s="84">
        <f t="shared" si="2"/>
        <v>164113260.9</v>
      </c>
      <c r="Q58" s="9">
        <f t="shared" si="3"/>
        <v>159160000</v>
      </c>
      <c r="R58" s="9">
        <f t="shared" si="4"/>
        <v>4953260.87</v>
      </c>
      <c r="S58" s="9"/>
      <c r="T58" s="9">
        <f t="shared" si="5"/>
        <v>164113260.9</v>
      </c>
      <c r="U58" s="62"/>
      <c r="V58" s="9" t="s">
        <v>62</v>
      </c>
      <c r="W58" s="1"/>
      <c r="X58" s="1"/>
      <c r="Y58" s="1"/>
      <c r="Z58" s="1"/>
      <c r="AA58" s="1"/>
    </row>
    <row r="59" ht="13.5" customHeight="1">
      <c r="B59" s="3">
        <f t="shared" si="6"/>
        <v>56</v>
      </c>
      <c r="C59" s="3" t="s">
        <v>115</v>
      </c>
      <c r="D59" s="3" t="s">
        <v>58</v>
      </c>
      <c r="E59" s="3" t="s">
        <v>139</v>
      </c>
      <c r="F59" s="3" t="s">
        <v>70</v>
      </c>
      <c r="G59" s="3" t="s">
        <v>14</v>
      </c>
      <c r="H59" s="3" t="s">
        <v>161</v>
      </c>
      <c r="I59" s="48">
        <v>0.1398</v>
      </c>
      <c r="J59" s="49">
        <v>46806.0</v>
      </c>
      <c r="K59" s="49">
        <v>44490.0</v>
      </c>
      <c r="L59" s="49">
        <v>44494.0</v>
      </c>
      <c r="M59" s="48">
        <f t="shared" si="10"/>
        <v>0.1225</v>
      </c>
      <c r="N59" s="98">
        <v>107.4212526843</v>
      </c>
      <c r="O59" s="98">
        <v>1.2E9</v>
      </c>
      <c r="P59" s="84">
        <f t="shared" si="2"/>
        <v>1317774815</v>
      </c>
      <c r="Q59" s="9">
        <f t="shared" si="3"/>
        <v>1289055032</v>
      </c>
      <c r="R59" s="9">
        <f t="shared" si="4"/>
        <v>28719782.61</v>
      </c>
      <c r="S59" s="9"/>
      <c r="T59" s="9">
        <f t="shared" si="5"/>
        <v>1317774815</v>
      </c>
      <c r="U59" s="62"/>
      <c r="V59" s="9" t="s">
        <v>62</v>
      </c>
      <c r="W59" s="1"/>
      <c r="X59" s="1"/>
      <c r="Y59" s="1"/>
      <c r="Z59" s="1"/>
      <c r="AA59" s="1"/>
    </row>
    <row r="60" ht="13.5" customHeight="1">
      <c r="B60" s="3">
        <f t="shared" si="6"/>
        <v>57</v>
      </c>
      <c r="C60" s="3" t="s">
        <v>115</v>
      </c>
      <c r="D60" s="3" t="s">
        <v>58</v>
      </c>
      <c r="E60" s="3" t="s">
        <v>139</v>
      </c>
      <c r="F60" s="3" t="s">
        <v>70</v>
      </c>
      <c r="G60" s="3" t="s">
        <v>14</v>
      </c>
      <c r="H60" s="3" t="s">
        <v>161</v>
      </c>
      <c r="I60" s="48">
        <v>0.1398</v>
      </c>
      <c r="J60" s="49">
        <v>46806.0</v>
      </c>
      <c r="K60" s="49">
        <v>44494.0</v>
      </c>
      <c r="L60" s="49">
        <v>44496.0</v>
      </c>
      <c r="M60" s="48">
        <f t="shared" si="10"/>
        <v>0.123</v>
      </c>
      <c r="N60" s="98">
        <v>107.190051348</v>
      </c>
      <c r="O60" s="98">
        <v>1.0E9</v>
      </c>
      <c r="P60" s="84">
        <f t="shared" si="2"/>
        <v>1096593448</v>
      </c>
      <c r="Q60" s="9">
        <f t="shared" si="3"/>
        <v>1071900513</v>
      </c>
      <c r="R60" s="9">
        <f t="shared" si="4"/>
        <v>24692934.78</v>
      </c>
      <c r="S60" s="9"/>
      <c r="T60" s="9">
        <f t="shared" si="5"/>
        <v>1096593448</v>
      </c>
      <c r="U60" s="62"/>
      <c r="V60" s="9" t="s">
        <v>62</v>
      </c>
      <c r="W60" s="1"/>
      <c r="X60" s="1"/>
      <c r="Y60" s="1"/>
      <c r="Z60" s="1"/>
      <c r="AA60" s="1"/>
    </row>
    <row r="61" ht="13.5" customHeight="1">
      <c r="B61" s="3">
        <f t="shared" si="6"/>
        <v>58</v>
      </c>
      <c r="C61" s="3" t="s">
        <v>83</v>
      </c>
      <c r="D61" s="3" t="s">
        <v>58</v>
      </c>
      <c r="E61" s="3" t="s">
        <v>139</v>
      </c>
      <c r="F61" s="3" t="s">
        <v>70</v>
      </c>
      <c r="G61" s="3" t="s">
        <v>14</v>
      </c>
      <c r="H61" s="3" t="s">
        <v>161</v>
      </c>
      <c r="I61" s="48">
        <v>0.1398</v>
      </c>
      <c r="J61" s="49">
        <v>46806.0</v>
      </c>
      <c r="K61" s="49">
        <v>44496.0</v>
      </c>
      <c r="L61" s="49">
        <v>44498.0</v>
      </c>
      <c r="M61" s="48">
        <f t="shared" si="10"/>
        <v>0.123</v>
      </c>
      <c r="N61" s="98">
        <v>107.1852352858</v>
      </c>
      <c r="O61" s="98">
        <v>5.0E8</v>
      </c>
      <c r="P61" s="84">
        <f t="shared" si="2"/>
        <v>548652535.1</v>
      </c>
      <c r="Q61" s="9">
        <f t="shared" si="3"/>
        <v>535926176.4</v>
      </c>
      <c r="R61" s="9">
        <f t="shared" si="4"/>
        <v>12726358.7</v>
      </c>
      <c r="S61" s="9"/>
      <c r="T61" s="9">
        <f t="shared" si="5"/>
        <v>548652535.1</v>
      </c>
      <c r="U61" s="62"/>
      <c r="V61" s="9" t="s">
        <v>62</v>
      </c>
      <c r="W61" s="1"/>
      <c r="X61" s="1"/>
      <c r="Y61" s="1"/>
      <c r="Z61" s="1"/>
      <c r="AA61" s="1"/>
    </row>
    <row r="62" ht="13.5" customHeight="1">
      <c r="B62" s="3">
        <f t="shared" si="6"/>
        <v>59</v>
      </c>
      <c r="C62" s="3" t="s">
        <v>115</v>
      </c>
      <c r="D62" s="3" t="s">
        <v>58</v>
      </c>
      <c r="E62" s="3" t="s">
        <v>139</v>
      </c>
      <c r="F62" s="3" t="s">
        <v>70</v>
      </c>
      <c r="G62" s="3" t="s">
        <v>14</v>
      </c>
      <c r="H62" s="3" t="s">
        <v>161</v>
      </c>
      <c r="I62" s="48">
        <v>0.1398</v>
      </c>
      <c r="J62" s="49">
        <v>46806.0</v>
      </c>
      <c r="K62" s="49">
        <v>44498.0</v>
      </c>
      <c r="L62" s="49">
        <v>44502.0</v>
      </c>
      <c r="M62" s="48">
        <f t="shared" si="10"/>
        <v>0.123</v>
      </c>
      <c r="N62" s="98">
        <v>107.1757417309</v>
      </c>
      <c r="O62" s="98">
        <v>8.79E8</v>
      </c>
      <c r="P62" s="84">
        <f t="shared" si="2"/>
        <v>965783406.2</v>
      </c>
      <c r="Q62" s="9">
        <f t="shared" si="3"/>
        <v>942074769.8</v>
      </c>
      <c r="R62" s="9">
        <f t="shared" si="4"/>
        <v>23708636.41</v>
      </c>
      <c r="S62" s="9"/>
      <c r="T62" s="9">
        <f t="shared" si="5"/>
        <v>965783406.2</v>
      </c>
      <c r="U62" s="62"/>
      <c r="V62" s="9" t="s">
        <v>62</v>
      </c>
      <c r="W62" s="1"/>
      <c r="X62" s="1"/>
      <c r="Y62" s="1"/>
      <c r="Z62" s="1"/>
      <c r="AA62" s="1"/>
    </row>
    <row r="63" ht="13.5" customHeight="1">
      <c r="B63" s="3">
        <f t="shared" si="6"/>
        <v>60</v>
      </c>
      <c r="C63" s="3" t="s">
        <v>92</v>
      </c>
      <c r="D63" s="3" t="s">
        <v>58</v>
      </c>
      <c r="E63" s="3" t="s">
        <v>139</v>
      </c>
      <c r="F63" s="3" t="s">
        <v>70</v>
      </c>
      <c r="G63" s="3" t="s">
        <v>14</v>
      </c>
      <c r="H63" s="3" t="s">
        <v>140</v>
      </c>
      <c r="I63" s="48">
        <v>0.125</v>
      </c>
      <c r="J63" s="49">
        <v>46044.0</v>
      </c>
      <c r="K63" s="49">
        <v>44579.0</v>
      </c>
      <c r="L63" s="49">
        <v>44581.0</v>
      </c>
      <c r="M63" s="48">
        <f t="shared" si="10"/>
        <v>0.1156483662</v>
      </c>
      <c r="N63" s="98">
        <v>102.93</v>
      </c>
      <c r="O63" s="98">
        <v>1.94E8</v>
      </c>
      <c r="P63" s="84">
        <f t="shared" si="2"/>
        <v>211677406.5</v>
      </c>
      <c r="Q63" s="9">
        <f t="shared" si="3"/>
        <v>199684200</v>
      </c>
      <c r="R63" s="9">
        <f t="shared" si="4"/>
        <v>11993206.52</v>
      </c>
      <c r="S63" s="9"/>
      <c r="T63" s="9">
        <f t="shared" si="5"/>
        <v>211677406.5</v>
      </c>
      <c r="U63" s="62"/>
      <c r="V63" s="9"/>
      <c r="W63" s="1"/>
      <c r="X63" s="1"/>
      <c r="Y63" s="1"/>
      <c r="Z63" s="1"/>
      <c r="AA63" s="1"/>
    </row>
    <row r="64" ht="13.5" customHeight="1">
      <c r="B64" s="3">
        <f t="shared" si="6"/>
        <v>61</v>
      </c>
      <c r="C64" s="3" t="s">
        <v>92</v>
      </c>
      <c r="D64" s="3" t="s">
        <v>58</v>
      </c>
      <c r="E64" s="3" t="s">
        <v>139</v>
      </c>
      <c r="F64" s="3" t="s">
        <v>70</v>
      </c>
      <c r="G64" s="3" t="s">
        <v>14</v>
      </c>
      <c r="H64" s="3" t="s">
        <v>146</v>
      </c>
      <c r="I64" s="48">
        <v>0.162884</v>
      </c>
      <c r="J64" s="49">
        <v>46463.0</v>
      </c>
      <c r="K64" s="49">
        <v>44579.0</v>
      </c>
      <c r="L64" s="49">
        <v>44581.0</v>
      </c>
      <c r="M64" s="48">
        <f t="shared" si="10"/>
        <v>0.1226302202</v>
      </c>
      <c r="N64" s="98">
        <v>115.0</v>
      </c>
      <c r="O64" s="98">
        <v>1.0E8</v>
      </c>
      <c r="P64" s="84">
        <f t="shared" si="2"/>
        <v>120624447.5</v>
      </c>
      <c r="Q64" s="9">
        <f t="shared" si="3"/>
        <v>115000000</v>
      </c>
      <c r="R64" s="9">
        <f t="shared" si="4"/>
        <v>5624447.514</v>
      </c>
      <c r="S64" s="9"/>
      <c r="T64" s="9">
        <f t="shared" si="5"/>
        <v>120624447.5</v>
      </c>
      <c r="U64" s="62"/>
      <c r="V64" s="9"/>
      <c r="W64" s="1"/>
      <c r="X64" s="1"/>
      <c r="Y64" s="1"/>
      <c r="Z64" s="1"/>
      <c r="AA64" s="1"/>
    </row>
    <row r="65" ht="13.5" customHeight="1">
      <c r="B65" s="3">
        <f t="shared" si="6"/>
        <v>62</v>
      </c>
      <c r="C65" s="1" t="s">
        <v>57</v>
      </c>
      <c r="D65" s="1" t="s">
        <v>58</v>
      </c>
      <c r="E65" s="3" t="s">
        <v>139</v>
      </c>
      <c r="F65" s="1" t="s">
        <v>60</v>
      </c>
      <c r="G65" s="1" t="s">
        <v>12</v>
      </c>
      <c r="H65" s="1" t="s">
        <v>171</v>
      </c>
      <c r="I65" s="62">
        <v>0.162499</v>
      </c>
      <c r="J65" s="52">
        <v>50148.0</v>
      </c>
      <c r="K65" s="122">
        <v>44915.0</v>
      </c>
      <c r="L65" s="122">
        <v>44917.0</v>
      </c>
      <c r="M65" s="62">
        <f t="shared" si="10"/>
        <v>0.1419973798</v>
      </c>
      <c r="N65" s="63">
        <v>112.35</v>
      </c>
      <c r="O65" s="63">
        <v>2.0E9</v>
      </c>
      <c r="P65" s="15">
        <f t="shared" si="2"/>
        <v>2305035357</v>
      </c>
      <c r="Q65" s="15">
        <f t="shared" si="3"/>
        <v>2247000000</v>
      </c>
      <c r="R65" s="15">
        <f t="shared" si="4"/>
        <v>58035357.14</v>
      </c>
      <c r="S65" s="15"/>
      <c r="T65" s="15">
        <f t="shared" si="5"/>
        <v>2305035357</v>
      </c>
      <c r="U65" s="62"/>
      <c r="V65" s="1"/>
      <c r="W65" s="1"/>
      <c r="X65" s="1"/>
      <c r="Y65" s="1"/>
      <c r="Z65" s="1"/>
      <c r="AA65" s="1"/>
    </row>
    <row r="66" ht="13.5" customHeight="1">
      <c r="B66" s="3">
        <f t="shared" si="6"/>
        <v>63</v>
      </c>
      <c r="C66" s="1" t="s">
        <v>57</v>
      </c>
      <c r="D66" s="1" t="s">
        <v>58</v>
      </c>
      <c r="E66" s="3" t="s">
        <v>139</v>
      </c>
      <c r="F66" s="1" t="s">
        <v>60</v>
      </c>
      <c r="G66" s="1" t="s">
        <v>12</v>
      </c>
      <c r="H66" s="1" t="s">
        <v>171</v>
      </c>
      <c r="I66" s="62">
        <v>0.162499</v>
      </c>
      <c r="J66" s="52">
        <v>50148.0</v>
      </c>
      <c r="K66" s="122">
        <v>44944.0</v>
      </c>
      <c r="L66" s="122">
        <v>44946.0</v>
      </c>
      <c r="M66" s="62">
        <f t="shared" si="10"/>
        <v>0.1455018278</v>
      </c>
      <c r="N66" s="63">
        <v>110.03</v>
      </c>
      <c r="O66" s="63">
        <v>2.0E9</v>
      </c>
      <c r="P66" s="15">
        <f t="shared" si="2"/>
        <v>2284528055</v>
      </c>
      <c r="Q66" s="15">
        <f t="shared" si="3"/>
        <v>2200600000</v>
      </c>
      <c r="R66" s="15">
        <f t="shared" si="4"/>
        <v>83928054.95</v>
      </c>
      <c r="S66" s="15"/>
      <c r="T66" s="15">
        <f t="shared" si="5"/>
        <v>2284528055</v>
      </c>
      <c r="U66" s="62"/>
      <c r="V66" s="1"/>
      <c r="W66" s="1"/>
      <c r="X66" s="1"/>
      <c r="Y66" s="1"/>
      <c r="Z66" s="1"/>
      <c r="AA66" s="1"/>
    </row>
    <row r="67" ht="13.5" customHeight="1">
      <c r="B67" s="3">
        <f t="shared" si="6"/>
        <v>64</v>
      </c>
      <c r="C67" s="1" t="s">
        <v>57</v>
      </c>
      <c r="D67" s="1" t="s">
        <v>58</v>
      </c>
      <c r="E67" s="3" t="s">
        <v>139</v>
      </c>
      <c r="F67" s="1" t="s">
        <v>60</v>
      </c>
      <c r="G67" s="1" t="s">
        <v>12</v>
      </c>
      <c r="H67" s="1" t="s">
        <v>173</v>
      </c>
      <c r="I67" s="62">
        <v>0.148</v>
      </c>
      <c r="J67" s="52">
        <v>54539.0</v>
      </c>
      <c r="K67" s="122">
        <v>44965.0</v>
      </c>
      <c r="L67" s="122">
        <v>44967.0</v>
      </c>
      <c r="M67" s="62">
        <f t="shared" si="10"/>
        <v>0.1564928296</v>
      </c>
      <c r="N67" s="63">
        <v>94.61</v>
      </c>
      <c r="O67" s="63">
        <v>5.0E9</v>
      </c>
      <c r="P67" s="15">
        <f t="shared" si="2"/>
        <v>4948027473</v>
      </c>
      <c r="Q67" s="15">
        <f t="shared" si="3"/>
        <v>4730500000</v>
      </c>
      <c r="R67" s="15">
        <f t="shared" si="4"/>
        <v>217527472.5</v>
      </c>
      <c r="S67" s="15"/>
      <c r="T67" s="15">
        <f t="shared" si="5"/>
        <v>4948027473</v>
      </c>
      <c r="U67" s="62"/>
      <c r="V67" s="1"/>
      <c r="W67" s="1"/>
      <c r="X67" s="1"/>
      <c r="Y67" s="1"/>
      <c r="Z67" s="1"/>
      <c r="AA67" s="1"/>
    </row>
    <row r="68" ht="13.5" customHeight="1">
      <c r="B68" s="3">
        <f t="shared" si="6"/>
        <v>65</v>
      </c>
      <c r="C68" s="1" t="s">
        <v>57</v>
      </c>
      <c r="D68" s="1" t="s">
        <v>58</v>
      </c>
      <c r="E68" s="3" t="s">
        <v>139</v>
      </c>
      <c r="F68" s="1" t="s">
        <v>60</v>
      </c>
      <c r="G68" s="1" t="s">
        <v>12</v>
      </c>
      <c r="H68" s="1" t="s">
        <v>173</v>
      </c>
      <c r="I68" s="62">
        <v>0.148</v>
      </c>
      <c r="J68" s="52">
        <v>54539.0</v>
      </c>
      <c r="K68" s="122">
        <v>44973.0</v>
      </c>
      <c r="L68" s="122">
        <v>44977.0</v>
      </c>
      <c r="M68" s="62">
        <f t="shared" si="10"/>
        <v>0.157495936</v>
      </c>
      <c r="N68" s="63">
        <v>94.02</v>
      </c>
      <c r="O68" s="63">
        <v>1.0E9</v>
      </c>
      <c r="P68" s="15">
        <f t="shared" si="2"/>
        <v>987771428.6</v>
      </c>
      <c r="Q68" s="15">
        <f t="shared" si="3"/>
        <v>940200000</v>
      </c>
      <c r="R68" s="15">
        <f t="shared" si="4"/>
        <v>47571428.57</v>
      </c>
      <c r="S68" s="15">
        <f t="shared" ref="S68:S69" si="11">$S$1*O68</f>
        <v>537500</v>
      </c>
      <c r="T68" s="15">
        <f t="shared" ref="T68:T69" si="12">IFERROR(Q68+R68+S68,Q68)</f>
        <v>988308928.6</v>
      </c>
      <c r="U68" s="62"/>
      <c r="V68" s="1"/>
      <c r="W68" s="1"/>
      <c r="X68" s="1"/>
      <c r="Y68" s="1"/>
      <c r="Z68" s="1"/>
      <c r="AA68" s="1"/>
    </row>
    <row r="69" ht="13.5" customHeight="1">
      <c r="B69" s="3">
        <f t="shared" si="6"/>
        <v>66</v>
      </c>
      <c r="C69" s="1" t="s">
        <v>123</v>
      </c>
      <c r="D69" s="1" t="s">
        <v>58</v>
      </c>
      <c r="E69" s="3" t="s">
        <v>139</v>
      </c>
      <c r="F69" s="1" t="s">
        <v>153</v>
      </c>
      <c r="G69" s="1" t="s">
        <v>12</v>
      </c>
      <c r="H69" s="1" t="s">
        <v>171</v>
      </c>
      <c r="I69" s="62">
        <v>0.1625</v>
      </c>
      <c r="J69" s="52">
        <v>50148.0</v>
      </c>
      <c r="K69" s="122">
        <v>44993.0</v>
      </c>
      <c r="L69" s="122">
        <v>44998.0</v>
      </c>
      <c r="M69" s="62">
        <f t="shared" si="10"/>
        <v>0.1514949382</v>
      </c>
      <c r="N69" s="63">
        <v>106.29</v>
      </c>
      <c r="O69" s="63">
        <v>8.0E8</v>
      </c>
      <c r="P69" s="15">
        <f t="shared" si="2"/>
        <v>902462857.1</v>
      </c>
      <c r="Q69" s="15">
        <f t="shared" si="3"/>
        <v>850320000</v>
      </c>
      <c r="R69" s="15">
        <f t="shared" si="4"/>
        <v>52142857.14</v>
      </c>
      <c r="S69" s="15">
        <f t="shared" si="11"/>
        <v>430000</v>
      </c>
      <c r="T69" s="15">
        <f t="shared" si="12"/>
        <v>902892857.1</v>
      </c>
      <c r="U69" s="62"/>
      <c r="V69" s="1"/>
      <c r="W69" s="1"/>
      <c r="X69" s="1"/>
      <c r="Y69" s="1"/>
      <c r="Z69" s="1"/>
      <c r="AA69" s="1"/>
    </row>
    <row r="70" ht="13.5" customHeight="1">
      <c r="B70" s="3">
        <f t="shared" si="6"/>
        <v>67</v>
      </c>
      <c r="C70" s="1" t="s">
        <v>123</v>
      </c>
      <c r="D70" s="1" t="s">
        <v>58</v>
      </c>
      <c r="E70" s="3" t="s">
        <v>139</v>
      </c>
      <c r="F70" s="1" t="s">
        <v>153</v>
      </c>
      <c r="G70" s="1" t="s">
        <v>14</v>
      </c>
      <c r="H70" s="1" t="s">
        <v>173</v>
      </c>
      <c r="I70" s="62">
        <v>0.148</v>
      </c>
      <c r="J70" s="52">
        <v>54539.0</v>
      </c>
      <c r="K70" s="122">
        <v>45100.0</v>
      </c>
      <c r="L70" s="122">
        <v>45104.0</v>
      </c>
      <c r="M70" s="62">
        <f t="shared" si="10"/>
        <v>0.155992793</v>
      </c>
      <c r="N70" s="63">
        <v>94.92</v>
      </c>
      <c r="O70" s="63">
        <v>6.0E9</v>
      </c>
      <c r="P70" s="15">
        <f t="shared" si="2"/>
        <v>5845626230</v>
      </c>
      <c r="Q70" s="15">
        <f t="shared" si="3"/>
        <v>5695200000</v>
      </c>
      <c r="R70" s="15">
        <f t="shared" si="4"/>
        <v>150426229.5</v>
      </c>
      <c r="S70" s="15"/>
      <c r="T70" s="15">
        <f t="shared" ref="T70:T146" si="13">IFERROR(Q70+R70,Q70)</f>
        <v>5845626230</v>
      </c>
      <c r="U70" s="62"/>
      <c r="V70" s="1"/>
      <c r="W70" s="1"/>
      <c r="X70" s="1"/>
      <c r="Y70" s="1"/>
      <c r="Z70" s="1"/>
      <c r="AA70" s="1"/>
    </row>
    <row r="71" ht="13.5" customHeight="1">
      <c r="B71" s="3">
        <f t="shared" si="6"/>
        <v>68</v>
      </c>
      <c r="C71" s="1" t="s">
        <v>123</v>
      </c>
      <c r="D71" s="1" t="s">
        <v>58</v>
      </c>
      <c r="E71" s="3" t="s">
        <v>139</v>
      </c>
      <c r="F71" s="1" t="s">
        <v>153</v>
      </c>
      <c r="G71" s="1" t="s">
        <v>12</v>
      </c>
      <c r="H71" s="3" t="s">
        <v>150</v>
      </c>
      <c r="I71" s="62">
        <v>0.1298</v>
      </c>
      <c r="J71" s="52">
        <v>54874.0</v>
      </c>
      <c r="K71" s="122">
        <v>45120.0</v>
      </c>
      <c r="L71" s="122">
        <v>45124.0</v>
      </c>
      <c r="M71" s="62">
        <f t="shared" si="10"/>
        <v>0.1399976772</v>
      </c>
      <c r="N71" s="63">
        <v>92.86</v>
      </c>
      <c r="O71" s="63">
        <v>5.3E9</v>
      </c>
      <c r="P71" s="15">
        <f t="shared" si="2"/>
        <v>5130953043</v>
      </c>
      <c r="Q71" s="15">
        <f t="shared" si="3"/>
        <v>4921580000</v>
      </c>
      <c r="R71" s="15">
        <f t="shared" si="4"/>
        <v>209373043.5</v>
      </c>
      <c r="S71" s="15"/>
      <c r="T71" s="15">
        <f t="shared" si="13"/>
        <v>5130953043</v>
      </c>
      <c r="U71" s="62"/>
      <c r="V71" s="1"/>
      <c r="W71" s="1"/>
      <c r="X71" s="1"/>
      <c r="Y71" s="1"/>
      <c r="Z71" s="1"/>
      <c r="AA71" s="1"/>
    </row>
    <row r="72" ht="13.5" customHeight="1">
      <c r="B72" s="3">
        <f t="shared" si="6"/>
        <v>69</v>
      </c>
      <c r="C72" s="1" t="s">
        <v>123</v>
      </c>
      <c r="D72" s="1" t="s">
        <v>58</v>
      </c>
      <c r="E72" s="3" t="s">
        <v>139</v>
      </c>
      <c r="F72" s="1" t="s">
        <v>60</v>
      </c>
      <c r="G72" s="1" t="s">
        <v>14</v>
      </c>
      <c r="H72" s="1" t="s">
        <v>171</v>
      </c>
      <c r="I72" s="62">
        <v>0.1625</v>
      </c>
      <c r="J72" s="52">
        <v>50148.0</v>
      </c>
      <c r="K72" s="122">
        <v>45230.0</v>
      </c>
      <c r="L72" s="122">
        <v>45231.0</v>
      </c>
      <c r="M72" s="62">
        <f t="shared" si="10"/>
        <v>0.1650030896</v>
      </c>
      <c r="N72" s="63">
        <v>98.64</v>
      </c>
      <c r="O72" s="63">
        <v>8.0E8</v>
      </c>
      <c r="P72" s="15">
        <f t="shared" si="2"/>
        <v>794092677.6</v>
      </c>
      <c r="Q72" s="15">
        <f t="shared" si="3"/>
        <v>789120000</v>
      </c>
      <c r="R72" s="15">
        <f t="shared" si="4"/>
        <v>4972677.596</v>
      </c>
      <c r="S72" s="15"/>
      <c r="T72" s="15">
        <f t="shared" si="13"/>
        <v>794092677.6</v>
      </c>
      <c r="U72" s="62"/>
      <c r="V72" s="1"/>
      <c r="W72" s="1"/>
      <c r="X72" s="1"/>
      <c r="Y72" s="1"/>
      <c r="Z72" s="1"/>
      <c r="AA72" s="1"/>
    </row>
    <row r="73" ht="13.5" customHeight="1">
      <c r="B73" s="3">
        <f t="shared" si="6"/>
        <v>70</v>
      </c>
      <c r="C73" s="1" t="s">
        <v>123</v>
      </c>
      <c r="D73" s="1" t="s">
        <v>58</v>
      </c>
      <c r="E73" s="3" t="s">
        <v>139</v>
      </c>
      <c r="F73" s="1" t="s">
        <v>60</v>
      </c>
      <c r="G73" s="1" t="s">
        <v>14</v>
      </c>
      <c r="H73" s="1" t="s">
        <v>171</v>
      </c>
      <c r="I73" s="62">
        <v>0.1625</v>
      </c>
      <c r="J73" s="52">
        <v>50148.0</v>
      </c>
      <c r="K73" s="122">
        <v>45230.0</v>
      </c>
      <c r="L73" s="122">
        <v>45232.0</v>
      </c>
      <c r="M73" s="62">
        <f t="shared" si="10"/>
        <v>0.1650004599</v>
      </c>
      <c r="N73" s="63">
        <v>98.64</v>
      </c>
      <c r="O73" s="63">
        <v>1.0E9</v>
      </c>
      <c r="P73" s="15">
        <f t="shared" si="2"/>
        <v>993059836.1</v>
      </c>
      <c r="Q73" s="15">
        <f t="shared" si="3"/>
        <v>986400000</v>
      </c>
      <c r="R73" s="15">
        <f t="shared" si="4"/>
        <v>6659836.066</v>
      </c>
      <c r="S73" s="15"/>
      <c r="T73" s="15">
        <f t="shared" si="13"/>
        <v>993059836.1</v>
      </c>
      <c r="U73" s="62"/>
      <c r="V73" s="1"/>
      <c r="W73" s="1"/>
      <c r="X73" s="1"/>
      <c r="Y73" s="1"/>
      <c r="Z73" s="1"/>
      <c r="AA73" s="1"/>
    </row>
    <row r="74" ht="13.5" customHeight="1">
      <c r="B74" s="3">
        <f t="shared" si="6"/>
        <v>71</v>
      </c>
      <c r="C74" s="1" t="s">
        <v>123</v>
      </c>
      <c r="D74" s="1" t="s">
        <v>58</v>
      </c>
      <c r="E74" s="3" t="s">
        <v>139</v>
      </c>
      <c r="F74" s="1" t="s">
        <v>60</v>
      </c>
      <c r="G74" s="1" t="s">
        <v>14</v>
      </c>
      <c r="H74" s="1" t="s">
        <v>171</v>
      </c>
      <c r="I74" s="62">
        <v>0.1625</v>
      </c>
      <c r="J74" s="52">
        <v>50148.0</v>
      </c>
      <c r="K74" s="122">
        <v>45232.0</v>
      </c>
      <c r="L74" s="122">
        <v>45233.0</v>
      </c>
      <c r="M74" s="62">
        <f t="shared" si="10"/>
        <v>0.1650167855</v>
      </c>
      <c r="N74" s="63">
        <v>98.63</v>
      </c>
      <c r="O74" s="63">
        <v>5.0E8</v>
      </c>
      <c r="P74" s="15">
        <f t="shared" si="2"/>
        <v>496701912.6</v>
      </c>
      <c r="Q74" s="15">
        <f t="shared" si="3"/>
        <v>493150000</v>
      </c>
      <c r="R74" s="15">
        <f t="shared" si="4"/>
        <v>3551912.568</v>
      </c>
      <c r="S74" s="15"/>
      <c r="T74" s="15">
        <f t="shared" si="13"/>
        <v>496701912.6</v>
      </c>
      <c r="U74" s="62"/>
      <c r="V74" s="1"/>
      <c r="W74" s="1"/>
      <c r="X74" s="1"/>
      <c r="Y74" s="1"/>
      <c r="Z74" s="1"/>
      <c r="AA74" s="1"/>
    </row>
    <row r="75" ht="13.5" customHeight="1">
      <c r="B75" s="3">
        <f t="shared" si="6"/>
        <v>72</v>
      </c>
      <c r="C75" s="1" t="s">
        <v>123</v>
      </c>
      <c r="D75" s="1" t="s">
        <v>58</v>
      </c>
      <c r="E75" s="3" t="s">
        <v>139</v>
      </c>
      <c r="F75" s="1" t="s">
        <v>60</v>
      </c>
      <c r="G75" s="1" t="s">
        <v>14</v>
      </c>
      <c r="H75" s="1" t="s">
        <v>171</v>
      </c>
      <c r="I75" s="62">
        <v>0.1625</v>
      </c>
      <c r="J75" s="52">
        <v>50148.0</v>
      </c>
      <c r="K75" s="122">
        <v>45233.0</v>
      </c>
      <c r="L75" s="122">
        <v>45237.0</v>
      </c>
      <c r="M75" s="62">
        <f t="shared" si="10"/>
        <v>0.1664732614</v>
      </c>
      <c r="N75" s="63">
        <v>97.86</v>
      </c>
      <c r="O75" s="63">
        <v>3.0E8</v>
      </c>
      <c r="P75" s="15">
        <f t="shared" si="2"/>
        <v>296243934.4</v>
      </c>
      <c r="Q75" s="15">
        <f t="shared" si="3"/>
        <v>293580000</v>
      </c>
      <c r="R75" s="15">
        <f t="shared" si="4"/>
        <v>2663934.426</v>
      </c>
      <c r="S75" s="15"/>
      <c r="T75" s="15">
        <f t="shared" si="13"/>
        <v>296243934.4</v>
      </c>
      <c r="U75" s="62"/>
      <c r="V75" s="1"/>
      <c r="W75" s="1"/>
      <c r="X75" s="1"/>
      <c r="Y75" s="1"/>
      <c r="Z75" s="1"/>
      <c r="AA75" s="1"/>
    </row>
    <row r="76" ht="13.5" customHeight="1">
      <c r="B76" s="3">
        <f t="shared" si="6"/>
        <v>73</v>
      </c>
      <c r="C76" s="1" t="s">
        <v>123</v>
      </c>
      <c r="D76" s="1" t="s">
        <v>58</v>
      </c>
      <c r="E76" s="3" t="s">
        <v>139</v>
      </c>
      <c r="F76" s="1" t="s">
        <v>60</v>
      </c>
      <c r="G76" s="1" t="s">
        <v>14</v>
      </c>
      <c r="H76" s="1" t="s">
        <v>171</v>
      </c>
      <c r="I76" s="62">
        <v>0.1625</v>
      </c>
      <c r="J76" s="52">
        <v>50148.0</v>
      </c>
      <c r="K76" s="122">
        <v>45239.0</v>
      </c>
      <c r="L76" s="122">
        <v>45243.0</v>
      </c>
      <c r="M76" s="62">
        <f t="shared" si="10"/>
        <v>0.1695096134</v>
      </c>
      <c r="N76" s="63">
        <v>96.29</v>
      </c>
      <c r="O76" s="63">
        <v>2.0E9</v>
      </c>
      <c r="P76" s="15">
        <f t="shared" si="2"/>
        <v>1948887432</v>
      </c>
      <c r="Q76" s="15">
        <f t="shared" si="3"/>
        <v>1925800000</v>
      </c>
      <c r="R76" s="15">
        <f t="shared" si="4"/>
        <v>23087431.69</v>
      </c>
      <c r="S76" s="15"/>
      <c r="T76" s="15">
        <f t="shared" si="13"/>
        <v>1948887432</v>
      </c>
      <c r="U76" s="62"/>
      <c r="V76" s="1"/>
      <c r="W76" s="1"/>
      <c r="X76" s="1"/>
      <c r="Y76" s="1"/>
      <c r="Z76" s="1"/>
      <c r="AA76" s="1"/>
    </row>
    <row r="77" ht="13.5" customHeight="1">
      <c r="B77" s="3">
        <f t="shared" si="6"/>
        <v>74</v>
      </c>
      <c r="C77" s="1" t="s">
        <v>92</v>
      </c>
      <c r="D77" s="1" t="s">
        <v>58</v>
      </c>
      <c r="E77" s="3" t="s">
        <v>139</v>
      </c>
      <c r="F77" s="1" t="s">
        <v>148</v>
      </c>
      <c r="G77" s="1" t="s">
        <v>12</v>
      </c>
      <c r="H77" s="1" t="s">
        <v>175</v>
      </c>
      <c r="I77" s="62">
        <v>0.0</v>
      </c>
      <c r="J77" s="52">
        <v>45603.0</v>
      </c>
      <c r="K77" s="122">
        <v>45243.0</v>
      </c>
      <c r="L77" s="122">
        <v>45610.0</v>
      </c>
      <c r="M77" s="62" t="str">
        <f t="shared" si="10"/>
        <v/>
      </c>
      <c r="N77" s="63">
        <v>85.0852</v>
      </c>
      <c r="O77" s="63">
        <v>1.0E9</v>
      </c>
      <c r="P77" s="15">
        <f t="shared" si="2"/>
        <v>850852000</v>
      </c>
      <c r="Q77" s="15">
        <f t="shared" si="3"/>
        <v>850852000</v>
      </c>
      <c r="R77" s="15"/>
      <c r="S77" s="15"/>
      <c r="T77" s="15">
        <f t="shared" si="13"/>
        <v>850852000</v>
      </c>
      <c r="U77" s="62"/>
      <c r="V77" s="1"/>
      <c r="W77" s="1"/>
      <c r="X77" s="1"/>
      <c r="Y77" s="1"/>
      <c r="Z77" s="1"/>
      <c r="AA77" s="1"/>
    </row>
    <row r="78" ht="13.5" customHeight="1">
      <c r="B78" s="3">
        <f t="shared" si="6"/>
        <v>75</v>
      </c>
      <c r="C78" s="1" t="s">
        <v>95</v>
      </c>
      <c r="D78" s="1" t="s">
        <v>58</v>
      </c>
      <c r="E78" s="3" t="s">
        <v>139</v>
      </c>
      <c r="F78" s="1" t="s">
        <v>148</v>
      </c>
      <c r="G78" s="1" t="s">
        <v>12</v>
      </c>
      <c r="H78" s="1" t="s">
        <v>175</v>
      </c>
      <c r="I78" s="62">
        <v>0.0</v>
      </c>
      <c r="J78" s="52">
        <v>45603.0</v>
      </c>
      <c r="K78" s="122">
        <v>45243.0</v>
      </c>
      <c r="L78" s="122">
        <v>45610.0</v>
      </c>
      <c r="M78" s="62" t="str">
        <f t="shared" si="10"/>
        <v/>
      </c>
      <c r="N78" s="63">
        <v>85.0852</v>
      </c>
      <c r="O78" s="63">
        <v>2.0E9</v>
      </c>
      <c r="P78" s="15">
        <f t="shared" si="2"/>
        <v>1701704000</v>
      </c>
      <c r="Q78" s="15">
        <f t="shared" si="3"/>
        <v>1701704000</v>
      </c>
      <c r="R78" s="15" t="str">
        <f t="shared" ref="R78:R220" si="14">IFERROR(ACCRINT(COUPPCD(L78,J78,2,1),COUPNCD(L78,J78,2,0),L78,I78,O78,2,1),"")</f>
        <v/>
      </c>
      <c r="S78" s="15"/>
      <c r="T78" s="15">
        <f t="shared" si="13"/>
        <v>1701704000</v>
      </c>
      <c r="U78" s="62"/>
      <c r="V78" s="1"/>
      <c r="W78" s="1"/>
      <c r="X78" s="1"/>
      <c r="Y78" s="1"/>
      <c r="Z78" s="1"/>
      <c r="AA78" s="1"/>
    </row>
    <row r="79" ht="13.5" customHeight="1">
      <c r="B79" s="3">
        <f t="shared" si="6"/>
        <v>76</v>
      </c>
      <c r="C79" s="1" t="s">
        <v>123</v>
      </c>
      <c r="D79" s="1" t="s">
        <v>58</v>
      </c>
      <c r="E79" s="3" t="s">
        <v>139</v>
      </c>
      <c r="F79" s="1" t="s">
        <v>148</v>
      </c>
      <c r="G79" s="1" t="s">
        <v>14</v>
      </c>
      <c r="H79" s="3" t="s">
        <v>150</v>
      </c>
      <c r="I79" s="62">
        <v>0.1298</v>
      </c>
      <c r="J79" s="52">
        <v>54874.0</v>
      </c>
      <c r="K79" s="122">
        <v>45250.0</v>
      </c>
      <c r="L79" s="122">
        <v>45252.0</v>
      </c>
      <c r="M79" s="62">
        <f t="shared" si="10"/>
        <v>0.1789885494</v>
      </c>
      <c r="N79" s="63">
        <v>72.76</v>
      </c>
      <c r="O79" s="63">
        <v>4.8E9</v>
      </c>
      <c r="P79" s="15">
        <f t="shared" si="2"/>
        <v>3588332308</v>
      </c>
      <c r="Q79" s="15">
        <f t="shared" si="3"/>
        <v>3492480000</v>
      </c>
      <c r="R79" s="15">
        <f t="shared" si="14"/>
        <v>95852307.69</v>
      </c>
      <c r="S79" s="15"/>
      <c r="T79" s="15">
        <f t="shared" si="13"/>
        <v>3588332308</v>
      </c>
      <c r="U79" s="62"/>
      <c r="V79" s="1"/>
      <c r="W79" s="1"/>
      <c r="X79" s="1"/>
      <c r="Y79" s="1"/>
      <c r="Z79" s="1"/>
      <c r="AA79" s="1"/>
    </row>
    <row r="80" ht="13.5" customHeight="1">
      <c r="B80" s="3">
        <f t="shared" si="6"/>
        <v>77</v>
      </c>
      <c r="C80" s="1" t="s">
        <v>123</v>
      </c>
      <c r="D80" s="1" t="s">
        <v>58</v>
      </c>
      <c r="E80" s="3" t="s">
        <v>139</v>
      </c>
      <c r="F80" s="1" t="s">
        <v>148</v>
      </c>
      <c r="G80" s="1" t="s">
        <v>14</v>
      </c>
      <c r="H80" s="3" t="s">
        <v>150</v>
      </c>
      <c r="I80" s="62">
        <v>0.1298</v>
      </c>
      <c r="J80" s="52">
        <v>54874.0</v>
      </c>
      <c r="K80" s="122">
        <v>45250.0</v>
      </c>
      <c r="L80" s="122">
        <v>45253.0</v>
      </c>
      <c r="M80" s="62">
        <f t="shared" si="10"/>
        <v>0.1789874621</v>
      </c>
      <c r="N80" s="63">
        <v>72.76</v>
      </c>
      <c r="O80" s="63">
        <v>5.0E8</v>
      </c>
      <c r="P80" s="15">
        <f t="shared" si="2"/>
        <v>373962912.1</v>
      </c>
      <c r="Q80" s="15">
        <f t="shared" si="3"/>
        <v>363800000</v>
      </c>
      <c r="R80" s="15">
        <f t="shared" si="14"/>
        <v>10162912.09</v>
      </c>
      <c r="S80" s="15"/>
      <c r="T80" s="15">
        <f t="shared" si="13"/>
        <v>373962912.1</v>
      </c>
      <c r="U80" s="62"/>
      <c r="V80" s="1"/>
      <c r="W80" s="1"/>
      <c r="X80" s="1"/>
      <c r="Y80" s="1"/>
      <c r="Z80" s="1"/>
      <c r="AA80" s="1"/>
    </row>
    <row r="81" ht="13.5" customHeight="1">
      <c r="B81" s="3">
        <f t="shared" si="6"/>
        <v>78</v>
      </c>
      <c r="C81" s="1" t="s">
        <v>123</v>
      </c>
      <c r="D81" s="1" t="s">
        <v>58</v>
      </c>
      <c r="E81" s="3" t="s">
        <v>139</v>
      </c>
      <c r="F81" s="1" t="s">
        <v>148</v>
      </c>
      <c r="G81" s="1" t="s">
        <v>14</v>
      </c>
      <c r="H81" s="1" t="s">
        <v>171</v>
      </c>
      <c r="I81" s="62">
        <v>0.162499</v>
      </c>
      <c r="J81" s="52">
        <v>50148.0</v>
      </c>
      <c r="K81" s="122">
        <v>45253.0</v>
      </c>
      <c r="L81" s="122">
        <v>45257.0</v>
      </c>
      <c r="M81" s="62">
        <f t="shared" si="10"/>
        <v>0.1699957578</v>
      </c>
      <c r="N81" s="63">
        <v>96.03</v>
      </c>
      <c r="O81" s="63">
        <v>2.0E8</v>
      </c>
      <c r="P81" s="15">
        <f t="shared" si="2"/>
        <v>195611890.7</v>
      </c>
      <c r="Q81" s="15">
        <f t="shared" si="3"/>
        <v>192060000</v>
      </c>
      <c r="R81" s="15">
        <f t="shared" si="14"/>
        <v>3551890.71</v>
      </c>
      <c r="S81" s="15"/>
      <c r="T81" s="15">
        <f t="shared" si="13"/>
        <v>195611890.7</v>
      </c>
      <c r="U81" s="62"/>
      <c r="V81" s="1"/>
      <c r="W81" s="1"/>
      <c r="X81" s="1"/>
      <c r="Y81" s="1"/>
      <c r="Z81" s="1"/>
      <c r="AA81" s="1"/>
    </row>
    <row r="82" ht="13.5" customHeight="1">
      <c r="B82" s="3">
        <f t="shared" si="6"/>
        <v>79</v>
      </c>
      <c r="C82" s="1" t="s">
        <v>83</v>
      </c>
      <c r="D82" s="1" t="s">
        <v>58</v>
      </c>
      <c r="E82" s="3" t="s">
        <v>139</v>
      </c>
      <c r="F82" s="1" t="s">
        <v>148</v>
      </c>
      <c r="G82" s="1" t="s">
        <v>12</v>
      </c>
      <c r="H82" s="1" t="s">
        <v>177</v>
      </c>
      <c r="I82" s="62">
        <v>0.0</v>
      </c>
      <c r="J82" s="52">
        <v>45631.0</v>
      </c>
      <c r="K82" s="122">
        <v>45266.0</v>
      </c>
      <c r="L82" s="122">
        <v>45267.0</v>
      </c>
      <c r="M82" s="62">
        <v>0.155</v>
      </c>
      <c r="N82" s="63">
        <v>84.5846994535519</v>
      </c>
      <c r="O82" s="63">
        <v>1.0E9</v>
      </c>
      <c r="P82" s="15">
        <f t="shared" si="2"/>
        <v>845846994.5</v>
      </c>
      <c r="Q82" s="15">
        <f t="shared" si="3"/>
        <v>845846994.5</v>
      </c>
      <c r="R82" s="15" t="str">
        <f t="shared" si="14"/>
        <v/>
      </c>
      <c r="S82" s="15"/>
      <c r="T82" s="15">
        <f t="shared" si="13"/>
        <v>845846994.5</v>
      </c>
      <c r="U82" s="62"/>
      <c r="V82" s="1"/>
      <c r="W82" s="1"/>
      <c r="X82" s="1"/>
      <c r="Y82" s="1"/>
      <c r="Z82" s="1"/>
      <c r="AA82" s="1"/>
    </row>
    <row r="83" ht="13.5" customHeight="1">
      <c r="B83" s="3">
        <f t="shared" si="6"/>
        <v>80</v>
      </c>
      <c r="C83" s="1" t="s">
        <v>123</v>
      </c>
      <c r="D83" s="1" t="s">
        <v>58</v>
      </c>
      <c r="E83" s="3" t="s">
        <v>139</v>
      </c>
      <c r="F83" s="1" t="s">
        <v>148</v>
      </c>
      <c r="G83" s="1" t="s">
        <v>12</v>
      </c>
      <c r="H83" s="1" t="s">
        <v>178</v>
      </c>
      <c r="I83" s="62">
        <v>0.157</v>
      </c>
      <c r="J83" s="52">
        <v>56056.0</v>
      </c>
      <c r="K83" s="122">
        <v>45274.0</v>
      </c>
      <c r="L83" s="122">
        <v>45275.0</v>
      </c>
      <c r="M83" s="62">
        <f t="shared" ref="M83:M84" si="15">IFERROR(YIELD(L83,J83,I83,N83,100,2,1),"")</f>
        <v>0.1594997423</v>
      </c>
      <c r="N83" s="63">
        <v>98.44</v>
      </c>
      <c r="O83" s="63">
        <v>5.0E8</v>
      </c>
      <c r="P83" s="15">
        <f t="shared" si="2"/>
        <v>530163114.8</v>
      </c>
      <c r="Q83" s="15">
        <f t="shared" si="3"/>
        <v>492200000</v>
      </c>
      <c r="R83" s="15">
        <f t="shared" si="14"/>
        <v>37963114.75</v>
      </c>
      <c r="S83" s="15"/>
      <c r="T83" s="15">
        <f t="shared" si="13"/>
        <v>530163114.8</v>
      </c>
      <c r="U83" s="62"/>
      <c r="V83" s="1"/>
      <c r="W83" s="1"/>
      <c r="X83" s="1"/>
      <c r="Y83" s="1"/>
      <c r="Z83" s="1"/>
      <c r="AA83" s="1"/>
    </row>
    <row r="84" ht="13.5" customHeight="1">
      <c r="B84" s="3">
        <f t="shared" si="6"/>
        <v>81</v>
      </c>
      <c r="C84" s="1" t="s">
        <v>123</v>
      </c>
      <c r="D84" s="1" t="s">
        <v>58</v>
      </c>
      <c r="E84" s="3" t="s">
        <v>139</v>
      </c>
      <c r="F84" s="1" t="s">
        <v>148</v>
      </c>
      <c r="G84" s="1" t="s">
        <v>12</v>
      </c>
      <c r="H84" s="1" t="s">
        <v>178</v>
      </c>
      <c r="I84" s="62">
        <v>0.157</v>
      </c>
      <c r="J84" s="52">
        <v>56056.0</v>
      </c>
      <c r="K84" s="122">
        <v>45274.0</v>
      </c>
      <c r="L84" s="122">
        <v>45278.0</v>
      </c>
      <c r="M84" s="62">
        <f t="shared" si="15"/>
        <v>0.1595075492</v>
      </c>
      <c r="N84" s="63">
        <v>98.44</v>
      </c>
      <c r="O84" s="63">
        <v>4.5E9</v>
      </c>
      <c r="P84" s="15">
        <f t="shared" si="2"/>
        <v>4777259016</v>
      </c>
      <c r="Q84" s="15">
        <f t="shared" si="3"/>
        <v>4429800000</v>
      </c>
      <c r="R84" s="15">
        <f t="shared" si="14"/>
        <v>347459016.4</v>
      </c>
      <c r="S84" s="15"/>
      <c r="T84" s="15">
        <f t="shared" si="13"/>
        <v>4777259016</v>
      </c>
      <c r="U84" s="62"/>
      <c r="V84" s="1"/>
      <c r="W84" s="1"/>
      <c r="X84" s="1"/>
      <c r="Y84" s="1"/>
      <c r="Z84" s="1"/>
      <c r="AA84" s="1"/>
    </row>
    <row r="85" ht="13.5" customHeight="1">
      <c r="B85" s="3">
        <f t="shared" si="6"/>
        <v>82</v>
      </c>
      <c r="C85" s="1" t="s">
        <v>83</v>
      </c>
      <c r="D85" s="1" t="s">
        <v>58</v>
      </c>
      <c r="E85" s="3" t="s">
        <v>139</v>
      </c>
      <c r="F85" s="1" t="s">
        <v>148</v>
      </c>
      <c r="G85" s="1" t="s">
        <v>14</v>
      </c>
      <c r="H85" s="1" t="s">
        <v>175</v>
      </c>
      <c r="I85" s="62">
        <v>0.0</v>
      </c>
      <c r="J85" s="52">
        <v>45603.0</v>
      </c>
      <c r="K85" s="122">
        <v>45280.0</v>
      </c>
      <c r="L85" s="122">
        <v>45280.0</v>
      </c>
      <c r="M85" s="62">
        <v>0.11751195979643957</v>
      </c>
      <c r="N85" s="128">
        <f>PRICEDISC(K85,J85,M85,100,1)</f>
        <v>89.62835344</v>
      </c>
      <c r="O85" s="63">
        <v>2.0E9</v>
      </c>
      <c r="P85" s="15">
        <f t="shared" si="2"/>
        <v>1792567069</v>
      </c>
      <c r="Q85" s="15">
        <f t="shared" si="3"/>
        <v>1792567069</v>
      </c>
      <c r="R85" s="15" t="str">
        <f t="shared" si="14"/>
        <v/>
      </c>
      <c r="S85" s="15"/>
      <c r="T85" s="15">
        <f t="shared" si="13"/>
        <v>1792567069</v>
      </c>
      <c r="U85" s="62"/>
      <c r="V85" s="1"/>
      <c r="W85" s="1"/>
      <c r="X85" s="1"/>
      <c r="Y85" s="1"/>
      <c r="Z85" s="1"/>
      <c r="AA85" s="1"/>
    </row>
    <row r="86" ht="13.5" customHeight="1">
      <c r="B86" s="3">
        <f t="shared" si="6"/>
        <v>83</v>
      </c>
      <c r="C86" s="1" t="s">
        <v>123</v>
      </c>
      <c r="D86" s="1" t="s">
        <v>58</v>
      </c>
      <c r="E86" s="3" t="s">
        <v>139</v>
      </c>
      <c r="F86" s="1" t="s">
        <v>148</v>
      </c>
      <c r="G86" s="1" t="s">
        <v>12</v>
      </c>
      <c r="H86" s="1" t="s">
        <v>178</v>
      </c>
      <c r="I86" s="62">
        <v>0.157</v>
      </c>
      <c r="J86" s="52">
        <v>56056.0</v>
      </c>
      <c r="K86" s="122">
        <v>45280.0</v>
      </c>
      <c r="L86" s="122">
        <v>45282.0</v>
      </c>
      <c r="M86" s="62">
        <f>IFERROR(YIELD(L86,J86,I86,N86,100,2,1),"")</f>
        <v>0.1615008814</v>
      </c>
      <c r="N86" s="63">
        <v>97.24</v>
      </c>
      <c r="O86" s="63">
        <v>1.7E9</v>
      </c>
      <c r="P86" s="15">
        <f t="shared" si="2"/>
        <v>1653809235</v>
      </c>
      <c r="Q86" s="15">
        <f t="shared" si="3"/>
        <v>1653080000</v>
      </c>
      <c r="R86" s="15">
        <f t="shared" si="14"/>
        <v>729234.9727</v>
      </c>
      <c r="S86" s="15"/>
      <c r="T86" s="15">
        <f t="shared" si="13"/>
        <v>1653809235</v>
      </c>
      <c r="U86" s="62"/>
      <c r="V86" s="1"/>
      <c r="W86" s="1"/>
      <c r="X86" s="1"/>
      <c r="Y86" s="1"/>
      <c r="Z86" s="1"/>
      <c r="AA86" s="1"/>
    </row>
    <row r="87" ht="13.5" customHeight="1">
      <c r="B87" s="3">
        <f t="shared" si="6"/>
        <v>84</v>
      </c>
      <c r="C87" s="1" t="s">
        <v>95</v>
      </c>
      <c r="D87" s="1" t="s">
        <v>58</v>
      </c>
      <c r="E87" s="3" t="s">
        <v>139</v>
      </c>
      <c r="F87" s="1" t="s">
        <v>148</v>
      </c>
      <c r="G87" s="1" t="s">
        <v>14</v>
      </c>
      <c r="H87" s="1" t="s">
        <v>175</v>
      </c>
      <c r="I87" s="62">
        <v>0.0</v>
      </c>
      <c r="J87" s="52">
        <v>45603.0</v>
      </c>
      <c r="K87" s="122">
        <v>45282.0</v>
      </c>
      <c r="L87" s="122">
        <v>45282.0</v>
      </c>
      <c r="M87" s="62">
        <v>0.117</v>
      </c>
      <c r="N87" s="128">
        <f t="shared" ref="N87:N88" si="16">PRICEDISC(L87,J87,M87,100,1)</f>
        <v>89.73764878</v>
      </c>
      <c r="O87" s="63">
        <v>1.0E9</v>
      </c>
      <c r="P87" s="15">
        <f t="shared" si="2"/>
        <v>897376487.8</v>
      </c>
      <c r="Q87" s="15">
        <f t="shared" si="3"/>
        <v>897376487.8</v>
      </c>
      <c r="R87" s="15" t="str">
        <f t="shared" si="14"/>
        <v/>
      </c>
      <c r="S87" s="15"/>
      <c r="T87" s="15">
        <f t="shared" si="13"/>
        <v>897376487.8</v>
      </c>
      <c r="U87" s="62"/>
      <c r="V87" s="1"/>
      <c r="W87" s="1"/>
      <c r="X87" s="1"/>
      <c r="Y87" s="1"/>
      <c r="Z87" s="1"/>
      <c r="AA87" s="1"/>
    </row>
    <row r="88" ht="13.5" customHeight="1">
      <c r="B88" s="3">
        <f t="shared" si="6"/>
        <v>85</v>
      </c>
      <c r="C88" s="1" t="s">
        <v>95</v>
      </c>
      <c r="D88" s="1" t="s">
        <v>58</v>
      </c>
      <c r="E88" s="3" t="s">
        <v>139</v>
      </c>
      <c r="F88" s="1" t="s">
        <v>148</v>
      </c>
      <c r="G88" s="1" t="s">
        <v>14</v>
      </c>
      <c r="H88" s="1" t="s">
        <v>177</v>
      </c>
      <c r="I88" s="62">
        <v>0.0</v>
      </c>
      <c r="J88" s="52">
        <v>45631.0</v>
      </c>
      <c r="K88" s="122">
        <v>45282.0</v>
      </c>
      <c r="L88" s="122">
        <v>45282.0</v>
      </c>
      <c r="M88" s="62">
        <v>0.117</v>
      </c>
      <c r="N88" s="128">
        <f t="shared" si="16"/>
        <v>88.84256681</v>
      </c>
      <c r="O88" s="63">
        <v>1.0E9</v>
      </c>
      <c r="P88" s="15">
        <f t="shared" si="2"/>
        <v>888425668.1</v>
      </c>
      <c r="Q88" s="15">
        <f t="shared" si="3"/>
        <v>888425668.1</v>
      </c>
      <c r="R88" s="15" t="str">
        <f t="shared" si="14"/>
        <v/>
      </c>
      <c r="S88" s="15"/>
      <c r="T88" s="15">
        <f t="shared" si="13"/>
        <v>888425668.1</v>
      </c>
      <c r="U88" s="62"/>
      <c r="V88" s="1"/>
      <c r="W88" s="1"/>
      <c r="X88" s="1"/>
      <c r="Y88" s="1"/>
      <c r="Z88" s="1"/>
      <c r="AA88" s="1"/>
    </row>
    <row r="89" ht="13.5" customHeight="1">
      <c r="B89" s="3">
        <f t="shared" si="6"/>
        <v>86</v>
      </c>
      <c r="C89" s="1" t="s">
        <v>123</v>
      </c>
      <c r="D89" s="1" t="s">
        <v>58</v>
      </c>
      <c r="E89" s="3" t="s">
        <v>139</v>
      </c>
      <c r="F89" s="1" t="s">
        <v>148</v>
      </c>
      <c r="G89" s="1" t="s">
        <v>12</v>
      </c>
      <c r="H89" s="1" t="s">
        <v>178</v>
      </c>
      <c r="I89" s="62">
        <v>0.157</v>
      </c>
      <c r="J89" s="52">
        <v>56056.0</v>
      </c>
      <c r="K89" s="122">
        <v>45282.0</v>
      </c>
      <c r="L89" s="122">
        <v>45287.0</v>
      </c>
      <c r="M89" s="62">
        <f t="shared" ref="M89:M94" si="17">IFERROR(YIELD(L89,J89,I89,N89,100,2,1),"")</f>
        <v>0.1620088583</v>
      </c>
      <c r="N89" s="63">
        <v>96.93</v>
      </c>
      <c r="O89" s="63">
        <v>2.4E9</v>
      </c>
      <c r="P89" s="15">
        <f t="shared" si="2"/>
        <v>2332497049</v>
      </c>
      <c r="Q89" s="15">
        <f t="shared" si="3"/>
        <v>2326320000</v>
      </c>
      <c r="R89" s="15">
        <f t="shared" si="14"/>
        <v>6177049.18</v>
      </c>
      <c r="S89" s="15"/>
      <c r="T89" s="15">
        <f t="shared" si="13"/>
        <v>2332497049</v>
      </c>
      <c r="U89" s="62"/>
      <c r="V89" s="1"/>
      <c r="W89" s="1"/>
      <c r="X89" s="1"/>
      <c r="Y89" s="1"/>
      <c r="Z89" s="1"/>
      <c r="AA89" s="1"/>
    </row>
    <row r="90" ht="13.5" customHeight="1">
      <c r="B90" s="3">
        <f t="shared" si="6"/>
        <v>87</v>
      </c>
      <c r="C90" s="1" t="s">
        <v>123</v>
      </c>
      <c r="D90" s="1" t="s">
        <v>58</v>
      </c>
      <c r="E90" s="3" t="s">
        <v>139</v>
      </c>
      <c r="F90" s="1" t="s">
        <v>148</v>
      </c>
      <c r="G90" s="1" t="s">
        <v>14</v>
      </c>
      <c r="H90" s="1" t="s">
        <v>178</v>
      </c>
      <c r="I90" s="62">
        <v>0.157</v>
      </c>
      <c r="J90" s="52">
        <v>56056.0</v>
      </c>
      <c r="K90" s="122">
        <v>45334.0</v>
      </c>
      <c r="L90" s="122">
        <v>45336.0</v>
      </c>
      <c r="M90" s="62">
        <f t="shared" si="17"/>
        <v>0.178998804</v>
      </c>
      <c r="N90" s="63">
        <v>87.72</v>
      </c>
      <c r="O90" s="63">
        <v>8.0E8</v>
      </c>
      <c r="P90" s="15">
        <f t="shared" si="2"/>
        <v>720634316.9</v>
      </c>
      <c r="Q90" s="15">
        <f t="shared" si="3"/>
        <v>701760000</v>
      </c>
      <c r="R90" s="15">
        <f t="shared" si="14"/>
        <v>18874316.94</v>
      </c>
      <c r="S90" s="15"/>
      <c r="T90" s="15">
        <f t="shared" si="13"/>
        <v>720634316.9</v>
      </c>
      <c r="U90" s="62"/>
      <c r="V90" s="1"/>
      <c r="W90" s="1"/>
      <c r="X90" s="1"/>
      <c r="Y90" s="1"/>
      <c r="Z90" s="1"/>
      <c r="AA90" s="1"/>
    </row>
    <row r="91" ht="13.5" customHeight="1">
      <c r="B91" s="3">
        <f t="shared" si="6"/>
        <v>88</v>
      </c>
      <c r="C91" s="1" t="s">
        <v>123</v>
      </c>
      <c r="D91" s="1" t="s">
        <v>58</v>
      </c>
      <c r="E91" s="3" t="s">
        <v>139</v>
      </c>
      <c r="F91" s="1" t="s">
        <v>148</v>
      </c>
      <c r="G91" s="1" t="s">
        <v>14</v>
      </c>
      <c r="H91" s="1" t="s">
        <v>178</v>
      </c>
      <c r="I91" s="62">
        <v>0.157</v>
      </c>
      <c r="J91" s="52">
        <v>56056.0</v>
      </c>
      <c r="K91" s="122">
        <v>45334.0</v>
      </c>
      <c r="L91" s="122">
        <v>45337.0</v>
      </c>
      <c r="M91" s="62">
        <f t="shared" si="17"/>
        <v>0.1830066465</v>
      </c>
      <c r="N91" s="63">
        <v>85.8</v>
      </c>
      <c r="O91" s="63">
        <v>1.8E9</v>
      </c>
      <c r="P91" s="15">
        <f t="shared" si="2"/>
        <v>1587639344</v>
      </c>
      <c r="Q91" s="15">
        <f t="shared" si="3"/>
        <v>1544400000</v>
      </c>
      <c r="R91" s="15">
        <f t="shared" si="14"/>
        <v>43239344.26</v>
      </c>
      <c r="S91" s="15"/>
      <c r="T91" s="15">
        <f t="shared" si="13"/>
        <v>1587639344</v>
      </c>
      <c r="U91" s="62"/>
      <c r="V91" s="1"/>
      <c r="W91" s="1"/>
      <c r="X91" s="1"/>
      <c r="Y91" s="1"/>
      <c r="Z91" s="1"/>
      <c r="AA91" s="1"/>
    </row>
    <row r="92" ht="13.5" customHeight="1">
      <c r="B92" s="3">
        <f t="shared" si="6"/>
        <v>89</v>
      </c>
      <c r="C92" s="1" t="s">
        <v>123</v>
      </c>
      <c r="D92" s="1" t="s">
        <v>58</v>
      </c>
      <c r="E92" s="3" t="s">
        <v>139</v>
      </c>
      <c r="F92" s="1" t="s">
        <v>148</v>
      </c>
      <c r="G92" s="1" t="s">
        <v>14</v>
      </c>
      <c r="H92" s="1" t="s">
        <v>178</v>
      </c>
      <c r="I92" s="62">
        <v>0.157</v>
      </c>
      <c r="J92" s="52">
        <v>56056.0</v>
      </c>
      <c r="K92" s="122">
        <v>45334.0</v>
      </c>
      <c r="L92" s="122">
        <v>45338.0</v>
      </c>
      <c r="M92" s="62">
        <f t="shared" si="17"/>
        <v>0.1830051828</v>
      </c>
      <c r="N92" s="63">
        <v>85.8</v>
      </c>
      <c r="O92" s="63">
        <v>1.0E9</v>
      </c>
      <c r="P92" s="15">
        <f t="shared" si="2"/>
        <v>882450819.7</v>
      </c>
      <c r="Q92" s="15">
        <f t="shared" si="3"/>
        <v>858000000</v>
      </c>
      <c r="R92" s="15">
        <f t="shared" si="14"/>
        <v>24450819.67</v>
      </c>
      <c r="S92" s="15"/>
      <c r="T92" s="15">
        <f t="shared" si="13"/>
        <v>882450819.7</v>
      </c>
      <c r="U92" s="62"/>
      <c r="V92" s="1"/>
      <c r="W92" s="1"/>
      <c r="X92" s="1"/>
      <c r="Y92" s="1"/>
      <c r="Z92" s="1"/>
      <c r="AA92" s="1"/>
    </row>
    <row r="93" ht="13.5" customHeight="1">
      <c r="B93" s="3">
        <f t="shared" si="6"/>
        <v>90</v>
      </c>
      <c r="C93" s="1" t="s">
        <v>123</v>
      </c>
      <c r="D93" s="1" t="s">
        <v>58</v>
      </c>
      <c r="E93" s="3" t="s">
        <v>139</v>
      </c>
      <c r="F93" s="1" t="s">
        <v>148</v>
      </c>
      <c r="G93" s="1" t="s">
        <v>14</v>
      </c>
      <c r="H93" s="1" t="s">
        <v>178</v>
      </c>
      <c r="I93" s="62">
        <v>0.157</v>
      </c>
      <c r="J93" s="52">
        <v>56056.0</v>
      </c>
      <c r="K93" s="122">
        <v>45334.0</v>
      </c>
      <c r="L93" s="122">
        <v>45341.0</v>
      </c>
      <c r="M93" s="62">
        <f t="shared" si="17"/>
        <v>0.1830010508</v>
      </c>
      <c r="N93" s="63">
        <v>85.8</v>
      </c>
      <c r="O93" s="63">
        <v>2.5E8</v>
      </c>
      <c r="P93" s="15">
        <f t="shared" si="2"/>
        <v>220934426.2</v>
      </c>
      <c r="Q93" s="15">
        <f t="shared" si="3"/>
        <v>214500000</v>
      </c>
      <c r="R93" s="15">
        <f t="shared" si="14"/>
        <v>6434426.23</v>
      </c>
      <c r="S93" s="15"/>
      <c r="T93" s="15">
        <f t="shared" si="13"/>
        <v>220934426.2</v>
      </c>
      <c r="U93" s="62"/>
      <c r="V93" s="1"/>
      <c r="W93" s="1"/>
      <c r="X93" s="1"/>
      <c r="Y93" s="1"/>
      <c r="Z93" s="1"/>
      <c r="AA93" s="1"/>
    </row>
    <row r="94" ht="13.5" customHeight="1">
      <c r="B94" s="3">
        <f t="shared" si="6"/>
        <v>91</v>
      </c>
      <c r="C94" s="1" t="s">
        <v>123</v>
      </c>
      <c r="D94" s="1" t="s">
        <v>58</v>
      </c>
      <c r="E94" s="3" t="s">
        <v>139</v>
      </c>
      <c r="F94" s="1" t="s">
        <v>148</v>
      </c>
      <c r="G94" s="1" t="s">
        <v>14</v>
      </c>
      <c r="H94" s="1" t="s">
        <v>178</v>
      </c>
      <c r="I94" s="62">
        <v>0.157</v>
      </c>
      <c r="J94" s="52">
        <v>56056.0</v>
      </c>
      <c r="K94" s="122">
        <v>45334.0</v>
      </c>
      <c r="L94" s="122">
        <v>45341.0</v>
      </c>
      <c r="M94" s="62">
        <f t="shared" si="17"/>
        <v>0.1830010508</v>
      </c>
      <c r="N94" s="63">
        <v>85.8</v>
      </c>
      <c r="O94" s="63">
        <v>3.0E8</v>
      </c>
      <c r="P94" s="15">
        <f t="shared" si="2"/>
        <v>265121311.5</v>
      </c>
      <c r="Q94" s="15">
        <f t="shared" si="3"/>
        <v>257400000</v>
      </c>
      <c r="R94" s="15">
        <f t="shared" si="14"/>
        <v>7721311.475</v>
      </c>
      <c r="S94" s="15"/>
      <c r="T94" s="15">
        <f t="shared" si="13"/>
        <v>265121311.5</v>
      </c>
      <c r="U94" s="62"/>
      <c r="V94" s="1"/>
      <c r="W94" s="1"/>
      <c r="X94" s="1"/>
      <c r="Y94" s="1"/>
      <c r="Z94" s="1"/>
      <c r="AA94" s="1"/>
    </row>
    <row r="95" ht="13.5" customHeight="1">
      <c r="B95" s="3">
        <f t="shared" si="6"/>
        <v>92</v>
      </c>
      <c r="C95" s="1" t="s">
        <v>123</v>
      </c>
      <c r="D95" s="1" t="s">
        <v>58</v>
      </c>
      <c r="E95" s="3" t="s">
        <v>139</v>
      </c>
      <c r="F95" s="1" t="s">
        <v>148</v>
      </c>
      <c r="G95" s="1" t="s">
        <v>12</v>
      </c>
      <c r="H95" s="1" t="s">
        <v>187</v>
      </c>
      <c r="I95" s="62">
        <v>0.0</v>
      </c>
      <c r="J95" s="52">
        <v>45708.0</v>
      </c>
      <c r="K95" s="122">
        <v>45343.0</v>
      </c>
      <c r="L95" s="122">
        <v>45344.0</v>
      </c>
      <c r="M95" s="123">
        <v>0.18195</v>
      </c>
      <c r="N95" s="128">
        <f t="shared" ref="N95:N97" si="18">PRICEDISC(L95,J95,M95,100,1)</f>
        <v>81.89761621</v>
      </c>
      <c r="O95" s="63">
        <v>1.0E9</v>
      </c>
      <c r="P95" s="15">
        <f t="shared" si="2"/>
        <v>818976162.1</v>
      </c>
      <c r="Q95" s="15">
        <f t="shared" si="3"/>
        <v>818976162.1</v>
      </c>
      <c r="R95" s="15" t="str">
        <f t="shared" si="14"/>
        <v/>
      </c>
      <c r="S95" s="15"/>
      <c r="T95" s="15">
        <f t="shared" si="13"/>
        <v>818976162.1</v>
      </c>
      <c r="U95" s="62"/>
      <c r="V95" s="1"/>
      <c r="W95" s="1"/>
      <c r="X95" s="1"/>
      <c r="Y95" s="1"/>
      <c r="Z95" s="1"/>
      <c r="AA95" s="1"/>
    </row>
    <row r="96" ht="13.5" customHeight="1">
      <c r="B96" s="3">
        <f t="shared" si="6"/>
        <v>93</v>
      </c>
      <c r="C96" s="1" t="s">
        <v>123</v>
      </c>
      <c r="D96" s="1" t="s">
        <v>58</v>
      </c>
      <c r="E96" s="3" t="s">
        <v>139</v>
      </c>
      <c r="F96" s="1" t="s">
        <v>148</v>
      </c>
      <c r="G96" s="1" t="s">
        <v>12</v>
      </c>
      <c r="H96" s="1" t="s">
        <v>187</v>
      </c>
      <c r="I96" s="62">
        <v>0.0</v>
      </c>
      <c r="J96" s="52">
        <v>45708.0</v>
      </c>
      <c r="K96" s="122">
        <v>45343.0</v>
      </c>
      <c r="L96" s="122">
        <v>45344.0</v>
      </c>
      <c r="M96" s="123">
        <v>0.18899</v>
      </c>
      <c r="N96" s="128">
        <f t="shared" si="18"/>
        <v>81.19719972</v>
      </c>
      <c r="O96" s="63">
        <v>1.0E9</v>
      </c>
      <c r="P96" s="15">
        <f t="shared" si="2"/>
        <v>811971997.2</v>
      </c>
      <c r="Q96" s="15">
        <f t="shared" si="3"/>
        <v>811971997.2</v>
      </c>
      <c r="R96" s="15" t="str">
        <f t="shared" si="14"/>
        <v/>
      </c>
      <c r="S96" s="15"/>
      <c r="T96" s="15">
        <f t="shared" si="13"/>
        <v>811971997.2</v>
      </c>
      <c r="U96" s="62"/>
      <c r="V96" s="1"/>
      <c r="W96" s="1"/>
      <c r="X96" s="1"/>
      <c r="Y96" s="1"/>
      <c r="Z96" s="1"/>
      <c r="AA96" s="1"/>
    </row>
    <row r="97" ht="13.5" customHeight="1">
      <c r="B97" s="3">
        <f t="shared" si="6"/>
        <v>94</v>
      </c>
      <c r="C97" s="1" t="s">
        <v>83</v>
      </c>
      <c r="D97" s="1" t="s">
        <v>58</v>
      </c>
      <c r="E97" s="3" t="s">
        <v>139</v>
      </c>
      <c r="F97" s="1" t="s">
        <v>148</v>
      </c>
      <c r="G97" s="1" t="s">
        <v>12</v>
      </c>
      <c r="H97" s="1" t="s">
        <v>187</v>
      </c>
      <c r="I97" s="62">
        <v>0.0</v>
      </c>
      <c r="J97" s="52">
        <v>45708.0</v>
      </c>
      <c r="K97" s="122">
        <v>45343.0</v>
      </c>
      <c r="L97" s="122">
        <v>45344.0</v>
      </c>
      <c r="M97" s="62">
        <v>0.19</v>
      </c>
      <c r="N97" s="128">
        <f t="shared" si="18"/>
        <v>81.09671383</v>
      </c>
      <c r="O97" s="63">
        <v>1.7E9</v>
      </c>
      <c r="P97" s="15">
        <f t="shared" si="2"/>
        <v>1378644135</v>
      </c>
      <c r="Q97" s="15">
        <f t="shared" si="3"/>
        <v>1378644135</v>
      </c>
      <c r="R97" s="15" t="str">
        <f t="shared" si="14"/>
        <v/>
      </c>
      <c r="S97" s="15"/>
      <c r="T97" s="15">
        <f t="shared" si="13"/>
        <v>1378644135</v>
      </c>
      <c r="U97" s="62"/>
      <c r="V97" s="1"/>
      <c r="W97" s="1"/>
      <c r="X97" s="1"/>
      <c r="Y97" s="1"/>
      <c r="Z97" s="1"/>
      <c r="AA97" s="1"/>
    </row>
    <row r="98" ht="13.5" customHeight="1">
      <c r="B98" s="3">
        <f t="shared" si="6"/>
        <v>95</v>
      </c>
      <c r="C98" s="1" t="s">
        <v>123</v>
      </c>
      <c r="D98" s="1" t="s">
        <v>58</v>
      </c>
      <c r="E98" s="3" t="s">
        <v>139</v>
      </c>
      <c r="F98" s="1" t="s">
        <v>148</v>
      </c>
      <c r="G98" s="1" t="s">
        <v>14</v>
      </c>
      <c r="H98" s="1" t="s">
        <v>178</v>
      </c>
      <c r="I98" s="62">
        <v>0.157</v>
      </c>
      <c r="J98" s="52">
        <v>56056.0</v>
      </c>
      <c r="K98" s="122">
        <v>45348.0</v>
      </c>
      <c r="L98" s="122">
        <v>45350.0</v>
      </c>
      <c r="M98" s="62">
        <f t="shared" ref="M98:M99" si="19">IFERROR(YIELD(L98,J98,I98,N98,100,2,1),"")</f>
        <v>0.1890020937</v>
      </c>
      <c r="N98" s="63">
        <v>83.07</v>
      </c>
      <c r="O98" s="63">
        <v>3.3E9</v>
      </c>
      <c r="P98" s="15">
        <f t="shared" si="2"/>
        <v>2838984590</v>
      </c>
      <c r="Q98" s="15">
        <f t="shared" si="3"/>
        <v>2741310000</v>
      </c>
      <c r="R98" s="15">
        <f t="shared" si="14"/>
        <v>97674590.16</v>
      </c>
      <c r="S98" s="15"/>
      <c r="T98" s="15">
        <f t="shared" si="13"/>
        <v>2838984590</v>
      </c>
      <c r="U98" s="62"/>
      <c r="V98" s="1"/>
      <c r="W98" s="1"/>
      <c r="X98" s="1"/>
      <c r="Y98" s="1"/>
      <c r="Z98" s="1"/>
      <c r="AA98" s="1"/>
    </row>
    <row r="99" ht="13.5" customHeight="1">
      <c r="B99" s="3">
        <f t="shared" si="6"/>
        <v>96</v>
      </c>
      <c r="C99" s="1" t="s">
        <v>123</v>
      </c>
      <c r="D99" s="1" t="s">
        <v>58</v>
      </c>
      <c r="E99" s="3" t="s">
        <v>139</v>
      </c>
      <c r="F99" s="1" t="s">
        <v>148</v>
      </c>
      <c r="G99" s="1" t="s">
        <v>14</v>
      </c>
      <c r="H99" s="1" t="s">
        <v>178</v>
      </c>
      <c r="I99" s="62">
        <v>0.157</v>
      </c>
      <c r="J99" s="52">
        <v>56056.0</v>
      </c>
      <c r="K99" s="122">
        <v>45349.0</v>
      </c>
      <c r="L99" s="122">
        <v>45351.0</v>
      </c>
      <c r="M99" s="62">
        <f t="shared" si="19"/>
        <v>0.1890011038</v>
      </c>
      <c r="N99" s="63">
        <v>83.07</v>
      </c>
      <c r="O99" s="63">
        <v>4.5E8</v>
      </c>
      <c r="P99" s="15">
        <f t="shared" si="2"/>
        <v>387327295.1</v>
      </c>
      <c r="Q99" s="15">
        <f t="shared" si="3"/>
        <v>373815000</v>
      </c>
      <c r="R99" s="15">
        <f t="shared" si="14"/>
        <v>13512295.08</v>
      </c>
      <c r="S99" s="15"/>
      <c r="T99" s="15">
        <f t="shared" si="13"/>
        <v>387327295.1</v>
      </c>
      <c r="U99" s="62"/>
      <c r="V99" s="1"/>
      <c r="W99" s="1"/>
      <c r="X99" s="1"/>
      <c r="Y99" s="1"/>
      <c r="Z99" s="1"/>
      <c r="AA99" s="1"/>
    </row>
    <row r="100" ht="13.5" customHeight="1">
      <c r="B100" s="3">
        <f t="shared" si="6"/>
        <v>97</v>
      </c>
      <c r="C100" s="1" t="s">
        <v>77</v>
      </c>
      <c r="D100" s="1" t="s">
        <v>58</v>
      </c>
      <c r="E100" s="3" t="s">
        <v>139</v>
      </c>
      <c r="F100" s="1" t="s">
        <v>148</v>
      </c>
      <c r="G100" s="1" t="s">
        <v>14</v>
      </c>
      <c r="H100" s="1" t="s">
        <v>187</v>
      </c>
      <c r="I100" s="62">
        <v>0.0</v>
      </c>
      <c r="J100" s="52">
        <v>45708.0</v>
      </c>
      <c r="K100" s="122">
        <v>45349.0</v>
      </c>
      <c r="L100" s="122">
        <v>45351.0</v>
      </c>
      <c r="M100" s="123">
        <v>0.1865</v>
      </c>
      <c r="N100" s="128">
        <f t="shared" ref="N100:N101" si="20">PRICEDISC(L100,J100,M100,100,1)</f>
        <v>81.80162624</v>
      </c>
      <c r="O100" s="63">
        <v>2.0E9</v>
      </c>
      <c r="P100" s="15">
        <f t="shared" si="2"/>
        <v>1636032525</v>
      </c>
      <c r="Q100" s="15">
        <f t="shared" si="3"/>
        <v>1636032525</v>
      </c>
      <c r="R100" s="15" t="str">
        <f t="shared" si="14"/>
        <v/>
      </c>
      <c r="S100" s="15"/>
      <c r="T100" s="15">
        <f t="shared" si="13"/>
        <v>1636032525</v>
      </c>
      <c r="U100" s="62"/>
      <c r="V100" s="1"/>
      <c r="W100" s="1"/>
      <c r="X100" s="1"/>
      <c r="Y100" s="1"/>
      <c r="Z100" s="1"/>
      <c r="AA100" s="1"/>
    </row>
    <row r="101" ht="13.5" customHeight="1">
      <c r="B101" s="3">
        <f t="shared" si="6"/>
        <v>98</v>
      </c>
      <c r="C101" s="1" t="s">
        <v>77</v>
      </c>
      <c r="D101" s="1" t="s">
        <v>58</v>
      </c>
      <c r="E101" s="3" t="s">
        <v>139</v>
      </c>
      <c r="F101" s="1" t="s">
        <v>148</v>
      </c>
      <c r="G101" s="1" t="s">
        <v>14</v>
      </c>
      <c r="H101" s="1" t="s">
        <v>187</v>
      </c>
      <c r="I101" s="62">
        <v>0.0</v>
      </c>
      <c r="J101" s="52">
        <v>45708.0</v>
      </c>
      <c r="K101" s="122">
        <v>45349.0</v>
      </c>
      <c r="L101" s="122">
        <v>45351.0</v>
      </c>
      <c r="M101" s="62">
        <v>0.187</v>
      </c>
      <c r="N101" s="128">
        <f t="shared" si="20"/>
        <v>81.75283704</v>
      </c>
      <c r="O101" s="63">
        <v>1.7E9</v>
      </c>
      <c r="P101" s="15">
        <f t="shared" si="2"/>
        <v>1389798230</v>
      </c>
      <c r="Q101" s="15">
        <f t="shared" si="3"/>
        <v>1389798230</v>
      </c>
      <c r="R101" s="15" t="str">
        <f t="shared" si="14"/>
        <v/>
      </c>
      <c r="S101" s="15"/>
      <c r="T101" s="15">
        <f t="shared" si="13"/>
        <v>1389798230</v>
      </c>
      <c r="U101" s="62"/>
      <c r="V101" s="1"/>
      <c r="W101" s="1"/>
      <c r="X101" s="1"/>
      <c r="Y101" s="1"/>
      <c r="Z101" s="1"/>
      <c r="AA101" s="1"/>
    </row>
    <row r="102" ht="13.5" customHeight="1">
      <c r="B102" s="3">
        <f t="shared" si="6"/>
        <v>99</v>
      </c>
      <c r="C102" s="1" t="s">
        <v>123</v>
      </c>
      <c r="D102" s="1" t="s">
        <v>58</v>
      </c>
      <c r="E102" s="3" t="s">
        <v>139</v>
      </c>
      <c r="F102" s="1" t="s">
        <v>148</v>
      </c>
      <c r="G102" s="1" t="s">
        <v>14</v>
      </c>
      <c r="H102" s="1" t="s">
        <v>178</v>
      </c>
      <c r="I102" s="62">
        <v>0.157</v>
      </c>
      <c r="J102" s="52">
        <v>56056.0</v>
      </c>
      <c r="K102" s="122">
        <v>45350.0</v>
      </c>
      <c r="L102" s="122">
        <v>45352.0</v>
      </c>
      <c r="M102" s="62">
        <f>IFERROR(YIELD(L102,J102,I102,N102,100,2,1),"")</f>
        <v>0.1890001615</v>
      </c>
      <c r="N102" s="63">
        <v>83.07</v>
      </c>
      <c r="O102" s="63">
        <v>4.0E8</v>
      </c>
      <c r="P102" s="15">
        <f t="shared" si="2"/>
        <v>344462513.7</v>
      </c>
      <c r="Q102" s="15">
        <f t="shared" si="3"/>
        <v>332280000</v>
      </c>
      <c r="R102" s="15">
        <f t="shared" si="14"/>
        <v>12182513.66</v>
      </c>
      <c r="S102" s="15"/>
      <c r="T102" s="15">
        <f t="shared" si="13"/>
        <v>344462513.7</v>
      </c>
      <c r="U102" s="62"/>
      <c r="V102" s="1"/>
      <c r="W102" s="1"/>
      <c r="X102" s="1"/>
      <c r="Y102" s="1"/>
      <c r="Z102" s="1"/>
      <c r="AA102" s="1"/>
    </row>
    <row r="103" ht="13.5" customHeight="1">
      <c r="B103" s="3">
        <f t="shared" si="6"/>
        <v>100</v>
      </c>
      <c r="C103" s="1" t="s">
        <v>83</v>
      </c>
      <c r="D103" s="1" t="s">
        <v>58</v>
      </c>
      <c r="E103" s="3" t="s">
        <v>139</v>
      </c>
      <c r="F103" s="1" t="s">
        <v>148</v>
      </c>
      <c r="G103" s="1" t="s">
        <v>12</v>
      </c>
      <c r="H103" s="1" t="s">
        <v>189</v>
      </c>
      <c r="I103" s="62">
        <v>0.0</v>
      </c>
      <c r="J103" s="52">
        <v>45722.0</v>
      </c>
      <c r="K103" s="122">
        <v>45357.0</v>
      </c>
      <c r="L103" s="122">
        <v>45358.0</v>
      </c>
      <c r="M103" s="62">
        <v>0.2</v>
      </c>
      <c r="N103" s="128">
        <f t="shared" ref="N103:N111" si="21">PRICEDISC(L103,J103,M103,100,1)</f>
        <v>80.09970806</v>
      </c>
      <c r="O103" s="63">
        <v>1.0E9</v>
      </c>
      <c r="P103" s="15">
        <f t="shared" si="2"/>
        <v>800997080.6</v>
      </c>
      <c r="Q103" s="15">
        <f t="shared" si="3"/>
        <v>800997080.6</v>
      </c>
      <c r="R103" s="15" t="str">
        <f t="shared" si="14"/>
        <v/>
      </c>
      <c r="S103" s="15"/>
      <c r="T103" s="15">
        <f t="shared" si="13"/>
        <v>800997080.6</v>
      </c>
      <c r="U103" s="62"/>
      <c r="V103" s="1"/>
      <c r="W103" s="1"/>
      <c r="X103" s="1"/>
      <c r="Y103" s="1"/>
      <c r="Z103" s="1"/>
      <c r="AA103" s="1"/>
    </row>
    <row r="104" ht="13.5" customHeight="1">
      <c r="B104" s="3">
        <f t="shared" si="6"/>
        <v>101</v>
      </c>
      <c r="C104" s="1" t="s">
        <v>123</v>
      </c>
      <c r="D104" s="1" t="s">
        <v>58</v>
      </c>
      <c r="E104" s="3" t="s">
        <v>139</v>
      </c>
      <c r="F104" s="1" t="s">
        <v>148</v>
      </c>
      <c r="G104" s="1" t="s">
        <v>12</v>
      </c>
      <c r="H104" s="1" t="s">
        <v>189</v>
      </c>
      <c r="I104" s="62">
        <v>0.0</v>
      </c>
      <c r="J104" s="52">
        <v>45722.0</v>
      </c>
      <c r="K104" s="122">
        <v>45357.0</v>
      </c>
      <c r="L104" s="122">
        <v>45358.0</v>
      </c>
      <c r="M104" s="62">
        <v>0.196</v>
      </c>
      <c r="N104" s="128">
        <f t="shared" si="21"/>
        <v>80.4977139</v>
      </c>
      <c r="O104" s="63">
        <v>5.0E8</v>
      </c>
      <c r="P104" s="15">
        <f t="shared" si="2"/>
        <v>402488569.5</v>
      </c>
      <c r="Q104" s="15">
        <f t="shared" si="3"/>
        <v>402488569.5</v>
      </c>
      <c r="R104" s="15" t="str">
        <f t="shared" si="14"/>
        <v/>
      </c>
      <c r="S104" s="15"/>
      <c r="T104" s="15">
        <f t="shared" si="13"/>
        <v>402488569.5</v>
      </c>
      <c r="U104" s="62"/>
      <c r="V104" s="1"/>
      <c r="W104" s="1"/>
      <c r="X104" s="1"/>
      <c r="Y104" s="1"/>
      <c r="Z104" s="1"/>
      <c r="AA104" s="1"/>
    </row>
    <row r="105" ht="13.5" customHeight="1">
      <c r="B105" s="3">
        <f t="shared" si="6"/>
        <v>102</v>
      </c>
      <c r="C105" s="1" t="s">
        <v>123</v>
      </c>
      <c r="D105" s="1" t="s">
        <v>58</v>
      </c>
      <c r="E105" s="3" t="s">
        <v>139</v>
      </c>
      <c r="F105" s="1" t="s">
        <v>148</v>
      </c>
      <c r="G105" s="1" t="s">
        <v>12</v>
      </c>
      <c r="H105" s="1" t="s">
        <v>189</v>
      </c>
      <c r="I105" s="62">
        <v>0.0</v>
      </c>
      <c r="J105" s="52">
        <v>45722.0</v>
      </c>
      <c r="K105" s="122">
        <v>45357.0</v>
      </c>
      <c r="L105" s="122">
        <v>45358.0</v>
      </c>
      <c r="M105" s="62">
        <v>0.1984</v>
      </c>
      <c r="N105" s="128">
        <f t="shared" si="21"/>
        <v>80.2589104</v>
      </c>
      <c r="O105" s="63">
        <v>5.0E8</v>
      </c>
      <c r="P105" s="15">
        <f t="shared" si="2"/>
        <v>401294552</v>
      </c>
      <c r="Q105" s="15">
        <f t="shared" si="3"/>
        <v>401294552</v>
      </c>
      <c r="R105" s="15" t="str">
        <f t="shared" si="14"/>
        <v/>
      </c>
      <c r="S105" s="15"/>
      <c r="T105" s="15">
        <f t="shared" si="13"/>
        <v>401294552</v>
      </c>
      <c r="U105" s="62"/>
      <c r="V105" s="1"/>
      <c r="W105" s="1"/>
      <c r="X105" s="1"/>
      <c r="Y105" s="1"/>
      <c r="Z105" s="1"/>
      <c r="AA105" s="1"/>
    </row>
    <row r="106" ht="13.5" customHeight="1">
      <c r="B106" s="3">
        <f t="shared" si="6"/>
        <v>103</v>
      </c>
      <c r="C106" s="1" t="s">
        <v>123</v>
      </c>
      <c r="D106" s="1" t="s">
        <v>58</v>
      </c>
      <c r="E106" s="3" t="s">
        <v>139</v>
      </c>
      <c r="F106" s="1" t="s">
        <v>148</v>
      </c>
      <c r="G106" s="1" t="s">
        <v>12</v>
      </c>
      <c r="H106" s="1" t="s">
        <v>189</v>
      </c>
      <c r="I106" s="62">
        <v>0.0</v>
      </c>
      <c r="J106" s="52">
        <v>45722.0</v>
      </c>
      <c r="K106" s="122">
        <v>45357.0</v>
      </c>
      <c r="L106" s="122">
        <v>45358.0</v>
      </c>
      <c r="M106" s="62">
        <v>0.2</v>
      </c>
      <c r="N106" s="128">
        <f t="shared" si="21"/>
        <v>80.09970806</v>
      </c>
      <c r="O106" s="63">
        <v>5.0E8</v>
      </c>
      <c r="P106" s="15">
        <f t="shared" si="2"/>
        <v>400498540.3</v>
      </c>
      <c r="Q106" s="15">
        <f t="shared" si="3"/>
        <v>400498540.3</v>
      </c>
      <c r="R106" s="15" t="str">
        <f t="shared" si="14"/>
        <v/>
      </c>
      <c r="S106" s="15"/>
      <c r="T106" s="15">
        <f t="shared" si="13"/>
        <v>400498540.3</v>
      </c>
      <c r="U106" s="62"/>
      <c r="V106" s="1"/>
      <c r="W106" s="1"/>
      <c r="X106" s="1"/>
      <c r="Y106" s="1"/>
      <c r="Z106" s="1"/>
      <c r="AA106" s="1"/>
    </row>
    <row r="107" ht="13.5" customHeight="1">
      <c r="B107" s="3">
        <f t="shared" si="6"/>
        <v>104</v>
      </c>
      <c r="C107" s="1" t="s">
        <v>123</v>
      </c>
      <c r="D107" s="1" t="s">
        <v>58</v>
      </c>
      <c r="E107" s="3" t="s">
        <v>139</v>
      </c>
      <c r="F107" s="1" t="s">
        <v>148</v>
      </c>
      <c r="G107" s="1" t="s">
        <v>12</v>
      </c>
      <c r="H107" s="1" t="s">
        <v>189</v>
      </c>
      <c r="I107" s="62">
        <v>0.0</v>
      </c>
      <c r="J107" s="52">
        <v>45722.0</v>
      </c>
      <c r="K107" s="122">
        <v>45357.0</v>
      </c>
      <c r="L107" s="122">
        <v>45358.0</v>
      </c>
      <c r="M107" s="62">
        <v>0.1975</v>
      </c>
      <c r="N107" s="128">
        <f t="shared" si="21"/>
        <v>80.34846171</v>
      </c>
      <c r="O107" s="63">
        <v>5.5E9</v>
      </c>
      <c r="P107" s="15">
        <f t="shared" si="2"/>
        <v>4419165394</v>
      </c>
      <c r="Q107" s="15">
        <f t="shared" si="3"/>
        <v>4419165394</v>
      </c>
      <c r="R107" s="15" t="str">
        <f t="shared" si="14"/>
        <v/>
      </c>
      <c r="S107" s="15"/>
      <c r="T107" s="15">
        <f t="shared" si="13"/>
        <v>4419165394</v>
      </c>
      <c r="U107" s="62"/>
      <c r="V107" s="1"/>
      <c r="W107" s="1"/>
      <c r="X107" s="1"/>
      <c r="Y107" s="1"/>
      <c r="Z107" s="1"/>
      <c r="AA107" s="1"/>
    </row>
    <row r="108" ht="13.5" customHeight="1">
      <c r="B108" s="3">
        <f t="shared" si="6"/>
        <v>105</v>
      </c>
      <c r="C108" s="1" t="s">
        <v>123</v>
      </c>
      <c r="D108" s="1" t="s">
        <v>58</v>
      </c>
      <c r="E108" s="3" t="s">
        <v>139</v>
      </c>
      <c r="F108" s="1" t="s">
        <v>148</v>
      </c>
      <c r="G108" s="1" t="s">
        <v>14</v>
      </c>
      <c r="H108" s="1" t="s">
        <v>189</v>
      </c>
      <c r="I108" s="62">
        <v>0.0</v>
      </c>
      <c r="J108" s="52">
        <v>45722.0</v>
      </c>
      <c r="K108" s="122">
        <v>45372.0</v>
      </c>
      <c r="L108" s="122">
        <v>45373.0</v>
      </c>
      <c r="M108" s="62">
        <v>0.193</v>
      </c>
      <c r="N108" s="63">
        <f t="shared" si="21"/>
        <v>81.58720189</v>
      </c>
      <c r="O108" s="63">
        <v>2.0E9</v>
      </c>
      <c r="P108" s="15">
        <f t="shared" si="2"/>
        <v>1631744038</v>
      </c>
      <c r="Q108" s="15">
        <f t="shared" si="3"/>
        <v>1631744038</v>
      </c>
      <c r="R108" s="15" t="str">
        <f t="shared" si="14"/>
        <v/>
      </c>
      <c r="S108" s="15"/>
      <c r="T108" s="15">
        <f t="shared" si="13"/>
        <v>1631744038</v>
      </c>
      <c r="U108" s="62"/>
      <c r="V108" s="1"/>
      <c r="W108" s="1"/>
      <c r="X108" s="1"/>
      <c r="Y108" s="1"/>
      <c r="Z108" s="1"/>
      <c r="AA108" s="1"/>
    </row>
    <row r="109" ht="13.5" customHeight="1">
      <c r="B109" s="3">
        <f t="shared" si="6"/>
        <v>106</v>
      </c>
      <c r="C109" s="1" t="s">
        <v>123</v>
      </c>
      <c r="D109" s="1" t="s">
        <v>58</v>
      </c>
      <c r="E109" s="3" t="s">
        <v>139</v>
      </c>
      <c r="F109" s="1" t="s">
        <v>148</v>
      </c>
      <c r="G109" s="1" t="s">
        <v>14</v>
      </c>
      <c r="H109" s="1" t="s">
        <v>189</v>
      </c>
      <c r="I109" s="62">
        <v>0.0</v>
      </c>
      <c r="J109" s="52">
        <v>45722.0</v>
      </c>
      <c r="K109" s="122">
        <v>45372.0</v>
      </c>
      <c r="L109" s="122">
        <v>45376.0</v>
      </c>
      <c r="M109" s="62">
        <v>0.193</v>
      </c>
      <c r="N109" s="63">
        <f t="shared" si="21"/>
        <v>81.74539861</v>
      </c>
      <c r="O109" s="63">
        <v>2.0E9</v>
      </c>
      <c r="P109" s="15">
        <f t="shared" si="2"/>
        <v>1634907972</v>
      </c>
      <c r="Q109" s="15">
        <f t="shared" si="3"/>
        <v>1634907972</v>
      </c>
      <c r="R109" s="15" t="str">
        <f t="shared" si="14"/>
        <v/>
      </c>
      <c r="S109" s="15"/>
      <c r="T109" s="15">
        <f t="shared" si="13"/>
        <v>1634907972</v>
      </c>
      <c r="U109" s="62"/>
      <c r="V109" s="1"/>
      <c r="W109" s="1"/>
      <c r="X109" s="1"/>
      <c r="Y109" s="1"/>
      <c r="Z109" s="1"/>
      <c r="AA109" s="1"/>
    </row>
    <row r="110" ht="13.5" customHeight="1">
      <c r="B110" s="3">
        <f t="shared" si="6"/>
        <v>107</v>
      </c>
      <c r="C110" s="1" t="s">
        <v>123</v>
      </c>
      <c r="D110" s="1" t="s">
        <v>58</v>
      </c>
      <c r="E110" s="3" t="s">
        <v>139</v>
      </c>
      <c r="F110" s="1" t="s">
        <v>148</v>
      </c>
      <c r="G110" s="1" t="s">
        <v>12</v>
      </c>
      <c r="H110" s="1" t="s">
        <v>193</v>
      </c>
      <c r="I110" s="62">
        <v>0.0</v>
      </c>
      <c r="J110" s="52">
        <v>45743.0</v>
      </c>
      <c r="K110" s="122">
        <v>45379.0</v>
      </c>
      <c r="L110" s="122">
        <v>45379.0</v>
      </c>
      <c r="M110" s="62">
        <v>0.1835</v>
      </c>
      <c r="N110" s="63">
        <f t="shared" si="21"/>
        <v>81.73859757</v>
      </c>
      <c r="O110" s="63">
        <v>4.7E9</v>
      </c>
      <c r="P110" s="15">
        <f t="shared" si="2"/>
        <v>3841714086</v>
      </c>
      <c r="Q110" s="15">
        <f t="shared" si="3"/>
        <v>3841714086</v>
      </c>
      <c r="R110" s="15" t="str">
        <f t="shared" si="14"/>
        <v/>
      </c>
      <c r="S110" s="15"/>
      <c r="T110" s="15">
        <f t="shared" si="13"/>
        <v>3841714086</v>
      </c>
      <c r="U110" s="62"/>
      <c r="V110" s="1"/>
      <c r="W110" s="1"/>
      <c r="X110" s="1"/>
      <c r="Y110" s="1"/>
      <c r="Z110" s="1"/>
      <c r="AA110" s="1"/>
    </row>
    <row r="111" ht="13.5" customHeight="1">
      <c r="B111" s="3">
        <f t="shared" si="6"/>
        <v>108</v>
      </c>
      <c r="C111" s="1" t="s">
        <v>123</v>
      </c>
      <c r="D111" s="1" t="s">
        <v>58</v>
      </c>
      <c r="E111" s="3" t="s">
        <v>139</v>
      </c>
      <c r="F111" s="1" t="s">
        <v>194</v>
      </c>
      <c r="G111" s="1" t="s">
        <v>14</v>
      </c>
      <c r="H111" s="1" t="s">
        <v>189</v>
      </c>
      <c r="I111" s="62">
        <v>0.0</v>
      </c>
      <c r="J111" s="52">
        <v>45722.0</v>
      </c>
      <c r="K111" s="122">
        <v>45394.0</v>
      </c>
      <c r="L111" s="122">
        <v>45398.0</v>
      </c>
      <c r="M111" s="62">
        <v>0.1945</v>
      </c>
      <c r="N111" s="63">
        <f t="shared" si="21"/>
        <v>82.77264915</v>
      </c>
      <c r="O111" s="63">
        <v>4.0E9</v>
      </c>
      <c r="P111" s="15">
        <v>3.31090596602E9</v>
      </c>
      <c r="Q111" s="15">
        <v>3.31090596602E9</v>
      </c>
      <c r="R111" s="15" t="str">
        <f t="shared" si="14"/>
        <v/>
      </c>
      <c r="S111" s="15"/>
      <c r="T111" s="15">
        <f t="shared" si="13"/>
        <v>3310905966</v>
      </c>
      <c r="U111" s="62"/>
      <c r="V111" s="1"/>
      <c r="W111" s="1"/>
      <c r="X111" s="1"/>
      <c r="Y111" s="1"/>
      <c r="Z111" s="1"/>
      <c r="AA111" s="1"/>
    </row>
    <row r="112" ht="13.5" customHeight="1">
      <c r="B112" s="3">
        <f t="shared" si="6"/>
        <v>109</v>
      </c>
      <c r="C112" s="1" t="s">
        <v>83</v>
      </c>
      <c r="D112" s="1" t="s">
        <v>58</v>
      </c>
      <c r="E112" s="3" t="s">
        <v>139</v>
      </c>
      <c r="F112" s="1" t="s">
        <v>194</v>
      </c>
      <c r="G112" s="1" t="s">
        <v>12</v>
      </c>
      <c r="H112" s="1" t="s">
        <v>195</v>
      </c>
      <c r="I112" s="62">
        <v>0.19</v>
      </c>
      <c r="J112" s="52">
        <v>48996.0</v>
      </c>
      <c r="K112" s="122">
        <v>45397.0</v>
      </c>
      <c r="L112" s="122">
        <v>45399.0</v>
      </c>
      <c r="M112" s="62">
        <f>IFERROR(YIELD(L112,J112,I112,N112,100,2,1),"")</f>
        <v>0.2000000001</v>
      </c>
      <c r="N112" s="63">
        <v>95.6695031432</v>
      </c>
      <c r="O112" s="63">
        <v>3.3E9</v>
      </c>
      <c r="P112" s="15">
        <f t="shared" ref="P112:P179" si="22">IFERROR((O112*N112/100)+ACCRINT(COUPPCD(L112,J112,2,1),COUPNCD(L112,J112,2,1),L112,I112,O112,2,1),O112*N112/100)</f>
        <v>3253555142</v>
      </c>
      <c r="Q112" s="15">
        <f t="shared" ref="Q112:Q277" si="23">O112*N112/100</f>
        <v>3157093604</v>
      </c>
      <c r="R112" s="15">
        <f t="shared" si="14"/>
        <v>96461538.46</v>
      </c>
      <c r="S112" s="15"/>
      <c r="T112" s="15">
        <f t="shared" si="13"/>
        <v>3253555142</v>
      </c>
      <c r="U112" s="62"/>
      <c r="V112" s="1"/>
      <c r="W112" s="1"/>
      <c r="X112" s="1"/>
      <c r="Y112" s="1"/>
      <c r="Z112" s="1"/>
      <c r="AA112" s="1"/>
    </row>
    <row r="113" ht="13.5" customHeight="1">
      <c r="B113" s="3">
        <f t="shared" si="6"/>
        <v>110</v>
      </c>
      <c r="C113" s="1" t="s">
        <v>123</v>
      </c>
      <c r="D113" s="1" t="s">
        <v>58</v>
      </c>
      <c r="E113" s="3" t="s">
        <v>139</v>
      </c>
      <c r="F113" s="1" t="s">
        <v>194</v>
      </c>
      <c r="G113" s="1" t="s">
        <v>14</v>
      </c>
      <c r="H113" s="1" t="s">
        <v>193</v>
      </c>
      <c r="I113" s="62">
        <v>0.0</v>
      </c>
      <c r="J113" s="52">
        <v>45743.0</v>
      </c>
      <c r="K113" s="122">
        <v>45405.0</v>
      </c>
      <c r="L113" s="122">
        <v>45406.0</v>
      </c>
      <c r="M113" s="62">
        <v>0.2115</v>
      </c>
      <c r="N113" s="63">
        <f>PRICEDISC(L113,J113,M113,100,1)</f>
        <v>80.51236245</v>
      </c>
      <c r="O113" s="63">
        <v>3.15E9</v>
      </c>
      <c r="P113" s="15">
        <f t="shared" si="22"/>
        <v>2536139417</v>
      </c>
      <c r="Q113" s="15">
        <f t="shared" si="23"/>
        <v>2536139417</v>
      </c>
      <c r="R113" s="15" t="str">
        <f t="shared" si="14"/>
        <v/>
      </c>
      <c r="S113" s="15"/>
      <c r="T113" s="15">
        <f t="shared" si="13"/>
        <v>2536139417</v>
      </c>
      <c r="U113" s="62"/>
      <c r="V113" s="1"/>
      <c r="W113" s="1"/>
      <c r="X113" s="1"/>
      <c r="Y113" s="1"/>
      <c r="Z113" s="1"/>
      <c r="AA113" s="1"/>
    </row>
    <row r="114" ht="13.5" customHeight="1">
      <c r="B114" s="3">
        <f t="shared" si="6"/>
        <v>111</v>
      </c>
      <c r="C114" s="1" t="s">
        <v>123</v>
      </c>
      <c r="D114" s="1" t="s">
        <v>58</v>
      </c>
      <c r="E114" s="3" t="s">
        <v>139</v>
      </c>
      <c r="F114" s="1" t="s">
        <v>194</v>
      </c>
      <c r="G114" s="1" t="s">
        <v>12</v>
      </c>
      <c r="H114" s="1" t="s">
        <v>195</v>
      </c>
      <c r="I114" s="62">
        <v>0.19</v>
      </c>
      <c r="J114" s="52">
        <v>48996.0</v>
      </c>
      <c r="K114" s="122">
        <v>45406.0</v>
      </c>
      <c r="L114" s="122">
        <v>45408.0</v>
      </c>
      <c r="M114" s="62">
        <f t="shared" ref="M114:M115" si="24">IFERROR(YIELD(L114,J114,I114,N114,100,2,1),"")</f>
        <v>0.1949935348</v>
      </c>
      <c r="N114" s="63">
        <v>97.75</v>
      </c>
      <c r="O114" s="63">
        <v>1.0E9</v>
      </c>
      <c r="P114" s="15">
        <f t="shared" si="22"/>
        <v>1011428571</v>
      </c>
      <c r="Q114" s="15">
        <f t="shared" si="23"/>
        <v>977500000</v>
      </c>
      <c r="R114" s="15">
        <f t="shared" si="14"/>
        <v>33928571.43</v>
      </c>
      <c r="S114" s="15"/>
      <c r="T114" s="15">
        <f t="shared" si="13"/>
        <v>1011428571</v>
      </c>
      <c r="U114" s="62"/>
      <c r="V114" s="1"/>
      <c r="W114" s="1"/>
      <c r="X114" s="1"/>
      <c r="Y114" s="1"/>
      <c r="Z114" s="1"/>
      <c r="AA114" s="1"/>
    </row>
    <row r="115" ht="13.5" customHeight="1">
      <c r="B115" s="3">
        <f t="shared" si="6"/>
        <v>112</v>
      </c>
      <c r="C115" s="1" t="s">
        <v>77</v>
      </c>
      <c r="D115" s="1" t="s">
        <v>58</v>
      </c>
      <c r="E115" s="3" t="s">
        <v>139</v>
      </c>
      <c r="F115" s="1" t="s">
        <v>194</v>
      </c>
      <c r="G115" s="1" t="s">
        <v>12</v>
      </c>
      <c r="H115" s="1" t="s">
        <v>197</v>
      </c>
      <c r="I115" s="62">
        <v>0.1994</v>
      </c>
      <c r="J115" s="52">
        <v>46466.0</v>
      </c>
      <c r="K115" s="122">
        <v>45407.0</v>
      </c>
      <c r="L115" s="122">
        <v>45408.0</v>
      </c>
      <c r="M115" s="62">
        <f t="shared" si="24"/>
        <v>0.1927490417</v>
      </c>
      <c r="N115" s="63">
        <v>101.35375</v>
      </c>
      <c r="O115" s="63">
        <v>1.0E9</v>
      </c>
      <c r="P115" s="15">
        <f t="shared" si="22"/>
        <v>1033585870</v>
      </c>
      <c r="Q115" s="15">
        <f t="shared" si="23"/>
        <v>1013537500</v>
      </c>
      <c r="R115" s="15">
        <f t="shared" si="14"/>
        <v>20048369.57</v>
      </c>
      <c r="S115" s="15"/>
      <c r="T115" s="15">
        <f t="shared" si="13"/>
        <v>1033585870</v>
      </c>
      <c r="U115" s="62"/>
      <c r="V115" s="1"/>
      <c r="W115" s="1"/>
      <c r="X115" s="1"/>
      <c r="Y115" s="1"/>
      <c r="Z115" s="1"/>
      <c r="AA115" s="1"/>
    </row>
    <row r="116" ht="13.5" customHeight="1">
      <c r="B116" s="3">
        <f t="shared" si="6"/>
        <v>113</v>
      </c>
      <c r="C116" s="1" t="s">
        <v>123</v>
      </c>
      <c r="D116" s="1" t="s">
        <v>58</v>
      </c>
      <c r="E116" s="3" t="s">
        <v>139</v>
      </c>
      <c r="F116" s="1" t="s">
        <v>148</v>
      </c>
      <c r="G116" s="1" t="s">
        <v>14</v>
      </c>
      <c r="H116" s="1" t="s">
        <v>193</v>
      </c>
      <c r="I116" s="62">
        <v>0.0</v>
      </c>
      <c r="J116" s="52">
        <v>45743.0</v>
      </c>
      <c r="K116" s="122">
        <v>45421.0</v>
      </c>
      <c r="L116" s="122">
        <v>45422.0</v>
      </c>
      <c r="M116" s="62">
        <v>0.208</v>
      </c>
      <c r="N116" s="63">
        <f t="shared" ref="N116:N118" si="25">PRICEDISC(L116,J116,M116,100,1)</f>
        <v>81.74414253</v>
      </c>
      <c r="O116" s="63">
        <v>1.0E9</v>
      </c>
      <c r="P116" s="15">
        <f t="shared" si="22"/>
        <v>817441425.3</v>
      </c>
      <c r="Q116" s="15">
        <f t="shared" si="23"/>
        <v>817441425.3</v>
      </c>
      <c r="R116" s="15" t="str">
        <f t="shared" si="14"/>
        <v/>
      </c>
      <c r="S116" s="15"/>
      <c r="T116" s="15">
        <f t="shared" si="13"/>
        <v>817441425.3</v>
      </c>
      <c r="U116" s="62"/>
      <c r="V116" s="1"/>
      <c r="W116" s="1"/>
      <c r="X116" s="1"/>
      <c r="Y116" s="1"/>
      <c r="Z116" s="1"/>
      <c r="AA116" s="1"/>
    </row>
    <row r="117" ht="13.5" customHeight="1">
      <c r="B117" s="3">
        <f t="shared" si="6"/>
        <v>114</v>
      </c>
      <c r="C117" s="1" t="s">
        <v>77</v>
      </c>
      <c r="D117" s="1" t="s">
        <v>58</v>
      </c>
      <c r="E117" s="3" t="s">
        <v>139</v>
      </c>
      <c r="F117" s="1" t="s">
        <v>60</v>
      </c>
      <c r="G117" s="1" t="s">
        <v>14</v>
      </c>
      <c r="H117" s="1" t="s">
        <v>193</v>
      </c>
      <c r="I117" s="62">
        <v>0.0</v>
      </c>
      <c r="J117" s="52">
        <v>45743.0</v>
      </c>
      <c r="K117" s="122">
        <v>45432.0</v>
      </c>
      <c r="L117" s="122">
        <v>45433.0</v>
      </c>
      <c r="M117" s="62">
        <v>0.207</v>
      </c>
      <c r="N117" s="63">
        <f t="shared" si="25"/>
        <v>82.45404222</v>
      </c>
      <c r="O117" s="63">
        <v>3.5E8</v>
      </c>
      <c r="P117" s="15">
        <f t="shared" si="22"/>
        <v>288589147.8</v>
      </c>
      <c r="Q117" s="15">
        <f t="shared" si="23"/>
        <v>288589147.8</v>
      </c>
      <c r="R117" s="15" t="str">
        <f t="shared" si="14"/>
        <v/>
      </c>
      <c r="S117" s="15"/>
      <c r="T117" s="15">
        <f t="shared" si="13"/>
        <v>288589147.8</v>
      </c>
      <c r="U117" s="62"/>
      <c r="V117" s="1"/>
      <c r="W117" s="1"/>
      <c r="X117" s="1"/>
      <c r="Y117" s="1"/>
      <c r="Z117" s="1"/>
      <c r="AA117" s="1"/>
    </row>
    <row r="118" ht="13.5" customHeight="1">
      <c r="B118" s="3">
        <f t="shared" si="6"/>
        <v>115</v>
      </c>
      <c r="C118" s="1" t="s">
        <v>123</v>
      </c>
      <c r="D118" s="1" t="s">
        <v>58</v>
      </c>
      <c r="E118" s="3" t="s">
        <v>139</v>
      </c>
      <c r="F118" s="1" t="s">
        <v>60</v>
      </c>
      <c r="G118" s="51" t="s">
        <v>12</v>
      </c>
      <c r="H118" s="1" t="s">
        <v>198</v>
      </c>
      <c r="I118" s="62">
        <v>0.0</v>
      </c>
      <c r="J118" s="52">
        <v>45813.0</v>
      </c>
      <c r="K118" s="122">
        <v>45464.0</v>
      </c>
      <c r="L118" s="122">
        <v>45467.0</v>
      </c>
      <c r="M118" s="62">
        <v>0.2</v>
      </c>
      <c r="N118" s="63">
        <f t="shared" si="25"/>
        <v>81.06969085</v>
      </c>
      <c r="O118" s="63">
        <v>1.65E9</v>
      </c>
      <c r="P118" s="15">
        <f t="shared" si="22"/>
        <v>1337649899</v>
      </c>
      <c r="Q118" s="15">
        <f t="shared" si="23"/>
        <v>1337649899</v>
      </c>
      <c r="R118" s="15" t="str">
        <f t="shared" si="14"/>
        <v/>
      </c>
      <c r="S118" s="15"/>
      <c r="T118" s="15">
        <f t="shared" si="13"/>
        <v>1337649899</v>
      </c>
      <c r="U118" s="62"/>
      <c r="V118" s="1"/>
      <c r="W118" s="1"/>
      <c r="X118" s="1"/>
      <c r="Y118" s="1"/>
      <c r="Z118" s="1"/>
      <c r="AA118" s="1"/>
    </row>
    <row r="119" ht="13.5" customHeight="1">
      <c r="B119" s="3">
        <f t="shared" si="6"/>
        <v>116</v>
      </c>
      <c r="C119" s="1" t="s">
        <v>123</v>
      </c>
      <c r="D119" s="1" t="s">
        <v>58</v>
      </c>
      <c r="E119" s="3" t="s">
        <v>139</v>
      </c>
      <c r="F119" s="1" t="s">
        <v>60</v>
      </c>
      <c r="G119" s="1" t="s">
        <v>14</v>
      </c>
      <c r="H119" s="1" t="s">
        <v>195</v>
      </c>
      <c r="I119" s="62">
        <v>0.19</v>
      </c>
      <c r="J119" s="52">
        <v>48996.0</v>
      </c>
      <c r="K119" s="52">
        <v>45470.0</v>
      </c>
      <c r="L119" s="122">
        <v>45471.0</v>
      </c>
      <c r="M119" s="62">
        <f t="shared" ref="M119:M121" si="26">IFERROR(YIELD(L119,J119,I119,N119,100,2,1),"")</f>
        <v>0.2105092528</v>
      </c>
      <c r="N119" s="63">
        <v>91.57</v>
      </c>
      <c r="O119" s="63">
        <v>1.5E9</v>
      </c>
      <c r="P119" s="15">
        <f t="shared" si="22"/>
        <v>1473769780</v>
      </c>
      <c r="Q119" s="15">
        <f t="shared" si="23"/>
        <v>1373550000</v>
      </c>
      <c r="R119" s="15">
        <f t="shared" si="14"/>
        <v>100219780.2</v>
      </c>
      <c r="S119" s="15"/>
      <c r="T119" s="15">
        <f t="shared" si="13"/>
        <v>1473769780</v>
      </c>
      <c r="U119" s="62"/>
      <c r="V119" s="1"/>
      <c r="W119" s="1"/>
      <c r="X119" s="1"/>
      <c r="Y119" s="1"/>
      <c r="Z119" s="1"/>
      <c r="AA119" s="1"/>
    </row>
    <row r="120" ht="13.5" customHeight="1">
      <c r="B120" s="3">
        <f t="shared" si="6"/>
        <v>117</v>
      </c>
      <c r="C120" s="1" t="s">
        <v>123</v>
      </c>
      <c r="D120" s="1" t="s">
        <v>58</v>
      </c>
      <c r="E120" s="3" t="s">
        <v>139</v>
      </c>
      <c r="F120" s="1" t="s">
        <v>60</v>
      </c>
      <c r="G120" s="1" t="s">
        <v>14</v>
      </c>
      <c r="H120" s="1" t="s">
        <v>195</v>
      </c>
      <c r="I120" s="62">
        <v>0.19</v>
      </c>
      <c r="J120" s="52">
        <v>48996.0</v>
      </c>
      <c r="K120" s="122">
        <v>45484.0</v>
      </c>
      <c r="L120" s="122">
        <v>45485.0</v>
      </c>
      <c r="M120" s="62">
        <f t="shared" si="26"/>
        <v>0.2140029225</v>
      </c>
      <c r="N120" s="63">
        <v>90.29</v>
      </c>
      <c r="O120" s="63">
        <v>1.0E9</v>
      </c>
      <c r="P120" s="15">
        <f t="shared" si="22"/>
        <v>977020879.1</v>
      </c>
      <c r="Q120" s="15">
        <f t="shared" si="23"/>
        <v>902900000</v>
      </c>
      <c r="R120" s="15">
        <f t="shared" si="14"/>
        <v>74120879.12</v>
      </c>
      <c r="S120" s="15"/>
      <c r="T120" s="15">
        <f t="shared" si="13"/>
        <v>977020879.1</v>
      </c>
      <c r="U120" s="62"/>
      <c r="V120" s="1"/>
      <c r="W120" s="1"/>
      <c r="X120" s="1"/>
      <c r="Y120" s="1"/>
      <c r="Z120" s="1"/>
      <c r="AA120" s="1"/>
    </row>
    <row r="121" ht="13.5" customHeight="1">
      <c r="B121" s="3">
        <f t="shared" si="6"/>
        <v>118</v>
      </c>
      <c r="C121" s="1" t="s">
        <v>123</v>
      </c>
      <c r="D121" s="1" t="s">
        <v>58</v>
      </c>
      <c r="E121" s="3" t="s">
        <v>139</v>
      </c>
      <c r="F121" s="1" t="s">
        <v>60</v>
      </c>
      <c r="G121" s="1" t="s">
        <v>14</v>
      </c>
      <c r="H121" s="1" t="s">
        <v>195</v>
      </c>
      <c r="I121" s="62">
        <v>0.19</v>
      </c>
      <c r="J121" s="52">
        <v>48996.0</v>
      </c>
      <c r="K121" s="122">
        <v>45485.0</v>
      </c>
      <c r="L121" s="122">
        <v>45488.0</v>
      </c>
      <c r="M121" s="62">
        <f t="shared" si="26"/>
        <v>0.2140225287</v>
      </c>
      <c r="N121" s="63">
        <v>90.29</v>
      </c>
      <c r="O121" s="63">
        <v>4.0E8</v>
      </c>
      <c r="P121" s="15">
        <f t="shared" si="22"/>
        <v>391434725.3</v>
      </c>
      <c r="Q121" s="15">
        <f t="shared" si="23"/>
        <v>361160000</v>
      </c>
      <c r="R121" s="15">
        <f t="shared" si="14"/>
        <v>30274725.27</v>
      </c>
      <c r="S121" s="15"/>
      <c r="T121" s="15">
        <f t="shared" si="13"/>
        <v>391434725.3</v>
      </c>
      <c r="U121" s="62"/>
      <c r="V121" s="1"/>
      <c r="W121" s="1"/>
      <c r="X121" s="1"/>
      <c r="Y121" s="1"/>
      <c r="Z121" s="1"/>
      <c r="AA121" s="1"/>
    </row>
    <row r="122" ht="13.5" customHeight="1">
      <c r="B122" s="3">
        <f t="shared" si="6"/>
        <v>119</v>
      </c>
      <c r="C122" s="1" t="s">
        <v>123</v>
      </c>
      <c r="D122" s="1" t="s">
        <v>58</v>
      </c>
      <c r="E122" s="3" t="s">
        <v>139</v>
      </c>
      <c r="F122" s="1" t="s">
        <v>60</v>
      </c>
      <c r="G122" s="51" t="s">
        <v>12</v>
      </c>
      <c r="H122" s="1" t="s">
        <v>199</v>
      </c>
      <c r="I122" s="62">
        <v>0.0</v>
      </c>
      <c r="J122" s="52">
        <v>45848.0</v>
      </c>
      <c r="K122" s="122">
        <v>45490.0</v>
      </c>
      <c r="L122" s="122">
        <v>45492.0</v>
      </c>
      <c r="M122" s="62">
        <v>0.2</v>
      </c>
      <c r="N122" s="63">
        <f>PRICEDISC(L122,J122,M122,100,1)</f>
        <v>80.51800284</v>
      </c>
      <c r="O122" s="63">
        <v>1.6E9</v>
      </c>
      <c r="P122" s="15">
        <f t="shared" si="22"/>
        <v>1288288046</v>
      </c>
      <c r="Q122" s="15">
        <f t="shared" si="23"/>
        <v>1288288046</v>
      </c>
      <c r="R122" s="15" t="str">
        <f t="shared" si="14"/>
        <v/>
      </c>
      <c r="S122" s="15"/>
      <c r="T122" s="15">
        <f t="shared" si="13"/>
        <v>1288288046</v>
      </c>
      <c r="U122" s="62"/>
      <c r="V122" s="1"/>
      <c r="W122" s="1"/>
      <c r="X122" s="1"/>
      <c r="Y122" s="1"/>
      <c r="Z122" s="1"/>
      <c r="AA122" s="1"/>
    </row>
    <row r="123" ht="13.5" customHeight="1">
      <c r="B123" s="3">
        <f t="shared" si="6"/>
        <v>120</v>
      </c>
      <c r="C123" s="1" t="s">
        <v>123</v>
      </c>
      <c r="D123" s="1" t="s">
        <v>58</v>
      </c>
      <c r="E123" s="3" t="s">
        <v>139</v>
      </c>
      <c r="F123" s="1" t="s">
        <v>60</v>
      </c>
      <c r="G123" s="1" t="s">
        <v>14</v>
      </c>
      <c r="H123" s="1" t="s">
        <v>195</v>
      </c>
      <c r="I123" s="62">
        <v>0.19</v>
      </c>
      <c r="J123" s="52">
        <v>48996.0</v>
      </c>
      <c r="K123" s="122">
        <v>45498.0</v>
      </c>
      <c r="L123" s="122">
        <v>45499.0</v>
      </c>
      <c r="M123" s="62">
        <f>IFERROR(YIELD(L123,J123,I123,N123,100,2,1),"")</f>
        <v>0.2269961461</v>
      </c>
      <c r="N123" s="63">
        <v>85.72</v>
      </c>
      <c r="O123" s="63">
        <v>1.4E9</v>
      </c>
      <c r="P123" s="15">
        <f t="shared" si="22"/>
        <v>1314080000</v>
      </c>
      <c r="Q123" s="15">
        <f t="shared" si="23"/>
        <v>1200080000</v>
      </c>
      <c r="R123" s="15">
        <f t="shared" si="14"/>
        <v>114000000</v>
      </c>
      <c r="S123" s="15"/>
      <c r="T123" s="15">
        <f t="shared" si="13"/>
        <v>1314080000</v>
      </c>
      <c r="U123" s="62"/>
      <c r="V123" s="1"/>
      <c r="W123" s="1"/>
      <c r="X123" s="1"/>
      <c r="Y123" s="1"/>
      <c r="Z123" s="1"/>
      <c r="AA123" s="1"/>
    </row>
    <row r="124" ht="13.5" customHeight="1">
      <c r="B124" s="3">
        <f t="shared" si="6"/>
        <v>121</v>
      </c>
      <c r="C124" s="1" t="s">
        <v>123</v>
      </c>
      <c r="D124" s="1" t="s">
        <v>58</v>
      </c>
      <c r="E124" s="3" t="s">
        <v>139</v>
      </c>
      <c r="F124" s="1" t="s">
        <v>60</v>
      </c>
      <c r="G124" s="1" t="s">
        <v>12</v>
      </c>
      <c r="H124" s="1" t="s">
        <v>200</v>
      </c>
      <c r="I124" s="62">
        <v>0.0</v>
      </c>
      <c r="J124" s="52">
        <v>45799.0</v>
      </c>
      <c r="K124" s="122">
        <v>45499.0</v>
      </c>
      <c r="L124" s="122">
        <v>45502.0</v>
      </c>
      <c r="M124" s="62">
        <v>0.222</v>
      </c>
      <c r="N124" s="63">
        <f t="shared" ref="N124:N127" si="27">PRICEDISC(L124,J124,M124,100,1)</f>
        <v>81.96181451</v>
      </c>
      <c r="O124" s="63">
        <v>1.6E9</v>
      </c>
      <c r="P124" s="15">
        <f t="shared" si="22"/>
        <v>1311389032</v>
      </c>
      <c r="Q124" s="15">
        <f t="shared" si="23"/>
        <v>1311389032</v>
      </c>
      <c r="R124" s="15" t="str">
        <f t="shared" si="14"/>
        <v/>
      </c>
      <c r="S124" s="15"/>
      <c r="T124" s="15">
        <f t="shared" si="13"/>
        <v>1311389032</v>
      </c>
      <c r="U124" s="62"/>
      <c r="V124" s="1"/>
      <c r="W124" s="1"/>
      <c r="X124" s="1"/>
      <c r="Y124" s="1"/>
      <c r="Z124" s="1"/>
      <c r="AA124" s="1"/>
    </row>
    <row r="125" ht="13.5" customHeight="1">
      <c r="B125" s="3">
        <f t="shared" si="6"/>
        <v>122</v>
      </c>
      <c r="C125" s="1" t="s">
        <v>123</v>
      </c>
      <c r="D125" s="1" t="s">
        <v>58</v>
      </c>
      <c r="E125" s="3" t="s">
        <v>139</v>
      </c>
      <c r="F125" s="1" t="s">
        <v>60</v>
      </c>
      <c r="G125" s="1" t="s">
        <v>14</v>
      </c>
      <c r="H125" s="1" t="s">
        <v>198</v>
      </c>
      <c r="I125" s="62">
        <v>0.0</v>
      </c>
      <c r="J125" s="52">
        <v>45813.0</v>
      </c>
      <c r="K125" s="122">
        <v>45510.0</v>
      </c>
      <c r="L125" s="122">
        <v>45511.0</v>
      </c>
      <c r="M125" s="62">
        <v>0.225</v>
      </c>
      <c r="N125" s="63">
        <f t="shared" si="27"/>
        <v>81.40832023</v>
      </c>
      <c r="O125" s="63">
        <v>4.0E8</v>
      </c>
      <c r="P125" s="15">
        <f t="shared" si="22"/>
        <v>325633280.9</v>
      </c>
      <c r="Q125" s="15">
        <f t="shared" si="23"/>
        <v>325633280.9</v>
      </c>
      <c r="R125" s="15" t="str">
        <f t="shared" si="14"/>
        <v/>
      </c>
      <c r="S125" s="15"/>
      <c r="T125" s="15">
        <f t="shared" si="13"/>
        <v>325633280.9</v>
      </c>
      <c r="U125" s="62"/>
      <c r="V125" s="1"/>
      <c r="W125" s="1"/>
      <c r="X125" s="1"/>
      <c r="Y125" s="1"/>
      <c r="Z125" s="1"/>
      <c r="AA125" s="1"/>
    </row>
    <row r="126" ht="13.5" customHeight="1">
      <c r="B126" s="3">
        <f t="shared" si="6"/>
        <v>123</v>
      </c>
      <c r="C126" s="1" t="s">
        <v>123</v>
      </c>
      <c r="D126" s="1" t="s">
        <v>58</v>
      </c>
      <c r="E126" s="3" t="s">
        <v>139</v>
      </c>
      <c r="F126" s="1" t="s">
        <v>60</v>
      </c>
      <c r="G126" s="1" t="s">
        <v>14</v>
      </c>
      <c r="H126" s="1" t="s">
        <v>200</v>
      </c>
      <c r="I126" s="62">
        <v>0.0</v>
      </c>
      <c r="J126" s="52">
        <v>45799.0</v>
      </c>
      <c r="K126" s="122">
        <v>45533.0</v>
      </c>
      <c r="L126" s="122">
        <v>45534.0</v>
      </c>
      <c r="M126" s="62">
        <v>0.1975</v>
      </c>
      <c r="N126" s="63">
        <f t="shared" si="27"/>
        <v>85.67929111</v>
      </c>
      <c r="O126" s="63">
        <v>1.6E9</v>
      </c>
      <c r="P126" s="15">
        <f t="shared" si="22"/>
        <v>1370868658</v>
      </c>
      <c r="Q126" s="15">
        <f t="shared" si="23"/>
        <v>1370868658</v>
      </c>
      <c r="R126" s="15" t="str">
        <f t="shared" si="14"/>
        <v/>
      </c>
      <c r="S126" s="15"/>
      <c r="T126" s="15">
        <f t="shared" si="13"/>
        <v>1370868658</v>
      </c>
      <c r="U126" s="62"/>
      <c r="V126" s="1"/>
      <c r="W126" s="1"/>
      <c r="X126" s="1"/>
      <c r="Y126" s="1"/>
      <c r="Z126" s="1"/>
      <c r="AA126" s="1"/>
    </row>
    <row r="127" ht="13.5" customHeight="1">
      <c r="B127" s="3">
        <f t="shared" si="6"/>
        <v>124</v>
      </c>
      <c r="C127" s="1" t="s">
        <v>123</v>
      </c>
      <c r="D127" s="1" t="s">
        <v>58</v>
      </c>
      <c r="E127" s="3" t="s">
        <v>139</v>
      </c>
      <c r="F127" s="1" t="s">
        <v>60</v>
      </c>
      <c r="G127" s="1" t="s">
        <v>14</v>
      </c>
      <c r="H127" s="1" t="s">
        <v>199</v>
      </c>
      <c r="I127" s="62">
        <v>0.0</v>
      </c>
      <c r="J127" s="52">
        <v>45848.0</v>
      </c>
      <c r="K127" s="122">
        <v>45533.0</v>
      </c>
      <c r="L127" s="122">
        <v>45534.0</v>
      </c>
      <c r="M127" s="62">
        <v>0.197</v>
      </c>
      <c r="N127" s="63">
        <f t="shared" si="27"/>
        <v>83.07088854</v>
      </c>
      <c r="O127" s="63">
        <v>8.0E8</v>
      </c>
      <c r="P127" s="15">
        <f t="shared" si="22"/>
        <v>664567108.3</v>
      </c>
      <c r="Q127" s="15">
        <f t="shared" si="23"/>
        <v>664567108.3</v>
      </c>
      <c r="R127" s="15" t="str">
        <f t="shared" si="14"/>
        <v/>
      </c>
      <c r="S127" s="15"/>
      <c r="T127" s="15">
        <f t="shared" si="13"/>
        <v>664567108.3</v>
      </c>
      <c r="U127" s="62"/>
      <c r="V127" s="1"/>
      <c r="W127" s="1"/>
      <c r="X127" s="1"/>
      <c r="Y127" s="1"/>
      <c r="Z127" s="1"/>
      <c r="AA127" s="1"/>
    </row>
    <row r="128" ht="13.5" customHeight="1">
      <c r="B128" s="3">
        <f t="shared" si="6"/>
        <v>125</v>
      </c>
      <c r="C128" s="1" t="s">
        <v>123</v>
      </c>
      <c r="D128" s="1" t="s">
        <v>58</v>
      </c>
      <c r="E128" s="3" t="s">
        <v>139</v>
      </c>
      <c r="F128" s="1" t="s">
        <v>60</v>
      </c>
      <c r="G128" s="1" t="s">
        <v>12</v>
      </c>
      <c r="H128" s="1" t="s">
        <v>201</v>
      </c>
      <c r="I128" s="62">
        <v>0.1989</v>
      </c>
      <c r="J128" s="52">
        <v>48714.0</v>
      </c>
      <c r="K128" s="122">
        <v>45534.0</v>
      </c>
      <c r="L128" s="122">
        <v>45537.0</v>
      </c>
      <c r="M128" s="62">
        <f t="shared" ref="M128:M133" si="28">IFERROR(YIELD(L128,J128,I128,N128,100,2,1),"")</f>
        <v>0.1926008744</v>
      </c>
      <c r="N128" s="63">
        <v>102.5</v>
      </c>
      <c r="O128" s="63">
        <v>5.0E8</v>
      </c>
      <c r="P128" s="15">
        <f t="shared" si="22"/>
        <v>542226902.2</v>
      </c>
      <c r="Q128" s="15">
        <f t="shared" si="23"/>
        <v>512500000</v>
      </c>
      <c r="R128" s="15">
        <f t="shared" si="14"/>
        <v>29726902.17</v>
      </c>
      <c r="S128" s="15"/>
      <c r="T128" s="15">
        <f t="shared" si="13"/>
        <v>542226902.2</v>
      </c>
      <c r="U128" s="62"/>
      <c r="V128" s="1"/>
      <c r="W128" s="1"/>
      <c r="X128" s="1"/>
      <c r="Y128" s="1"/>
      <c r="Z128" s="1"/>
      <c r="AA128" s="1"/>
    </row>
    <row r="129" ht="13.5" customHeight="1">
      <c r="B129" s="3">
        <f t="shared" si="6"/>
        <v>126</v>
      </c>
      <c r="C129" s="1" t="s">
        <v>123</v>
      </c>
      <c r="D129" s="1" t="s">
        <v>58</v>
      </c>
      <c r="E129" s="3" t="s">
        <v>139</v>
      </c>
      <c r="F129" s="1" t="s">
        <v>60</v>
      </c>
      <c r="G129" s="1" t="s">
        <v>12</v>
      </c>
      <c r="H129" s="1" t="s">
        <v>201</v>
      </c>
      <c r="I129" s="62">
        <v>0.1989</v>
      </c>
      <c r="J129" s="52">
        <v>48714.0</v>
      </c>
      <c r="K129" s="122">
        <v>45534.0</v>
      </c>
      <c r="L129" s="122">
        <v>45538.0</v>
      </c>
      <c r="M129" s="62">
        <f t="shared" si="28"/>
        <v>0.1926012352</v>
      </c>
      <c r="N129" s="63">
        <v>102.5</v>
      </c>
      <c r="O129" s="63">
        <v>1.5E9</v>
      </c>
      <c r="P129" s="15">
        <f t="shared" si="22"/>
        <v>1627491440</v>
      </c>
      <c r="Q129" s="15">
        <f t="shared" si="23"/>
        <v>1537500000</v>
      </c>
      <c r="R129" s="15">
        <f t="shared" si="14"/>
        <v>89991440.22</v>
      </c>
      <c r="S129" s="15"/>
      <c r="T129" s="15">
        <f t="shared" si="13"/>
        <v>1627491440</v>
      </c>
      <c r="U129" s="62"/>
      <c r="V129" s="1"/>
      <c r="W129" s="1"/>
      <c r="X129" s="1"/>
      <c r="Y129" s="1"/>
      <c r="Z129" s="1"/>
      <c r="AA129" s="1"/>
    </row>
    <row r="130" ht="13.5" customHeight="1">
      <c r="B130" s="3">
        <f t="shared" si="6"/>
        <v>127</v>
      </c>
      <c r="C130" s="1" t="s">
        <v>123</v>
      </c>
      <c r="D130" s="1" t="s">
        <v>58</v>
      </c>
      <c r="E130" s="3" t="s">
        <v>139</v>
      </c>
      <c r="F130" s="1" t="s">
        <v>60</v>
      </c>
      <c r="G130" s="1" t="s">
        <v>14</v>
      </c>
      <c r="H130" s="1" t="s">
        <v>201</v>
      </c>
      <c r="I130" s="62">
        <v>0.1989</v>
      </c>
      <c r="J130" s="52">
        <v>48714.0</v>
      </c>
      <c r="K130" s="122">
        <v>45560.0</v>
      </c>
      <c r="L130" s="122">
        <v>45562.0</v>
      </c>
      <c r="M130" s="62">
        <f t="shared" si="28"/>
        <v>0.2099981328</v>
      </c>
      <c r="N130" s="63">
        <v>95.56</v>
      </c>
      <c r="O130" s="63">
        <v>3.0E8</v>
      </c>
      <c r="P130" s="15">
        <f t="shared" si="22"/>
        <v>308569809.8</v>
      </c>
      <c r="Q130" s="15">
        <f t="shared" si="23"/>
        <v>286680000</v>
      </c>
      <c r="R130" s="15">
        <f t="shared" si="14"/>
        <v>21889809.78</v>
      </c>
      <c r="S130" s="15"/>
      <c r="T130" s="15">
        <f t="shared" si="13"/>
        <v>308569809.8</v>
      </c>
      <c r="U130" s="62"/>
      <c r="V130" s="1"/>
      <c r="W130" s="1"/>
      <c r="X130" s="1"/>
      <c r="Y130" s="1"/>
      <c r="Z130" s="1"/>
      <c r="AA130" s="1"/>
    </row>
    <row r="131" ht="13.5" customHeight="1">
      <c r="B131" s="3">
        <f t="shared" si="6"/>
        <v>128</v>
      </c>
      <c r="C131" s="1" t="s">
        <v>124</v>
      </c>
      <c r="D131" s="1" t="s">
        <v>58</v>
      </c>
      <c r="E131" s="3" t="s">
        <v>139</v>
      </c>
      <c r="F131" s="1" t="s">
        <v>80</v>
      </c>
      <c r="G131" s="1" t="s">
        <v>14</v>
      </c>
      <c r="H131" s="1" t="s">
        <v>201</v>
      </c>
      <c r="I131" s="62">
        <v>0.1989</v>
      </c>
      <c r="J131" s="52">
        <v>48714.0</v>
      </c>
      <c r="K131" s="122">
        <v>45562.0</v>
      </c>
      <c r="L131" s="122">
        <v>45567.0</v>
      </c>
      <c r="M131" s="62">
        <f t="shared" si="28"/>
        <v>0.2149905004</v>
      </c>
      <c r="N131" s="63">
        <v>93.71</v>
      </c>
      <c r="O131" s="63">
        <v>5.0E8</v>
      </c>
      <c r="P131" s="15">
        <f t="shared" si="22"/>
        <v>506384239.1</v>
      </c>
      <c r="Q131" s="15">
        <f t="shared" si="23"/>
        <v>468550000</v>
      </c>
      <c r="R131" s="15">
        <f t="shared" si="14"/>
        <v>37834239.13</v>
      </c>
      <c r="S131" s="15"/>
      <c r="T131" s="15">
        <f t="shared" si="13"/>
        <v>506384239.1</v>
      </c>
      <c r="U131" s="62"/>
      <c r="V131" s="1"/>
      <c r="W131" s="1"/>
      <c r="X131" s="1"/>
      <c r="Y131" s="1"/>
      <c r="Z131" s="1"/>
      <c r="AA131" s="1"/>
    </row>
    <row r="132" ht="13.5" customHeight="1">
      <c r="B132" s="3">
        <f t="shared" si="6"/>
        <v>129</v>
      </c>
      <c r="C132" s="1" t="s">
        <v>57</v>
      </c>
      <c r="D132" s="1" t="s">
        <v>58</v>
      </c>
      <c r="E132" s="3" t="s">
        <v>139</v>
      </c>
      <c r="F132" s="1" t="s">
        <v>80</v>
      </c>
      <c r="G132" s="1" t="s">
        <v>14</v>
      </c>
      <c r="H132" s="1" t="s">
        <v>201</v>
      </c>
      <c r="I132" s="62">
        <v>0.1989</v>
      </c>
      <c r="J132" s="52">
        <v>48714.0</v>
      </c>
      <c r="K132" s="122">
        <v>45595.0</v>
      </c>
      <c r="L132" s="122">
        <v>45567.0</v>
      </c>
      <c r="M132" s="62">
        <f t="shared" si="28"/>
        <v>0.2149905004</v>
      </c>
      <c r="N132" s="63">
        <v>93.71</v>
      </c>
      <c r="O132" s="63">
        <v>2.0E8</v>
      </c>
      <c r="P132" s="15">
        <f t="shared" si="22"/>
        <v>202553695.7</v>
      </c>
      <c r="Q132" s="15">
        <f t="shared" si="23"/>
        <v>187420000</v>
      </c>
      <c r="R132" s="15">
        <f t="shared" si="14"/>
        <v>15133695.65</v>
      </c>
      <c r="S132" s="15"/>
      <c r="T132" s="15">
        <f t="shared" si="13"/>
        <v>202553695.7</v>
      </c>
      <c r="U132" s="62"/>
      <c r="V132" s="1"/>
      <c r="W132" s="1"/>
      <c r="X132" s="1"/>
      <c r="Y132" s="1"/>
      <c r="Z132" s="1"/>
      <c r="AA132" s="1"/>
    </row>
    <row r="133" ht="13.5" customHeight="1">
      <c r="B133" s="3">
        <f t="shared" si="6"/>
        <v>130</v>
      </c>
      <c r="C133" s="1" t="s">
        <v>57</v>
      </c>
      <c r="D133" s="1" t="s">
        <v>58</v>
      </c>
      <c r="E133" s="3" t="s">
        <v>139</v>
      </c>
      <c r="F133" s="1" t="s">
        <v>80</v>
      </c>
      <c r="G133" s="1" t="s">
        <v>14</v>
      </c>
      <c r="H133" s="1" t="s">
        <v>201</v>
      </c>
      <c r="I133" s="62">
        <v>0.1989</v>
      </c>
      <c r="J133" s="52">
        <v>48714.0</v>
      </c>
      <c r="K133" s="122">
        <v>45595.0</v>
      </c>
      <c r="L133" s="122">
        <v>45567.0</v>
      </c>
      <c r="M133" s="62">
        <f t="shared" si="28"/>
        <v>0.2164971429</v>
      </c>
      <c r="N133" s="63">
        <v>93.16</v>
      </c>
      <c r="O133" s="63">
        <v>1.0E9</v>
      </c>
      <c r="P133" s="15">
        <f t="shared" si="22"/>
        <v>1007268478</v>
      </c>
      <c r="Q133" s="15">
        <f t="shared" si="23"/>
        <v>931600000</v>
      </c>
      <c r="R133" s="15">
        <f t="shared" si="14"/>
        <v>75668478.26</v>
      </c>
      <c r="S133" s="15"/>
      <c r="T133" s="15">
        <f t="shared" si="13"/>
        <v>1007268478</v>
      </c>
      <c r="U133" s="62"/>
      <c r="V133" s="1"/>
      <c r="W133" s="1"/>
      <c r="X133" s="1"/>
      <c r="Y133" s="1"/>
      <c r="Z133" s="1"/>
      <c r="AA133" s="1"/>
    </row>
    <row r="134" ht="13.5" customHeight="1">
      <c r="B134" s="3">
        <f t="shared" si="6"/>
        <v>131</v>
      </c>
      <c r="C134" s="1" t="s">
        <v>92</v>
      </c>
      <c r="D134" s="1" t="s">
        <v>58</v>
      </c>
      <c r="E134" s="3" t="s">
        <v>139</v>
      </c>
      <c r="F134" s="1" t="s">
        <v>80</v>
      </c>
      <c r="G134" s="1" t="s">
        <v>12</v>
      </c>
      <c r="H134" s="1" t="s">
        <v>200</v>
      </c>
      <c r="I134" s="62">
        <v>0.0</v>
      </c>
      <c r="J134" s="52">
        <v>45799.0</v>
      </c>
      <c r="K134" s="122">
        <v>45567.0</v>
      </c>
      <c r="L134" s="122">
        <v>45569.0</v>
      </c>
      <c r="M134" s="62">
        <v>0.211</v>
      </c>
      <c r="N134" s="63">
        <f t="shared" ref="N134:N135" si="29">PRICEDISC(L134,J134,M134,100,1)</f>
        <v>86.71816678</v>
      </c>
      <c r="O134" s="63">
        <v>1.0E9</v>
      </c>
      <c r="P134" s="15">
        <f t="shared" si="22"/>
        <v>867181667.8</v>
      </c>
      <c r="Q134" s="15">
        <f t="shared" si="23"/>
        <v>867181667.8</v>
      </c>
      <c r="R134" s="15" t="str">
        <f t="shared" si="14"/>
        <v/>
      </c>
      <c r="S134" s="15"/>
      <c r="T134" s="15">
        <f t="shared" si="13"/>
        <v>867181667.8</v>
      </c>
      <c r="U134" s="62"/>
      <c r="V134" s="1"/>
      <c r="W134" s="1"/>
      <c r="X134" s="1"/>
      <c r="Y134" s="1"/>
      <c r="Z134" s="1"/>
      <c r="AA134" s="1"/>
    </row>
    <row r="135" ht="13.5" customHeight="1">
      <c r="B135" s="3">
        <f t="shared" si="6"/>
        <v>132</v>
      </c>
      <c r="C135" s="1" t="s">
        <v>92</v>
      </c>
      <c r="D135" s="1" t="s">
        <v>58</v>
      </c>
      <c r="E135" s="3" t="s">
        <v>139</v>
      </c>
      <c r="F135" s="1" t="s">
        <v>80</v>
      </c>
      <c r="G135" s="1" t="s">
        <v>12</v>
      </c>
      <c r="H135" s="1" t="s">
        <v>200</v>
      </c>
      <c r="I135" s="62">
        <v>0.0</v>
      </c>
      <c r="J135" s="52">
        <v>45799.0</v>
      </c>
      <c r="K135" s="122">
        <v>45567.0</v>
      </c>
      <c r="L135" s="122">
        <v>45569.0</v>
      </c>
      <c r="M135" s="62">
        <v>0.211</v>
      </c>
      <c r="N135" s="63">
        <f t="shared" si="29"/>
        <v>86.71816678</v>
      </c>
      <c r="O135" s="63">
        <v>1.0E9</v>
      </c>
      <c r="P135" s="15">
        <f t="shared" si="22"/>
        <v>867181667.8</v>
      </c>
      <c r="Q135" s="15">
        <f t="shared" si="23"/>
        <v>867181667.8</v>
      </c>
      <c r="R135" s="15" t="str">
        <f t="shared" si="14"/>
        <v/>
      </c>
      <c r="S135" s="15"/>
      <c r="T135" s="15">
        <f t="shared" si="13"/>
        <v>867181667.8</v>
      </c>
      <c r="U135" s="62"/>
      <c r="V135" s="1"/>
      <c r="W135" s="1"/>
      <c r="X135" s="1"/>
      <c r="Y135" s="1"/>
      <c r="Z135" s="1"/>
      <c r="AA135" s="1"/>
    </row>
    <row r="136" ht="13.5" customHeight="1">
      <c r="B136" s="3">
        <f t="shared" si="6"/>
        <v>133</v>
      </c>
      <c r="C136" s="1" t="s">
        <v>126</v>
      </c>
      <c r="D136" s="1" t="s">
        <v>58</v>
      </c>
      <c r="E136" s="3" t="s">
        <v>139</v>
      </c>
      <c r="F136" s="1" t="s">
        <v>80</v>
      </c>
      <c r="G136" s="1" t="s">
        <v>14</v>
      </c>
      <c r="H136" s="1" t="s">
        <v>197</v>
      </c>
      <c r="I136" s="62">
        <v>0.1994</v>
      </c>
      <c r="J136" s="52">
        <v>46466.0</v>
      </c>
      <c r="K136" s="122">
        <v>45567.0</v>
      </c>
      <c r="L136" s="122">
        <v>45568.0</v>
      </c>
      <c r="M136" s="62">
        <f t="shared" ref="M136:M137" si="30">IFERROR(YIELD(L136,J136,I136,N136,100,2,1),"")</f>
        <v>0.197003634</v>
      </c>
      <c r="N136" s="63">
        <v>100.42</v>
      </c>
      <c r="O136" s="63">
        <v>3.5E8</v>
      </c>
      <c r="P136" s="15">
        <f t="shared" si="22"/>
        <v>353976270.7</v>
      </c>
      <c r="Q136" s="15">
        <f t="shared" si="23"/>
        <v>351470000</v>
      </c>
      <c r="R136" s="15">
        <f t="shared" si="14"/>
        <v>2506270.718</v>
      </c>
      <c r="S136" s="15"/>
      <c r="T136" s="15">
        <f t="shared" si="13"/>
        <v>353976270.7</v>
      </c>
      <c r="U136" s="62"/>
      <c r="V136" s="1"/>
      <c r="W136" s="1"/>
      <c r="X136" s="1"/>
      <c r="Y136" s="1"/>
      <c r="Z136" s="1"/>
      <c r="AA136" s="1"/>
    </row>
    <row r="137" ht="13.5" customHeight="1">
      <c r="B137" s="3">
        <f t="shared" si="6"/>
        <v>134</v>
      </c>
      <c r="C137" s="1" t="s">
        <v>57</v>
      </c>
      <c r="D137" s="1" t="s">
        <v>58</v>
      </c>
      <c r="E137" s="3" t="s">
        <v>139</v>
      </c>
      <c r="F137" s="1" t="s">
        <v>80</v>
      </c>
      <c r="G137" s="1" t="s">
        <v>14</v>
      </c>
      <c r="H137" s="1" t="s">
        <v>197</v>
      </c>
      <c r="I137" s="62">
        <v>0.1994</v>
      </c>
      <c r="J137" s="52">
        <v>46466.0</v>
      </c>
      <c r="K137" s="122">
        <v>45567.0</v>
      </c>
      <c r="L137" s="122">
        <v>45569.0</v>
      </c>
      <c r="M137" s="62">
        <f t="shared" si="30"/>
        <v>0.1969899867</v>
      </c>
      <c r="N137" s="63">
        <v>100.42</v>
      </c>
      <c r="O137" s="63">
        <v>6.5E8</v>
      </c>
      <c r="P137" s="15">
        <f t="shared" si="22"/>
        <v>657742541.4</v>
      </c>
      <c r="Q137" s="15">
        <f t="shared" si="23"/>
        <v>652730000</v>
      </c>
      <c r="R137" s="15">
        <f t="shared" si="14"/>
        <v>5012541.436</v>
      </c>
      <c r="S137" s="15"/>
      <c r="T137" s="15">
        <f t="shared" si="13"/>
        <v>657742541.4</v>
      </c>
      <c r="U137" s="62"/>
      <c r="V137" s="1"/>
      <c r="W137" s="1"/>
      <c r="X137" s="1"/>
      <c r="Y137" s="1"/>
      <c r="Z137" s="1"/>
      <c r="AA137" s="1"/>
    </row>
    <row r="138" ht="13.5" customHeight="1">
      <c r="B138" s="3">
        <f t="shared" si="6"/>
        <v>135</v>
      </c>
      <c r="C138" s="57" t="s">
        <v>92</v>
      </c>
      <c r="D138" s="57" t="s">
        <v>58</v>
      </c>
      <c r="E138" s="110" t="s">
        <v>139</v>
      </c>
      <c r="F138" s="57" t="s">
        <v>80</v>
      </c>
      <c r="G138" s="57" t="s">
        <v>12</v>
      </c>
      <c r="H138" s="57" t="s">
        <v>204</v>
      </c>
      <c r="I138" s="87">
        <v>0.0</v>
      </c>
      <c r="J138" s="167">
        <v>45694.0</v>
      </c>
      <c r="K138" s="168">
        <v>45573.0</v>
      </c>
      <c r="L138" s="168">
        <v>45574.0</v>
      </c>
      <c r="M138" s="87">
        <v>0.213</v>
      </c>
      <c r="N138" s="63">
        <f t="shared" ref="N138:N146" si="31">PRICEDISC(L138,J138,M138,100,1)</f>
        <v>93.01065349</v>
      </c>
      <c r="O138" s="63">
        <v>2.0E8</v>
      </c>
      <c r="P138" s="27">
        <f t="shared" si="22"/>
        <v>186021307</v>
      </c>
      <c r="Q138" s="27">
        <f t="shared" si="23"/>
        <v>186021307</v>
      </c>
      <c r="R138" s="27" t="str">
        <f t="shared" si="14"/>
        <v/>
      </c>
      <c r="S138" s="27"/>
      <c r="T138" s="27">
        <f t="shared" si="13"/>
        <v>186021307</v>
      </c>
      <c r="U138" s="87"/>
      <c r="V138" s="57"/>
      <c r="W138" s="57"/>
      <c r="X138" s="57"/>
      <c r="Y138" s="57"/>
      <c r="Z138" s="57"/>
      <c r="AA138" s="57"/>
    </row>
    <row r="139" ht="13.5" customHeight="1">
      <c r="B139" s="3">
        <f t="shared" si="6"/>
        <v>136</v>
      </c>
      <c r="C139" s="57" t="s">
        <v>92</v>
      </c>
      <c r="D139" s="57" t="s">
        <v>58</v>
      </c>
      <c r="E139" s="110" t="s">
        <v>139</v>
      </c>
      <c r="F139" s="57" t="s">
        <v>80</v>
      </c>
      <c r="G139" s="57" t="s">
        <v>12</v>
      </c>
      <c r="H139" s="57" t="s">
        <v>189</v>
      </c>
      <c r="I139" s="87">
        <v>0.0</v>
      </c>
      <c r="J139" s="167">
        <v>45722.0</v>
      </c>
      <c r="K139" s="168">
        <v>45573.0</v>
      </c>
      <c r="L139" s="168">
        <v>45574.0</v>
      </c>
      <c r="M139" s="87">
        <v>0.214</v>
      </c>
      <c r="N139" s="63">
        <f t="shared" si="31"/>
        <v>91.33619582</v>
      </c>
      <c r="O139" s="63">
        <v>2.0E8</v>
      </c>
      <c r="P139" s="27">
        <f t="shared" si="22"/>
        <v>182672391.6</v>
      </c>
      <c r="Q139" s="27">
        <f t="shared" si="23"/>
        <v>182672391.6</v>
      </c>
      <c r="R139" s="27" t="str">
        <f t="shared" si="14"/>
        <v/>
      </c>
      <c r="S139" s="27"/>
      <c r="T139" s="27">
        <f t="shared" si="13"/>
        <v>182672391.6</v>
      </c>
      <c r="U139" s="87"/>
      <c r="V139" s="57"/>
      <c r="W139" s="57"/>
      <c r="X139" s="57"/>
      <c r="Y139" s="57"/>
      <c r="Z139" s="57"/>
      <c r="AA139" s="57"/>
    </row>
    <row r="140" ht="13.5" customHeight="1">
      <c r="B140" s="3">
        <f t="shared" si="6"/>
        <v>137</v>
      </c>
      <c r="C140" s="1" t="s">
        <v>123</v>
      </c>
      <c r="D140" s="1" t="s">
        <v>58</v>
      </c>
      <c r="E140" s="3" t="s">
        <v>139</v>
      </c>
      <c r="F140" s="57" t="s">
        <v>80</v>
      </c>
      <c r="G140" s="57" t="s">
        <v>12</v>
      </c>
      <c r="H140" s="57" t="s">
        <v>205</v>
      </c>
      <c r="I140" s="87">
        <v>0.0</v>
      </c>
      <c r="J140" s="52">
        <v>45834.0</v>
      </c>
      <c r="K140" s="122">
        <v>45575.0</v>
      </c>
      <c r="L140" s="122">
        <v>45576.0</v>
      </c>
      <c r="M140" s="62">
        <v>0.201</v>
      </c>
      <c r="N140" s="63">
        <f t="shared" si="31"/>
        <v>85.80466652</v>
      </c>
      <c r="O140" s="63">
        <v>3.0E8</v>
      </c>
      <c r="P140" s="27">
        <f t="shared" si="22"/>
        <v>257413999.6</v>
      </c>
      <c r="Q140" s="27">
        <f t="shared" si="23"/>
        <v>257413999.6</v>
      </c>
      <c r="R140" s="27" t="str">
        <f t="shared" si="14"/>
        <v/>
      </c>
      <c r="S140" s="27"/>
      <c r="T140" s="27">
        <f t="shared" si="13"/>
        <v>257413999.6</v>
      </c>
      <c r="U140" s="62"/>
      <c r="V140" s="1"/>
      <c r="W140" s="1"/>
      <c r="X140" s="1"/>
      <c r="Y140" s="1"/>
      <c r="Z140" s="1"/>
      <c r="AA140" s="1"/>
    </row>
    <row r="141" ht="13.5" customHeight="1">
      <c r="B141" s="3">
        <f t="shared" si="6"/>
        <v>138</v>
      </c>
      <c r="C141" s="57" t="s">
        <v>92</v>
      </c>
      <c r="D141" s="1" t="s">
        <v>58</v>
      </c>
      <c r="E141" s="3" t="s">
        <v>139</v>
      </c>
      <c r="F141" s="57" t="s">
        <v>80</v>
      </c>
      <c r="G141" s="57" t="s">
        <v>12</v>
      </c>
      <c r="H141" s="57" t="s">
        <v>189</v>
      </c>
      <c r="I141" s="87">
        <v>0.0</v>
      </c>
      <c r="J141" s="167">
        <v>45722.0</v>
      </c>
      <c r="K141" s="122">
        <v>45576.0</v>
      </c>
      <c r="L141" s="122">
        <v>45579.0</v>
      </c>
      <c r="M141" s="62">
        <v>0.214</v>
      </c>
      <c r="N141" s="63">
        <f t="shared" si="31"/>
        <v>91.62854555</v>
      </c>
      <c r="O141" s="63">
        <v>4.0E8</v>
      </c>
      <c r="P141" s="27">
        <f t="shared" si="22"/>
        <v>366514182.2</v>
      </c>
      <c r="Q141" s="27">
        <f t="shared" si="23"/>
        <v>366514182.2</v>
      </c>
      <c r="R141" s="27" t="str">
        <f t="shared" si="14"/>
        <v/>
      </c>
      <c r="S141" s="27"/>
      <c r="T141" s="27">
        <f t="shared" si="13"/>
        <v>366514182.2</v>
      </c>
      <c r="U141" s="62"/>
      <c r="V141" s="1"/>
      <c r="W141" s="1"/>
      <c r="X141" s="1"/>
      <c r="Y141" s="1"/>
      <c r="Z141" s="1"/>
      <c r="AA141" s="1"/>
    </row>
    <row r="142" ht="13.5" customHeight="1">
      <c r="B142" s="3">
        <f t="shared" si="6"/>
        <v>139</v>
      </c>
      <c r="C142" s="57" t="s">
        <v>92</v>
      </c>
      <c r="D142" s="1" t="s">
        <v>58</v>
      </c>
      <c r="E142" s="3" t="s">
        <v>139</v>
      </c>
      <c r="F142" s="57" t="s">
        <v>80</v>
      </c>
      <c r="G142" s="57" t="s">
        <v>12</v>
      </c>
      <c r="H142" s="1" t="s">
        <v>193</v>
      </c>
      <c r="I142" s="87">
        <v>0.0</v>
      </c>
      <c r="J142" s="52">
        <v>45743.0</v>
      </c>
      <c r="K142" s="122">
        <v>45576.0</v>
      </c>
      <c r="L142" s="122">
        <v>45580.0</v>
      </c>
      <c r="M142" s="62">
        <v>0.216</v>
      </c>
      <c r="N142" s="63">
        <f t="shared" si="31"/>
        <v>90.36658433</v>
      </c>
      <c r="O142" s="63">
        <v>3.0E8</v>
      </c>
      <c r="P142" s="15">
        <f t="shared" si="22"/>
        <v>271099753</v>
      </c>
      <c r="Q142" s="15">
        <f t="shared" si="23"/>
        <v>271099753</v>
      </c>
      <c r="R142" s="15" t="str">
        <f t="shared" si="14"/>
        <v/>
      </c>
      <c r="S142" s="15"/>
      <c r="T142" s="27">
        <f t="shared" si="13"/>
        <v>271099753</v>
      </c>
      <c r="U142" s="62"/>
      <c r="V142" s="1"/>
      <c r="W142" s="1"/>
      <c r="X142" s="1"/>
      <c r="Y142" s="1"/>
      <c r="Z142" s="1"/>
      <c r="AA142" s="1"/>
    </row>
    <row r="143" ht="13.5" customHeight="1">
      <c r="B143" s="3">
        <f t="shared" si="6"/>
        <v>140</v>
      </c>
      <c r="C143" s="1" t="s">
        <v>111</v>
      </c>
      <c r="D143" s="1" t="s">
        <v>58</v>
      </c>
      <c r="E143" s="3" t="s">
        <v>139</v>
      </c>
      <c r="F143" s="57" t="s">
        <v>80</v>
      </c>
      <c r="G143" s="1" t="s">
        <v>14</v>
      </c>
      <c r="H143" s="1" t="s">
        <v>200</v>
      </c>
      <c r="I143" s="87">
        <v>0.0</v>
      </c>
      <c r="J143" s="52">
        <v>45799.0</v>
      </c>
      <c r="K143" s="122">
        <v>45586.0</v>
      </c>
      <c r="L143" s="122">
        <v>45587.0</v>
      </c>
      <c r="M143" s="62">
        <v>0.235</v>
      </c>
      <c r="N143" s="63">
        <f t="shared" si="31"/>
        <v>86.36317464</v>
      </c>
      <c r="O143" s="63">
        <v>5.5E8</v>
      </c>
      <c r="P143" s="15">
        <f t="shared" si="22"/>
        <v>474997460.5</v>
      </c>
      <c r="Q143" s="15">
        <f t="shared" si="23"/>
        <v>474997460.5</v>
      </c>
      <c r="R143" s="15" t="str">
        <f t="shared" si="14"/>
        <v/>
      </c>
      <c r="S143" s="15"/>
      <c r="T143" s="27">
        <f t="shared" si="13"/>
        <v>474997460.5</v>
      </c>
      <c r="U143" s="62"/>
      <c r="V143" s="1"/>
      <c r="W143" s="1"/>
      <c r="X143" s="1"/>
      <c r="Y143" s="1"/>
      <c r="Z143" s="1"/>
      <c r="AA143" s="1"/>
    </row>
    <row r="144" ht="13.5" customHeight="1">
      <c r="B144" s="3">
        <f t="shared" si="6"/>
        <v>141</v>
      </c>
      <c r="C144" s="1" t="s">
        <v>57</v>
      </c>
      <c r="D144" s="1" t="s">
        <v>58</v>
      </c>
      <c r="E144" s="3" t="s">
        <v>139</v>
      </c>
      <c r="F144" s="57" t="s">
        <v>163</v>
      </c>
      <c r="G144" s="1" t="s">
        <v>14</v>
      </c>
      <c r="H144" s="57" t="s">
        <v>204</v>
      </c>
      <c r="I144" s="87">
        <v>0.0</v>
      </c>
      <c r="J144" s="167">
        <v>45694.0</v>
      </c>
      <c r="K144" s="122">
        <v>45674.0</v>
      </c>
      <c r="L144" s="122">
        <v>45677.0</v>
      </c>
      <c r="M144" s="62">
        <v>0.23</v>
      </c>
      <c r="N144" s="63">
        <f t="shared" si="31"/>
        <v>98.92876712</v>
      </c>
      <c r="O144" s="63">
        <v>2.0E8</v>
      </c>
      <c r="P144" s="15">
        <f t="shared" si="22"/>
        <v>197857534.2</v>
      </c>
      <c r="Q144" s="15">
        <f t="shared" si="23"/>
        <v>197857534.2</v>
      </c>
      <c r="R144" s="15" t="str">
        <f t="shared" si="14"/>
        <v/>
      </c>
      <c r="S144" s="15"/>
      <c r="T144" s="15">
        <f t="shared" si="13"/>
        <v>197857534.2</v>
      </c>
      <c r="U144" s="62"/>
      <c r="V144" s="1"/>
      <c r="W144" s="1"/>
      <c r="X144" s="1"/>
      <c r="Y144" s="1"/>
      <c r="Z144" s="1"/>
      <c r="AA144" s="1"/>
    </row>
    <row r="145" ht="13.5" customHeight="1">
      <c r="B145" s="3">
        <f t="shared" si="6"/>
        <v>142</v>
      </c>
      <c r="C145" s="1" t="s">
        <v>57</v>
      </c>
      <c r="D145" s="1" t="s">
        <v>58</v>
      </c>
      <c r="E145" s="3" t="s">
        <v>139</v>
      </c>
      <c r="F145" s="57" t="s">
        <v>163</v>
      </c>
      <c r="G145" s="1" t="s">
        <v>14</v>
      </c>
      <c r="H145" s="57" t="s">
        <v>189</v>
      </c>
      <c r="I145" s="87">
        <v>0.0</v>
      </c>
      <c r="J145" s="167">
        <v>45722.0</v>
      </c>
      <c r="K145" s="122">
        <v>45674.0</v>
      </c>
      <c r="L145" s="122">
        <v>45677.0</v>
      </c>
      <c r="M145" s="62">
        <v>0.229</v>
      </c>
      <c r="N145" s="63">
        <f t="shared" si="31"/>
        <v>97.17671233</v>
      </c>
      <c r="O145" s="63">
        <v>2.0E8</v>
      </c>
      <c r="P145" s="15">
        <f t="shared" si="22"/>
        <v>194353424.7</v>
      </c>
      <c r="Q145" s="15">
        <f t="shared" si="23"/>
        <v>194353424.7</v>
      </c>
      <c r="R145" s="15" t="str">
        <f t="shared" si="14"/>
        <v/>
      </c>
      <c r="S145" s="15"/>
      <c r="T145" s="15">
        <f t="shared" si="13"/>
        <v>194353424.7</v>
      </c>
      <c r="U145" s="62"/>
      <c r="V145" s="1"/>
      <c r="W145" s="1"/>
      <c r="X145" s="1"/>
      <c r="Y145" s="1"/>
      <c r="Z145" s="1"/>
      <c r="AA145" s="1"/>
    </row>
    <row r="146" ht="13.5" customHeight="1">
      <c r="B146" s="3">
        <f t="shared" si="6"/>
        <v>143</v>
      </c>
      <c r="C146" s="1" t="s">
        <v>57</v>
      </c>
      <c r="D146" s="1" t="s">
        <v>58</v>
      </c>
      <c r="E146" s="3" t="s">
        <v>139</v>
      </c>
      <c r="F146" s="57" t="s">
        <v>163</v>
      </c>
      <c r="G146" s="1" t="s">
        <v>14</v>
      </c>
      <c r="H146" s="1" t="s">
        <v>200</v>
      </c>
      <c r="I146" s="87">
        <v>0.0</v>
      </c>
      <c r="J146" s="52">
        <v>45799.0</v>
      </c>
      <c r="K146" s="122">
        <v>45688.0</v>
      </c>
      <c r="L146" s="122">
        <v>45691.0</v>
      </c>
      <c r="M146" s="62">
        <v>0.2105</v>
      </c>
      <c r="N146" s="63">
        <f t="shared" si="31"/>
        <v>93.77150685</v>
      </c>
      <c r="O146" s="63">
        <v>9.003E8</v>
      </c>
      <c r="P146" s="15">
        <f t="shared" si="22"/>
        <v>844224876.2</v>
      </c>
      <c r="Q146" s="15">
        <f t="shared" si="23"/>
        <v>844224876.2</v>
      </c>
      <c r="R146" s="15" t="str">
        <f t="shared" si="14"/>
        <v/>
      </c>
      <c r="S146" s="15"/>
      <c r="T146" s="174">
        <f t="shared" si="13"/>
        <v>844224876.2</v>
      </c>
      <c r="U146" s="62"/>
      <c r="V146" s="1"/>
      <c r="W146" s="1"/>
      <c r="X146" s="1"/>
      <c r="Y146" s="1"/>
      <c r="Z146" s="1"/>
      <c r="AA146" s="1"/>
    </row>
    <row r="147" ht="13.5" customHeight="1">
      <c r="B147" s="3">
        <f t="shared" si="6"/>
        <v>144</v>
      </c>
      <c r="C147" s="1" t="s">
        <v>57</v>
      </c>
      <c r="D147" s="1" t="s">
        <v>58</v>
      </c>
      <c r="E147" s="3" t="s">
        <v>139</v>
      </c>
      <c r="F147" s="57" t="s">
        <v>163</v>
      </c>
      <c r="G147" s="1" t="s">
        <v>12</v>
      </c>
      <c r="H147" s="1" t="s">
        <v>144</v>
      </c>
      <c r="I147" s="62">
        <v>0.226</v>
      </c>
      <c r="J147" s="52">
        <v>49338.0</v>
      </c>
      <c r="K147" s="122">
        <v>45693.0</v>
      </c>
      <c r="L147" s="122">
        <v>45695.0</v>
      </c>
      <c r="M147" s="62">
        <f t="shared" ref="M147:M157" si="32">IFERROR(YIELD(L147,J147,I147,N147,100,2,1),"")</f>
        <v>0.2195074626</v>
      </c>
      <c r="N147" s="63">
        <v>102.56</v>
      </c>
      <c r="O147" s="63">
        <v>1.2E9</v>
      </c>
      <c r="P147" s="15">
        <f t="shared" si="22"/>
        <v>1237462541</v>
      </c>
      <c r="Q147" s="15">
        <f t="shared" si="23"/>
        <v>1230720000</v>
      </c>
      <c r="R147" s="15">
        <f t="shared" si="14"/>
        <v>6742541.436</v>
      </c>
      <c r="S147" s="15"/>
      <c r="T147" s="62"/>
      <c r="U147" s="62"/>
      <c r="V147" s="1"/>
      <c r="W147" s="1"/>
      <c r="X147" s="1"/>
      <c r="Y147" s="1"/>
      <c r="Z147" s="1"/>
      <c r="AA147" s="1"/>
    </row>
    <row r="148" ht="13.5" customHeight="1">
      <c r="B148" s="3">
        <f t="shared" si="6"/>
        <v>145</v>
      </c>
      <c r="C148" s="57" t="s">
        <v>92</v>
      </c>
      <c r="D148" s="1" t="s">
        <v>58</v>
      </c>
      <c r="E148" s="3" t="s">
        <v>139</v>
      </c>
      <c r="F148" s="57" t="s">
        <v>163</v>
      </c>
      <c r="G148" s="1" t="s">
        <v>12</v>
      </c>
      <c r="H148" s="1" t="s">
        <v>208</v>
      </c>
      <c r="I148" s="62">
        <v>0.185</v>
      </c>
      <c r="J148" s="52">
        <v>47900.0</v>
      </c>
      <c r="K148" s="122">
        <v>45694.0</v>
      </c>
      <c r="L148" s="122">
        <v>45695.0</v>
      </c>
      <c r="M148" s="62">
        <f t="shared" si="32"/>
        <v>0.2152133876</v>
      </c>
      <c r="N148" s="63">
        <v>90.01375</v>
      </c>
      <c r="O148" s="63">
        <v>7.0E8</v>
      </c>
      <c r="P148" s="15">
        <f t="shared" si="22"/>
        <v>689919619.6</v>
      </c>
      <c r="Q148" s="15">
        <f t="shared" si="23"/>
        <v>630096250</v>
      </c>
      <c r="R148" s="15">
        <f t="shared" si="14"/>
        <v>59823369.57</v>
      </c>
      <c r="S148" s="15"/>
      <c r="T148" s="62"/>
      <c r="U148" s="62"/>
      <c r="V148" s="1"/>
      <c r="W148" s="1"/>
      <c r="X148" s="1"/>
      <c r="Y148" s="1"/>
      <c r="Z148" s="1"/>
      <c r="AA148" s="1"/>
    </row>
    <row r="149" ht="13.5" customHeight="1">
      <c r="B149" s="3">
        <f t="shared" si="6"/>
        <v>146</v>
      </c>
      <c r="C149" s="57" t="s">
        <v>92</v>
      </c>
      <c r="D149" s="1" t="s">
        <v>58</v>
      </c>
      <c r="E149" s="3" t="s">
        <v>139</v>
      </c>
      <c r="F149" s="57" t="s">
        <v>163</v>
      </c>
      <c r="G149" s="1" t="s">
        <v>12</v>
      </c>
      <c r="H149" s="1" t="s">
        <v>208</v>
      </c>
      <c r="I149" s="62">
        <v>0.185</v>
      </c>
      <c r="J149" s="52">
        <v>47900.0</v>
      </c>
      <c r="K149" s="122">
        <v>45694.0</v>
      </c>
      <c r="L149" s="122">
        <v>45698.0</v>
      </c>
      <c r="M149" s="62">
        <f t="shared" si="32"/>
        <v>0.2151268072</v>
      </c>
      <c r="N149" s="63">
        <v>90.05375</v>
      </c>
      <c r="O149" s="63">
        <v>7.0E8</v>
      </c>
      <c r="P149" s="15">
        <f t="shared" si="22"/>
        <v>691255326.1</v>
      </c>
      <c r="Q149" s="15">
        <f t="shared" si="23"/>
        <v>630376250</v>
      </c>
      <c r="R149" s="15">
        <f t="shared" si="14"/>
        <v>60879076.09</v>
      </c>
      <c r="S149" s="15"/>
      <c r="T149" s="62"/>
      <c r="U149" s="62"/>
      <c r="V149" s="1"/>
      <c r="W149" s="1"/>
      <c r="X149" s="1"/>
      <c r="Y149" s="1"/>
      <c r="Z149" s="1"/>
      <c r="AA149" s="1"/>
    </row>
    <row r="150" ht="13.5" customHeight="1">
      <c r="A150" s="175"/>
      <c r="B150" s="3">
        <f t="shared" si="6"/>
        <v>147</v>
      </c>
      <c r="C150" s="57" t="s">
        <v>92</v>
      </c>
      <c r="D150" s="57" t="s">
        <v>58</v>
      </c>
      <c r="E150" s="110" t="s">
        <v>139</v>
      </c>
      <c r="F150" s="57" t="s">
        <v>148</v>
      </c>
      <c r="G150" s="57" t="s">
        <v>12</v>
      </c>
      <c r="H150" s="57" t="s">
        <v>208</v>
      </c>
      <c r="I150" s="87">
        <v>0.185</v>
      </c>
      <c r="J150" s="167">
        <v>47900.0</v>
      </c>
      <c r="K150" s="168">
        <v>45709.0</v>
      </c>
      <c r="L150" s="168">
        <v>45715.0</v>
      </c>
      <c r="M150" s="87">
        <f t="shared" si="32"/>
        <v>0.1923354734</v>
      </c>
      <c r="N150" s="63">
        <v>97.44375</v>
      </c>
      <c r="O150" s="63">
        <v>7.0E8</v>
      </c>
      <c r="P150" s="27">
        <f t="shared" si="22"/>
        <v>684252658.8</v>
      </c>
      <c r="Q150" s="27">
        <f t="shared" si="23"/>
        <v>682106250</v>
      </c>
      <c r="R150" s="27">
        <f t="shared" si="14"/>
        <v>2146408.84</v>
      </c>
      <c r="S150" s="176"/>
      <c r="T150" s="177"/>
      <c r="U150" s="177"/>
      <c r="V150" s="178"/>
      <c r="W150" s="178"/>
      <c r="X150" s="178"/>
      <c r="Y150" s="178"/>
      <c r="Z150" s="178"/>
      <c r="AA150" s="178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</row>
    <row r="151" ht="13.5" customHeight="1">
      <c r="A151" s="175"/>
      <c r="B151" s="3">
        <f t="shared" si="6"/>
        <v>148</v>
      </c>
      <c r="C151" s="57" t="s">
        <v>92</v>
      </c>
      <c r="D151" s="57" t="s">
        <v>58</v>
      </c>
      <c r="E151" s="110" t="s">
        <v>139</v>
      </c>
      <c r="F151" s="57" t="s">
        <v>148</v>
      </c>
      <c r="G151" s="57" t="s">
        <v>12</v>
      </c>
      <c r="H151" s="57" t="s">
        <v>208</v>
      </c>
      <c r="I151" s="87">
        <v>0.185</v>
      </c>
      <c r="J151" s="167">
        <v>47900.0</v>
      </c>
      <c r="K151" s="168">
        <v>45709.0</v>
      </c>
      <c r="L151" s="168">
        <v>45714.0</v>
      </c>
      <c r="M151" s="87">
        <f t="shared" si="32"/>
        <v>0.1928398533</v>
      </c>
      <c r="N151" s="63">
        <v>97.27375</v>
      </c>
      <c r="O151" s="63">
        <v>1.0E9</v>
      </c>
      <c r="P151" s="27">
        <f t="shared" si="22"/>
        <v>975292748.6</v>
      </c>
      <c r="Q151" s="27">
        <f t="shared" si="23"/>
        <v>972737500</v>
      </c>
      <c r="R151" s="27">
        <f t="shared" si="14"/>
        <v>2555248.619</v>
      </c>
      <c r="S151" s="176"/>
      <c r="T151" s="177"/>
      <c r="U151" s="177"/>
      <c r="V151" s="178"/>
      <c r="W151" s="178"/>
      <c r="X151" s="178"/>
      <c r="Y151" s="178"/>
      <c r="Z151" s="178"/>
      <c r="AA151" s="178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</row>
    <row r="152" ht="13.5" customHeight="1">
      <c r="A152" s="175"/>
      <c r="B152" s="3">
        <f t="shared" si="6"/>
        <v>149</v>
      </c>
      <c r="C152" s="57" t="s">
        <v>129</v>
      </c>
      <c r="D152" s="57" t="s">
        <v>58</v>
      </c>
      <c r="E152" s="110" t="s">
        <v>139</v>
      </c>
      <c r="F152" s="57" t="s">
        <v>148</v>
      </c>
      <c r="G152" s="57" t="s">
        <v>12</v>
      </c>
      <c r="H152" s="57" t="s">
        <v>144</v>
      </c>
      <c r="I152" s="87">
        <v>0.226</v>
      </c>
      <c r="J152" s="167">
        <v>49338.0</v>
      </c>
      <c r="K152" s="168">
        <v>45708.0</v>
      </c>
      <c r="L152" s="168">
        <v>45714.0</v>
      </c>
      <c r="M152" s="87">
        <f t="shared" si="32"/>
        <v>0.2025063179</v>
      </c>
      <c r="N152" s="63">
        <v>109.82</v>
      </c>
      <c r="O152" s="63">
        <v>5.0E8</v>
      </c>
      <c r="P152" s="27">
        <f t="shared" si="22"/>
        <v>557840331.5</v>
      </c>
      <c r="Q152" s="27">
        <f t="shared" si="23"/>
        <v>549100000</v>
      </c>
      <c r="R152" s="27">
        <f t="shared" si="14"/>
        <v>8740331.492</v>
      </c>
      <c r="S152" s="176"/>
      <c r="T152" s="177"/>
      <c r="U152" s="177"/>
      <c r="V152" s="178"/>
      <c r="W152" s="178"/>
      <c r="X152" s="178"/>
      <c r="Y152" s="178"/>
      <c r="Z152" s="178"/>
      <c r="AA152" s="178"/>
      <c r="AB152" s="175"/>
      <c r="AC152" s="175"/>
      <c r="AD152" s="175"/>
      <c r="AE152" s="175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</row>
    <row r="153" ht="13.5" customHeight="1">
      <c r="A153" s="175"/>
      <c r="B153" s="3">
        <f t="shared" si="6"/>
        <v>150</v>
      </c>
      <c r="C153" s="57" t="s">
        <v>123</v>
      </c>
      <c r="D153" s="57" t="s">
        <v>58</v>
      </c>
      <c r="E153" s="110" t="s">
        <v>139</v>
      </c>
      <c r="F153" s="57" t="s">
        <v>148</v>
      </c>
      <c r="G153" s="57" t="s">
        <v>12</v>
      </c>
      <c r="H153" s="57" t="s">
        <v>144</v>
      </c>
      <c r="I153" s="87">
        <v>0.226</v>
      </c>
      <c r="J153" s="167">
        <v>49338.0</v>
      </c>
      <c r="K153" s="168">
        <v>45709.0</v>
      </c>
      <c r="L153" s="168">
        <v>45713.0</v>
      </c>
      <c r="M153" s="87">
        <f t="shared" si="32"/>
        <v>0.2020079872</v>
      </c>
      <c r="N153" s="63">
        <v>110.05</v>
      </c>
      <c r="O153" s="63">
        <v>8.0E8</v>
      </c>
      <c r="P153" s="27">
        <f t="shared" si="22"/>
        <v>893885082.9</v>
      </c>
      <c r="Q153" s="27">
        <f t="shared" si="23"/>
        <v>880400000</v>
      </c>
      <c r="R153" s="27">
        <f t="shared" si="14"/>
        <v>13485082.87</v>
      </c>
      <c r="S153" s="176"/>
      <c r="T153" s="177"/>
      <c r="U153" s="177"/>
      <c r="V153" s="178"/>
      <c r="W153" s="178"/>
      <c r="X153" s="178"/>
      <c r="Y153" s="178"/>
      <c r="Z153" s="178"/>
      <c r="AA153" s="178"/>
      <c r="AB153" s="175"/>
      <c r="AC153" s="175"/>
      <c r="AD153" s="175"/>
      <c r="AE153" s="175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</row>
    <row r="154" ht="13.5" customHeight="1">
      <c r="B154" s="3">
        <f t="shared" si="6"/>
        <v>151</v>
      </c>
      <c r="C154" s="57" t="s">
        <v>92</v>
      </c>
      <c r="D154" s="57" t="s">
        <v>58</v>
      </c>
      <c r="E154" s="110" t="s">
        <v>139</v>
      </c>
      <c r="F154" s="57" t="s">
        <v>148</v>
      </c>
      <c r="G154" s="57" t="s">
        <v>12</v>
      </c>
      <c r="H154" s="57" t="s">
        <v>201</v>
      </c>
      <c r="I154" s="87">
        <v>0.1989</v>
      </c>
      <c r="J154" s="167">
        <v>48714.0</v>
      </c>
      <c r="K154" s="168">
        <v>45713.0</v>
      </c>
      <c r="L154" s="168">
        <v>45719.0</v>
      </c>
      <c r="M154" s="87">
        <f t="shared" si="32"/>
        <v>0.1848687707</v>
      </c>
      <c r="N154" s="63">
        <v>105.70375</v>
      </c>
      <c r="O154" s="63">
        <v>5.0E8</v>
      </c>
      <c r="P154" s="15">
        <f t="shared" si="22"/>
        <v>558188915.7</v>
      </c>
      <c r="Q154" s="15">
        <f t="shared" si="23"/>
        <v>528518750</v>
      </c>
      <c r="R154" s="15">
        <f t="shared" si="14"/>
        <v>29670165.75</v>
      </c>
      <c r="S154" s="15"/>
      <c r="T154" s="62"/>
      <c r="U154" s="62"/>
      <c r="V154" s="1"/>
      <c r="W154" s="1"/>
      <c r="X154" s="1"/>
      <c r="Y154" s="1"/>
      <c r="Z154" s="1"/>
      <c r="AA154" s="1"/>
    </row>
    <row r="155" ht="13.5" customHeight="1">
      <c r="B155" s="3">
        <f t="shared" si="6"/>
        <v>152</v>
      </c>
      <c r="C155" s="57" t="s">
        <v>57</v>
      </c>
      <c r="D155" s="57" t="s">
        <v>58</v>
      </c>
      <c r="E155" s="110" t="s">
        <v>139</v>
      </c>
      <c r="F155" s="57" t="s">
        <v>148</v>
      </c>
      <c r="G155" s="57" t="s">
        <v>12</v>
      </c>
      <c r="H155" s="57" t="s">
        <v>210</v>
      </c>
      <c r="I155" s="87">
        <v>0.185</v>
      </c>
      <c r="J155" s="167">
        <v>47900.0</v>
      </c>
      <c r="K155" s="168">
        <v>45714.0</v>
      </c>
      <c r="L155" s="168">
        <v>45719.0</v>
      </c>
      <c r="M155" s="87">
        <f t="shared" si="32"/>
        <v>0.1899909289</v>
      </c>
      <c r="N155" s="63">
        <v>98.24</v>
      </c>
      <c r="O155" s="63">
        <v>2.0E9</v>
      </c>
      <c r="P155" s="15">
        <f t="shared" si="22"/>
        <v>1975020994</v>
      </c>
      <c r="Q155" s="15">
        <f t="shared" si="23"/>
        <v>1964800000</v>
      </c>
      <c r="R155" s="15">
        <f t="shared" si="14"/>
        <v>10220994.48</v>
      </c>
      <c r="S155" s="15"/>
      <c r="T155" s="62"/>
      <c r="U155" s="62"/>
      <c r="V155" s="1"/>
      <c r="W155" s="1"/>
      <c r="X155" s="1"/>
      <c r="Y155" s="1"/>
      <c r="Z155" s="1"/>
      <c r="AA155" s="1"/>
    </row>
    <row r="156" ht="13.5" customHeight="1">
      <c r="B156" s="3">
        <f t="shared" si="6"/>
        <v>153</v>
      </c>
      <c r="C156" s="57" t="s">
        <v>92</v>
      </c>
      <c r="D156" s="57" t="s">
        <v>58</v>
      </c>
      <c r="E156" s="110" t="s">
        <v>139</v>
      </c>
      <c r="F156" s="57" t="s">
        <v>148</v>
      </c>
      <c r="G156" s="57" t="s">
        <v>12</v>
      </c>
      <c r="H156" s="57" t="s">
        <v>210</v>
      </c>
      <c r="I156" s="87">
        <v>0.185</v>
      </c>
      <c r="J156" s="167">
        <v>47900.0</v>
      </c>
      <c r="K156" s="168">
        <v>45715.0</v>
      </c>
      <c r="L156" s="168">
        <v>45719.0</v>
      </c>
      <c r="M156" s="87">
        <f t="shared" si="32"/>
        <v>0.1838556819</v>
      </c>
      <c r="N156" s="63">
        <v>100.38375</v>
      </c>
      <c r="O156" s="63">
        <v>1.0E9</v>
      </c>
      <c r="P156" s="15">
        <f t="shared" si="22"/>
        <v>1008947997</v>
      </c>
      <c r="Q156" s="15">
        <f t="shared" si="23"/>
        <v>1003837500</v>
      </c>
      <c r="R156" s="15">
        <f t="shared" si="14"/>
        <v>5110497.238</v>
      </c>
      <c r="S156" s="15"/>
      <c r="T156" s="62"/>
      <c r="U156" s="62"/>
      <c r="V156" s="1"/>
      <c r="W156" s="1"/>
      <c r="X156" s="1"/>
      <c r="Y156" s="1"/>
      <c r="Z156" s="1"/>
      <c r="AA156" s="1"/>
    </row>
    <row r="157" ht="13.5" customHeight="1">
      <c r="B157" s="3">
        <f t="shared" si="6"/>
        <v>154</v>
      </c>
      <c r="C157" s="57" t="s">
        <v>77</v>
      </c>
      <c r="D157" s="57" t="s">
        <v>58</v>
      </c>
      <c r="E157" s="110" t="s">
        <v>139</v>
      </c>
      <c r="F157" s="57" t="s">
        <v>148</v>
      </c>
      <c r="G157" s="57" t="s">
        <v>12</v>
      </c>
      <c r="H157" s="57" t="s">
        <v>144</v>
      </c>
      <c r="I157" s="87">
        <v>0.226</v>
      </c>
      <c r="J157" s="167">
        <v>49338.0</v>
      </c>
      <c r="K157" s="168">
        <v>45716.0</v>
      </c>
      <c r="L157" s="168">
        <v>45720.0</v>
      </c>
      <c r="M157" s="87">
        <f t="shared" si="32"/>
        <v>0.1838941501</v>
      </c>
      <c r="N157" s="63">
        <v>118.81375</v>
      </c>
      <c r="O157" s="63">
        <v>5.0E8</v>
      </c>
      <c r="P157" s="15">
        <f t="shared" si="22"/>
        <v>604682009.7</v>
      </c>
      <c r="Q157" s="15">
        <f t="shared" si="23"/>
        <v>594068750</v>
      </c>
      <c r="R157" s="15">
        <f t="shared" si="14"/>
        <v>10613259.67</v>
      </c>
      <c r="S157" s="15"/>
      <c r="T157" s="62"/>
      <c r="U157" s="62"/>
      <c r="V157" s="1"/>
      <c r="W157" s="1"/>
      <c r="X157" s="1"/>
      <c r="Y157" s="1"/>
      <c r="Z157" s="1"/>
      <c r="AA157" s="1"/>
    </row>
    <row r="158" ht="13.5" customHeight="1">
      <c r="A158" s="179"/>
      <c r="B158" s="3">
        <f t="shared" si="6"/>
        <v>155</v>
      </c>
      <c r="C158" s="57" t="s">
        <v>96</v>
      </c>
      <c r="D158" s="57" t="s">
        <v>58</v>
      </c>
      <c r="E158" s="110" t="s">
        <v>139</v>
      </c>
      <c r="F158" s="57" t="s">
        <v>163</v>
      </c>
      <c r="G158" s="57" t="s">
        <v>14</v>
      </c>
      <c r="H158" s="57" t="s">
        <v>205</v>
      </c>
      <c r="I158" s="87">
        <v>0.0</v>
      </c>
      <c r="J158" s="167">
        <v>45834.0</v>
      </c>
      <c r="K158" s="168">
        <v>45719.0</v>
      </c>
      <c r="L158" s="168">
        <v>45720.0</v>
      </c>
      <c r="M158" s="87">
        <v>0.181</v>
      </c>
      <c r="N158" s="63">
        <f t="shared" ref="N158:N161" si="33">PRICEDISC(L158,J158,M158,100,1)</f>
        <v>94.34684932</v>
      </c>
      <c r="O158" s="63">
        <v>3.0E8</v>
      </c>
      <c r="P158" s="15">
        <f t="shared" si="22"/>
        <v>283040547.9</v>
      </c>
      <c r="Q158" s="15">
        <f t="shared" si="23"/>
        <v>283040547.9</v>
      </c>
      <c r="R158" s="15" t="str">
        <f t="shared" si="14"/>
        <v/>
      </c>
      <c r="S158" s="34"/>
      <c r="T158" s="76"/>
      <c r="U158" s="76"/>
      <c r="V158" s="51"/>
      <c r="W158" s="51"/>
      <c r="X158" s="51"/>
      <c r="Y158" s="51"/>
      <c r="Z158" s="51"/>
      <c r="AA158" s="51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</row>
    <row r="159" ht="13.5" customHeight="1">
      <c r="A159" s="179"/>
      <c r="B159" s="3">
        <f t="shared" si="6"/>
        <v>156</v>
      </c>
      <c r="C159" s="57" t="s">
        <v>96</v>
      </c>
      <c r="D159" s="57" t="s">
        <v>58</v>
      </c>
      <c r="E159" s="110" t="s">
        <v>139</v>
      </c>
      <c r="F159" s="57" t="s">
        <v>163</v>
      </c>
      <c r="G159" s="57" t="s">
        <v>14</v>
      </c>
      <c r="H159" s="57" t="s">
        <v>199</v>
      </c>
      <c r="I159" s="87">
        <v>0.0</v>
      </c>
      <c r="J159" s="167">
        <v>45848.0</v>
      </c>
      <c r="K159" s="168">
        <v>45719.0</v>
      </c>
      <c r="L159" s="168">
        <v>45720.0</v>
      </c>
      <c r="M159" s="87">
        <v>0.18</v>
      </c>
      <c r="N159" s="63">
        <f t="shared" si="33"/>
        <v>93.68767123</v>
      </c>
      <c r="O159" s="63">
        <v>8.0E8</v>
      </c>
      <c r="P159" s="15">
        <f t="shared" si="22"/>
        <v>749501369.9</v>
      </c>
      <c r="Q159" s="15">
        <f t="shared" si="23"/>
        <v>749501369.9</v>
      </c>
      <c r="R159" s="15" t="str">
        <f t="shared" si="14"/>
        <v/>
      </c>
      <c r="S159" s="34"/>
      <c r="T159" s="76"/>
      <c r="U159" s="76"/>
      <c r="V159" s="51"/>
      <c r="W159" s="51"/>
      <c r="X159" s="51"/>
      <c r="Y159" s="51"/>
      <c r="Z159" s="51"/>
      <c r="AA159" s="51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</row>
    <row r="160" ht="13.5" customHeight="1">
      <c r="A160" s="179"/>
      <c r="B160" s="3">
        <f t="shared" si="6"/>
        <v>157</v>
      </c>
      <c r="C160" s="57" t="s">
        <v>92</v>
      </c>
      <c r="D160" s="57" t="s">
        <v>58</v>
      </c>
      <c r="E160" s="110" t="s">
        <v>139</v>
      </c>
      <c r="F160" s="57" t="s">
        <v>163</v>
      </c>
      <c r="G160" s="57" t="s">
        <v>14</v>
      </c>
      <c r="H160" s="57" t="s">
        <v>200</v>
      </c>
      <c r="I160" s="87">
        <v>0.0</v>
      </c>
      <c r="J160" s="167">
        <v>45799.0</v>
      </c>
      <c r="K160" s="168">
        <v>45719.0</v>
      </c>
      <c r="L160" s="168">
        <v>45720.0</v>
      </c>
      <c r="M160" s="87">
        <v>0.1685</v>
      </c>
      <c r="N160" s="63">
        <f t="shared" si="33"/>
        <v>96.3530137</v>
      </c>
      <c r="O160" s="63">
        <v>5.497E8</v>
      </c>
      <c r="P160" s="15">
        <f t="shared" si="22"/>
        <v>529652516.3</v>
      </c>
      <c r="Q160" s="15">
        <f t="shared" si="23"/>
        <v>529652516.3</v>
      </c>
      <c r="R160" s="15" t="str">
        <f t="shared" si="14"/>
        <v/>
      </c>
      <c r="S160" s="34"/>
      <c r="T160" s="76"/>
      <c r="U160" s="76"/>
      <c r="V160" s="51"/>
      <c r="W160" s="51"/>
      <c r="X160" s="51"/>
      <c r="Y160" s="51"/>
      <c r="Z160" s="51"/>
      <c r="AA160" s="51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</row>
    <row r="161" ht="13.5" customHeight="1">
      <c r="A161" s="179"/>
      <c r="B161" s="3">
        <f t="shared" si="6"/>
        <v>158</v>
      </c>
      <c r="C161" s="57" t="s">
        <v>92</v>
      </c>
      <c r="D161" s="57" t="s">
        <v>58</v>
      </c>
      <c r="E161" s="110" t="s">
        <v>139</v>
      </c>
      <c r="F161" s="57" t="s">
        <v>163</v>
      </c>
      <c r="G161" s="57" t="s">
        <v>14</v>
      </c>
      <c r="H161" s="57" t="s">
        <v>198</v>
      </c>
      <c r="I161" s="87">
        <v>0.0</v>
      </c>
      <c r="J161" s="167">
        <v>45813.0</v>
      </c>
      <c r="K161" s="168">
        <v>45719.0</v>
      </c>
      <c r="L161" s="168">
        <v>45720.0</v>
      </c>
      <c r="M161" s="87">
        <v>0.182</v>
      </c>
      <c r="N161" s="63">
        <f t="shared" si="33"/>
        <v>95.36273973</v>
      </c>
      <c r="O161" s="63">
        <v>1.25E9</v>
      </c>
      <c r="P161" s="15">
        <f t="shared" si="22"/>
        <v>1192034247</v>
      </c>
      <c r="Q161" s="15">
        <f t="shared" si="23"/>
        <v>1192034247</v>
      </c>
      <c r="R161" s="15" t="str">
        <f t="shared" si="14"/>
        <v/>
      </c>
      <c r="S161" s="34"/>
      <c r="T161" s="76"/>
      <c r="U161" s="76"/>
      <c r="V161" s="51"/>
      <c r="W161" s="51"/>
      <c r="X161" s="51"/>
      <c r="Y161" s="51"/>
      <c r="Z161" s="51"/>
      <c r="AA161" s="51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</row>
    <row r="162" ht="13.5" customHeight="1">
      <c r="A162" s="180"/>
      <c r="B162" s="3">
        <f t="shared" si="6"/>
        <v>159</v>
      </c>
      <c r="C162" s="57" t="s">
        <v>77</v>
      </c>
      <c r="D162" s="57" t="s">
        <v>58</v>
      </c>
      <c r="E162" s="110" t="s">
        <v>139</v>
      </c>
      <c r="F162" s="57" t="s">
        <v>148</v>
      </c>
      <c r="G162" s="57" t="s">
        <v>12</v>
      </c>
      <c r="H162" s="57" t="s">
        <v>171</v>
      </c>
      <c r="I162" s="87">
        <v>0.162499</v>
      </c>
      <c r="J162" s="167">
        <v>50148.0</v>
      </c>
      <c r="K162" s="168">
        <v>45719.0</v>
      </c>
      <c r="L162" s="168">
        <v>45722.0</v>
      </c>
      <c r="M162" s="87">
        <f t="shared" ref="M162:M207" si="34">IFERROR(YIELD(L162,J162,I162,N162,100,2,1),"")</f>
        <v>0.1823706486</v>
      </c>
      <c r="N162" s="63">
        <v>90.35375</v>
      </c>
      <c r="O162" s="63">
        <v>1.0E9</v>
      </c>
      <c r="P162" s="15">
        <f t="shared" si="22"/>
        <v>965590689.6</v>
      </c>
      <c r="Q162" s="15">
        <f t="shared" si="23"/>
        <v>903537500</v>
      </c>
      <c r="R162" s="15">
        <f t="shared" si="14"/>
        <v>62053189.56</v>
      </c>
      <c r="S162" s="15"/>
      <c r="T162" s="62"/>
      <c r="U162" s="62"/>
      <c r="V162" s="1"/>
      <c r="W162" s="1"/>
      <c r="X162" s="1"/>
      <c r="Y162" s="1"/>
      <c r="Z162" s="1"/>
      <c r="AA162" s="1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</row>
    <row r="163" ht="13.5" customHeight="1">
      <c r="A163" s="180"/>
      <c r="B163" s="3">
        <f t="shared" si="6"/>
        <v>160</v>
      </c>
      <c r="C163" s="57" t="s">
        <v>172</v>
      </c>
      <c r="D163" s="57" t="s">
        <v>58</v>
      </c>
      <c r="E163" s="110" t="s">
        <v>139</v>
      </c>
      <c r="F163" s="57" t="s">
        <v>148</v>
      </c>
      <c r="G163" s="57" t="s">
        <v>12</v>
      </c>
      <c r="H163" s="57" t="s">
        <v>201</v>
      </c>
      <c r="I163" s="87">
        <v>0.1989</v>
      </c>
      <c r="J163" s="167">
        <v>48714.0</v>
      </c>
      <c r="K163" s="168">
        <v>45719.0</v>
      </c>
      <c r="L163" s="168">
        <v>45722.0</v>
      </c>
      <c r="M163" s="87">
        <f t="shared" si="34"/>
        <v>0.1855003895</v>
      </c>
      <c r="N163" s="63">
        <v>105.43</v>
      </c>
      <c r="O163" s="63">
        <v>1.0E9</v>
      </c>
      <c r="P163" s="15">
        <f t="shared" si="22"/>
        <v>1115288674</v>
      </c>
      <c r="Q163" s="15">
        <f t="shared" si="23"/>
        <v>1054300000</v>
      </c>
      <c r="R163" s="15">
        <f t="shared" si="14"/>
        <v>60988674.03</v>
      </c>
      <c r="S163" s="15"/>
      <c r="T163" s="62"/>
      <c r="U163" s="62"/>
      <c r="V163" s="1"/>
      <c r="W163" s="1"/>
      <c r="X163" s="1"/>
      <c r="Y163" s="1"/>
      <c r="Z163" s="1"/>
      <c r="AA163" s="1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  <c r="AN163" s="180"/>
      <c r="AO163" s="180"/>
      <c r="AP163" s="180"/>
    </row>
    <row r="164" ht="13.5" customHeight="1">
      <c r="B164" s="3">
        <f t="shared" si="6"/>
        <v>161</v>
      </c>
      <c r="C164" s="57" t="s">
        <v>57</v>
      </c>
      <c r="D164" s="57" t="s">
        <v>58</v>
      </c>
      <c r="E164" s="110" t="s">
        <v>139</v>
      </c>
      <c r="F164" s="57" t="s">
        <v>148</v>
      </c>
      <c r="G164" s="57" t="s">
        <v>12</v>
      </c>
      <c r="H164" s="57" t="s">
        <v>201</v>
      </c>
      <c r="I164" s="87">
        <v>0.1989</v>
      </c>
      <c r="J164" s="167">
        <v>48714.0</v>
      </c>
      <c r="K164" s="168">
        <v>45726.0</v>
      </c>
      <c r="L164" s="168">
        <v>45728.0</v>
      </c>
      <c r="M164" s="87">
        <f t="shared" si="34"/>
        <v>0.1875081008</v>
      </c>
      <c r="N164" s="63">
        <v>104.57</v>
      </c>
      <c r="O164" s="63">
        <v>1.2E9</v>
      </c>
      <c r="P164" s="15">
        <f t="shared" si="22"/>
        <v>1331982431</v>
      </c>
      <c r="Q164" s="15">
        <f t="shared" si="23"/>
        <v>1254840000</v>
      </c>
      <c r="R164" s="15">
        <f t="shared" si="14"/>
        <v>77142430.94</v>
      </c>
      <c r="S164" s="15"/>
      <c r="T164" s="62"/>
      <c r="U164" s="62"/>
      <c r="V164" s="1"/>
      <c r="W164" s="1"/>
      <c r="X164" s="1"/>
      <c r="Y164" s="1"/>
      <c r="Z164" s="1"/>
      <c r="AA164" s="1"/>
    </row>
    <row r="165" ht="13.5" customHeight="1">
      <c r="B165" s="3">
        <f t="shared" si="6"/>
        <v>162</v>
      </c>
      <c r="C165" s="57" t="s">
        <v>172</v>
      </c>
      <c r="D165" s="57" t="s">
        <v>58</v>
      </c>
      <c r="E165" s="110" t="s">
        <v>139</v>
      </c>
      <c r="F165" s="57" t="s">
        <v>148</v>
      </c>
      <c r="G165" s="57" t="s">
        <v>12</v>
      </c>
      <c r="H165" s="57" t="s">
        <v>201</v>
      </c>
      <c r="I165" s="87">
        <v>0.1989</v>
      </c>
      <c r="J165" s="167">
        <v>48714.0</v>
      </c>
      <c r="K165" s="168">
        <v>45736.0</v>
      </c>
      <c r="L165" s="168">
        <v>45741.0</v>
      </c>
      <c r="M165" s="181">
        <f t="shared" si="34"/>
        <v>0.1990110626</v>
      </c>
      <c r="N165" s="63">
        <v>99.86</v>
      </c>
      <c r="O165" s="63">
        <v>2.0E9</v>
      </c>
      <c r="P165" s="15">
        <f t="shared" si="22"/>
        <v>2140056354</v>
      </c>
      <c r="Q165" s="15">
        <f t="shared" si="23"/>
        <v>1997200000</v>
      </c>
      <c r="R165" s="15">
        <f t="shared" si="14"/>
        <v>142856353.6</v>
      </c>
      <c r="S165" s="15"/>
      <c r="T165" s="62"/>
      <c r="U165" s="62"/>
      <c r="V165" s="1"/>
      <c r="W165" s="1"/>
      <c r="X165" s="1"/>
      <c r="Y165" s="1"/>
      <c r="Z165" s="1"/>
      <c r="AA165" s="1"/>
    </row>
    <row r="166" ht="13.5" customHeight="1">
      <c r="B166" s="3">
        <f t="shared" si="6"/>
        <v>163</v>
      </c>
      <c r="C166" s="57" t="s">
        <v>172</v>
      </c>
      <c r="D166" s="57" t="s">
        <v>58</v>
      </c>
      <c r="E166" s="110" t="s">
        <v>139</v>
      </c>
      <c r="F166" s="57" t="s">
        <v>148</v>
      </c>
      <c r="G166" s="57" t="s">
        <v>12</v>
      </c>
      <c r="H166" s="57" t="s">
        <v>201</v>
      </c>
      <c r="I166" s="87">
        <v>0.1989</v>
      </c>
      <c r="J166" s="167">
        <v>48714.0</v>
      </c>
      <c r="K166" s="168">
        <v>45736.0</v>
      </c>
      <c r="L166" s="168">
        <v>45740.0</v>
      </c>
      <c r="M166" s="62">
        <f t="shared" si="34"/>
        <v>0.1994891578</v>
      </c>
      <c r="N166" s="63">
        <v>99.67</v>
      </c>
      <c r="O166" s="63">
        <v>1.0E9</v>
      </c>
      <c r="P166" s="15">
        <f t="shared" si="22"/>
        <v>1067578729</v>
      </c>
      <c r="Q166" s="15">
        <f t="shared" si="23"/>
        <v>996700000</v>
      </c>
      <c r="R166" s="15">
        <f t="shared" si="14"/>
        <v>70878729.28</v>
      </c>
      <c r="S166" s="15"/>
      <c r="T166" s="62"/>
      <c r="U166" s="62"/>
      <c r="V166" s="1"/>
      <c r="W166" s="1"/>
      <c r="X166" s="1"/>
      <c r="Y166" s="1"/>
      <c r="Z166" s="1"/>
      <c r="AA166" s="1"/>
    </row>
    <row r="167" ht="13.5" customHeight="1">
      <c r="B167" s="3">
        <f t="shared" si="6"/>
        <v>164</v>
      </c>
      <c r="C167" s="57" t="s">
        <v>77</v>
      </c>
      <c r="D167" s="57" t="s">
        <v>58</v>
      </c>
      <c r="E167" s="110" t="s">
        <v>139</v>
      </c>
      <c r="F167" s="57" t="s">
        <v>163</v>
      </c>
      <c r="G167" s="57" t="s">
        <v>12</v>
      </c>
      <c r="H167" s="57" t="s">
        <v>201</v>
      </c>
      <c r="I167" s="87">
        <v>0.1989</v>
      </c>
      <c r="J167" s="167">
        <v>48714.0</v>
      </c>
      <c r="K167" s="122">
        <v>45751.0</v>
      </c>
      <c r="L167" s="122">
        <v>45754.0</v>
      </c>
      <c r="M167" s="62">
        <f t="shared" si="34"/>
        <v>0.1973562645</v>
      </c>
      <c r="N167" s="63">
        <v>100.53375</v>
      </c>
      <c r="O167" s="63">
        <v>8.0E8</v>
      </c>
      <c r="P167" s="15">
        <f t="shared" si="22"/>
        <v>867126795.6</v>
      </c>
      <c r="Q167" s="15">
        <f t="shared" si="23"/>
        <v>804270000</v>
      </c>
      <c r="R167" s="15">
        <f t="shared" si="14"/>
        <v>62856795.58</v>
      </c>
      <c r="S167" s="15"/>
      <c r="T167" s="62"/>
      <c r="U167" s="62"/>
      <c r="V167" s="1"/>
      <c r="W167" s="1"/>
      <c r="X167" s="1"/>
      <c r="Y167" s="1"/>
      <c r="Z167" s="1"/>
      <c r="AA167" s="1"/>
    </row>
    <row r="168" ht="13.5" customHeight="1">
      <c r="B168" s="3">
        <f t="shared" si="6"/>
        <v>165</v>
      </c>
      <c r="C168" s="1" t="s">
        <v>57</v>
      </c>
      <c r="D168" s="57" t="s">
        <v>58</v>
      </c>
      <c r="E168" s="110" t="s">
        <v>139</v>
      </c>
      <c r="F168" s="57" t="s">
        <v>163</v>
      </c>
      <c r="G168" s="57" t="s">
        <v>12</v>
      </c>
      <c r="H168" s="1" t="s">
        <v>208</v>
      </c>
      <c r="I168" s="62">
        <v>0.185</v>
      </c>
      <c r="J168" s="52">
        <v>47900.0</v>
      </c>
      <c r="K168" s="122">
        <v>45751.0</v>
      </c>
      <c r="L168" s="122">
        <v>45755.0</v>
      </c>
      <c r="M168" s="62">
        <f t="shared" si="34"/>
        <v>0.1962055936</v>
      </c>
      <c r="N168" s="63">
        <v>96.11</v>
      </c>
      <c r="O168" s="63">
        <v>7.0E8</v>
      </c>
      <c r="P168" s="15">
        <f t="shared" si="22"/>
        <v>689225801.1</v>
      </c>
      <c r="Q168" s="15">
        <f t="shared" si="23"/>
        <v>672770000</v>
      </c>
      <c r="R168" s="15">
        <f t="shared" si="14"/>
        <v>16455801.1</v>
      </c>
      <c r="S168" s="15"/>
      <c r="T168" s="62"/>
      <c r="U168" s="62"/>
      <c r="V168" s="1"/>
      <c r="W168" s="1"/>
      <c r="X168" s="1"/>
      <c r="Y168" s="1"/>
      <c r="Z168" s="1"/>
      <c r="AA168" s="1"/>
    </row>
    <row r="169" ht="13.5" customHeight="1">
      <c r="B169" s="3">
        <f t="shared" si="6"/>
        <v>166</v>
      </c>
      <c r="C169" s="1" t="s">
        <v>57</v>
      </c>
      <c r="D169" s="1" t="s">
        <v>58</v>
      </c>
      <c r="E169" s="110" t="s">
        <v>139</v>
      </c>
      <c r="F169" s="57" t="s">
        <v>163</v>
      </c>
      <c r="G169" s="57" t="s">
        <v>14</v>
      </c>
      <c r="H169" s="57" t="s">
        <v>144</v>
      </c>
      <c r="I169" s="62">
        <v>0.226</v>
      </c>
      <c r="J169" s="167">
        <v>49338.0</v>
      </c>
      <c r="K169" s="122">
        <v>45783.0</v>
      </c>
      <c r="L169" s="122">
        <v>45785.0</v>
      </c>
      <c r="M169" s="62">
        <f t="shared" si="34"/>
        <v>0.1964073042</v>
      </c>
      <c r="N169" s="63">
        <v>112.5</v>
      </c>
      <c r="O169" s="63">
        <v>1.0E9</v>
      </c>
      <c r="P169" s="15">
        <f t="shared" si="22"/>
        <v>1186806630</v>
      </c>
      <c r="Q169" s="15">
        <f t="shared" si="23"/>
        <v>1125000000</v>
      </c>
      <c r="R169" s="15">
        <f t="shared" si="14"/>
        <v>61806629.83</v>
      </c>
      <c r="S169" s="15"/>
      <c r="T169" s="62"/>
      <c r="U169" s="62"/>
      <c r="V169" s="1"/>
      <c r="W169" s="1"/>
      <c r="X169" s="1"/>
      <c r="Y169" s="1"/>
      <c r="Z169" s="1"/>
      <c r="AA169" s="1"/>
    </row>
    <row r="170" ht="13.5" customHeight="1">
      <c r="B170" s="3">
        <f t="shared" si="6"/>
        <v>167</v>
      </c>
      <c r="C170" s="57" t="s">
        <v>172</v>
      </c>
      <c r="D170" s="1" t="s">
        <v>58</v>
      </c>
      <c r="E170" s="110" t="s">
        <v>139</v>
      </c>
      <c r="F170" s="57" t="s">
        <v>163</v>
      </c>
      <c r="G170" s="57" t="s">
        <v>14</v>
      </c>
      <c r="H170" s="57" t="s">
        <v>144</v>
      </c>
      <c r="I170" s="62">
        <v>0.226</v>
      </c>
      <c r="J170" s="167">
        <v>49338.0</v>
      </c>
      <c r="K170" s="122">
        <v>45783.0</v>
      </c>
      <c r="L170" s="122">
        <v>45785.0</v>
      </c>
      <c r="M170" s="62">
        <f t="shared" si="34"/>
        <v>0.1964923952</v>
      </c>
      <c r="N170" s="63">
        <v>112.46</v>
      </c>
      <c r="O170" s="63">
        <v>5.0E8</v>
      </c>
      <c r="P170" s="15">
        <f t="shared" si="22"/>
        <v>593203314.9</v>
      </c>
      <c r="Q170" s="15">
        <f t="shared" si="23"/>
        <v>562300000</v>
      </c>
      <c r="R170" s="15">
        <f t="shared" si="14"/>
        <v>30903314.92</v>
      </c>
      <c r="S170" s="15"/>
      <c r="T170" s="62"/>
      <c r="U170" s="62"/>
      <c r="V170" s="1"/>
      <c r="W170" s="1"/>
      <c r="X170" s="1"/>
      <c r="Y170" s="1"/>
      <c r="Z170" s="1"/>
      <c r="AA170" s="1"/>
    </row>
    <row r="171" ht="13.5" customHeight="1">
      <c r="B171" s="3">
        <f t="shared" si="6"/>
        <v>168</v>
      </c>
      <c r="C171" s="1" t="s">
        <v>132</v>
      </c>
      <c r="D171" s="1" t="s">
        <v>58</v>
      </c>
      <c r="E171" s="110" t="s">
        <v>139</v>
      </c>
      <c r="F171" s="57" t="s">
        <v>163</v>
      </c>
      <c r="G171" s="57" t="s">
        <v>14</v>
      </c>
      <c r="H171" s="57" t="s">
        <v>144</v>
      </c>
      <c r="I171" s="62">
        <v>0.226</v>
      </c>
      <c r="J171" s="167">
        <v>49338.0</v>
      </c>
      <c r="K171" s="122">
        <v>45783.0</v>
      </c>
      <c r="L171" s="122">
        <v>45785.0</v>
      </c>
      <c r="M171" s="62">
        <f t="shared" si="34"/>
        <v>0.1968199122</v>
      </c>
      <c r="N171" s="63">
        <v>112.30625</v>
      </c>
      <c r="O171" s="63">
        <v>1.5E9</v>
      </c>
      <c r="P171" s="15">
        <f t="shared" si="22"/>
        <v>1777303695</v>
      </c>
      <c r="Q171" s="15">
        <f t="shared" si="23"/>
        <v>1684593750</v>
      </c>
      <c r="R171" s="15">
        <f t="shared" si="14"/>
        <v>92709944.75</v>
      </c>
      <c r="S171" s="15"/>
      <c r="T171" s="62"/>
      <c r="U171" s="62"/>
      <c r="V171" s="1"/>
      <c r="W171" s="1"/>
      <c r="X171" s="1"/>
      <c r="Y171" s="1"/>
      <c r="Z171" s="1"/>
      <c r="AA171" s="1"/>
    </row>
    <row r="172" ht="13.5" customHeight="1">
      <c r="B172" s="3">
        <f t="shared" si="6"/>
        <v>169</v>
      </c>
      <c r="C172" s="57" t="s">
        <v>132</v>
      </c>
      <c r="D172" s="57" t="s">
        <v>58</v>
      </c>
      <c r="E172" s="110" t="s">
        <v>139</v>
      </c>
      <c r="F172" s="57" t="s">
        <v>163</v>
      </c>
      <c r="G172" s="57" t="s">
        <v>14</v>
      </c>
      <c r="H172" s="57" t="s">
        <v>208</v>
      </c>
      <c r="I172" s="87">
        <v>0.185</v>
      </c>
      <c r="J172" s="167">
        <v>47900.0</v>
      </c>
      <c r="K172" s="168">
        <v>45796.0</v>
      </c>
      <c r="L172" s="168">
        <v>45797.0</v>
      </c>
      <c r="M172" s="87">
        <f t="shared" si="34"/>
        <v>0.2008619437</v>
      </c>
      <c r="N172" s="63">
        <v>94.61625</v>
      </c>
      <c r="O172" s="63">
        <v>1.0E9</v>
      </c>
      <c r="P172" s="27">
        <f t="shared" si="22"/>
        <v>991134875.7</v>
      </c>
      <c r="Q172" s="27">
        <f t="shared" si="23"/>
        <v>946162500</v>
      </c>
      <c r="R172" s="27">
        <f t="shared" si="14"/>
        <v>44972375.69</v>
      </c>
      <c r="S172" s="27"/>
      <c r="T172" s="87"/>
      <c r="U172" s="87"/>
      <c r="V172" s="57"/>
      <c r="W172" s="57"/>
      <c r="X172" s="57"/>
      <c r="Y172" s="57"/>
      <c r="Z172" s="57"/>
      <c r="AA172" s="57"/>
    </row>
    <row r="173" ht="13.5" customHeight="1">
      <c r="B173" s="3">
        <f t="shared" si="6"/>
        <v>170</v>
      </c>
      <c r="C173" s="57" t="s">
        <v>132</v>
      </c>
      <c r="D173" s="57" t="s">
        <v>58</v>
      </c>
      <c r="E173" s="110" t="s">
        <v>139</v>
      </c>
      <c r="F173" s="57" t="s">
        <v>163</v>
      </c>
      <c r="G173" s="57" t="s">
        <v>14</v>
      </c>
      <c r="H173" s="57" t="s">
        <v>208</v>
      </c>
      <c r="I173" s="87">
        <v>0.185</v>
      </c>
      <c r="J173" s="167">
        <v>47900.0</v>
      </c>
      <c r="K173" s="168">
        <v>45796.0</v>
      </c>
      <c r="L173" s="168">
        <v>45797.0</v>
      </c>
      <c r="M173" s="87">
        <f t="shared" si="34"/>
        <v>0.2008619437</v>
      </c>
      <c r="N173" s="63">
        <v>94.61625</v>
      </c>
      <c r="O173" s="63">
        <v>1.0E9</v>
      </c>
      <c r="P173" s="27">
        <f t="shared" si="22"/>
        <v>991134875.7</v>
      </c>
      <c r="Q173" s="27">
        <f t="shared" si="23"/>
        <v>946162500</v>
      </c>
      <c r="R173" s="27">
        <f t="shared" si="14"/>
        <v>44972375.69</v>
      </c>
      <c r="S173" s="27"/>
      <c r="T173" s="87"/>
      <c r="U173" s="87"/>
      <c r="V173" s="57"/>
      <c r="W173" s="57"/>
      <c r="X173" s="57"/>
      <c r="Y173" s="57"/>
      <c r="Z173" s="57"/>
      <c r="AA173" s="57"/>
    </row>
    <row r="174" ht="13.5" customHeight="1">
      <c r="B174" s="3">
        <f t="shared" si="6"/>
        <v>171</v>
      </c>
      <c r="C174" s="57" t="s">
        <v>132</v>
      </c>
      <c r="D174" s="57" t="s">
        <v>58</v>
      </c>
      <c r="E174" s="110" t="s">
        <v>139</v>
      </c>
      <c r="F174" s="57" t="s">
        <v>163</v>
      </c>
      <c r="G174" s="57" t="s">
        <v>14</v>
      </c>
      <c r="H174" s="57" t="s">
        <v>208</v>
      </c>
      <c r="I174" s="87">
        <v>0.185</v>
      </c>
      <c r="J174" s="167">
        <v>47900.0</v>
      </c>
      <c r="K174" s="168">
        <v>45796.0</v>
      </c>
      <c r="L174" s="168">
        <v>45797.0</v>
      </c>
      <c r="M174" s="87">
        <f t="shared" si="34"/>
        <v>0.2011742443</v>
      </c>
      <c r="N174" s="63">
        <v>94.51625</v>
      </c>
      <c r="O174" s="63">
        <v>1.0E9</v>
      </c>
      <c r="P174" s="27">
        <f t="shared" si="22"/>
        <v>990134875.7</v>
      </c>
      <c r="Q174" s="27">
        <f t="shared" si="23"/>
        <v>945162500</v>
      </c>
      <c r="R174" s="27">
        <f t="shared" si="14"/>
        <v>44972375.69</v>
      </c>
      <c r="S174" s="27"/>
      <c r="T174" s="87"/>
      <c r="U174" s="87"/>
      <c r="V174" s="57"/>
      <c r="W174" s="57"/>
      <c r="X174" s="57"/>
      <c r="Y174" s="57"/>
      <c r="Z174" s="57"/>
      <c r="AA174" s="57"/>
    </row>
    <row r="175" ht="13.5" customHeight="1">
      <c r="B175" s="3">
        <f t="shared" si="6"/>
        <v>172</v>
      </c>
      <c r="C175" s="57" t="s">
        <v>132</v>
      </c>
      <c r="D175" s="57" t="s">
        <v>58</v>
      </c>
      <c r="E175" s="110" t="s">
        <v>139</v>
      </c>
      <c r="F175" s="57" t="s">
        <v>163</v>
      </c>
      <c r="G175" s="57" t="s">
        <v>14</v>
      </c>
      <c r="H175" s="57" t="s">
        <v>171</v>
      </c>
      <c r="I175" s="87">
        <v>0.162499</v>
      </c>
      <c r="J175" s="167">
        <v>50148.0</v>
      </c>
      <c r="K175" s="168">
        <v>45796.0</v>
      </c>
      <c r="L175" s="168">
        <v>45797.0</v>
      </c>
      <c r="M175" s="87">
        <f t="shared" si="34"/>
        <v>0.1961253587</v>
      </c>
      <c r="N175" s="63">
        <v>84.64625</v>
      </c>
      <c r="O175" s="63">
        <v>1.0E9</v>
      </c>
      <c r="P175" s="27">
        <f t="shared" si="22"/>
        <v>860670062.8</v>
      </c>
      <c r="Q175" s="27">
        <f t="shared" si="23"/>
        <v>846462500</v>
      </c>
      <c r="R175" s="27">
        <f t="shared" si="14"/>
        <v>14207562.84</v>
      </c>
      <c r="S175" s="27"/>
      <c r="T175" s="87"/>
      <c r="U175" s="87"/>
      <c r="V175" s="57"/>
      <c r="W175" s="57"/>
      <c r="X175" s="57"/>
      <c r="Y175" s="57"/>
      <c r="Z175" s="57"/>
      <c r="AA175" s="57"/>
    </row>
    <row r="176" ht="13.5" customHeight="1">
      <c r="B176" s="3">
        <f t="shared" si="6"/>
        <v>173</v>
      </c>
      <c r="C176" s="57" t="s">
        <v>132</v>
      </c>
      <c r="D176" s="57" t="s">
        <v>58</v>
      </c>
      <c r="E176" s="110" t="s">
        <v>139</v>
      </c>
      <c r="F176" s="57" t="s">
        <v>163</v>
      </c>
      <c r="G176" s="57" t="s">
        <v>14</v>
      </c>
      <c r="H176" s="57" t="s">
        <v>208</v>
      </c>
      <c r="I176" s="87">
        <v>0.185</v>
      </c>
      <c r="J176" s="167">
        <v>47900.0</v>
      </c>
      <c r="K176" s="122">
        <v>45797.0</v>
      </c>
      <c r="L176" s="122">
        <v>45798.0</v>
      </c>
      <c r="M176" s="62">
        <f t="shared" si="34"/>
        <v>0.2006788389</v>
      </c>
      <c r="N176" s="63">
        <v>94.67625</v>
      </c>
      <c r="O176" s="63">
        <v>8.0E8</v>
      </c>
      <c r="P176" s="15">
        <f t="shared" si="22"/>
        <v>793796740.3</v>
      </c>
      <c r="Q176" s="15">
        <f t="shared" si="23"/>
        <v>757410000</v>
      </c>
      <c r="R176" s="15">
        <f t="shared" si="14"/>
        <v>36386740.33</v>
      </c>
      <c r="S176" s="15"/>
      <c r="T176" s="62"/>
      <c r="U176" s="62"/>
      <c r="V176" s="1"/>
      <c r="W176" s="1"/>
      <c r="X176" s="1"/>
      <c r="Y176" s="1"/>
      <c r="Z176" s="1"/>
      <c r="AA176" s="1"/>
    </row>
    <row r="177" ht="13.5" customHeight="1">
      <c r="B177" s="3">
        <f t="shared" si="6"/>
        <v>174</v>
      </c>
      <c r="C177" s="57" t="s">
        <v>132</v>
      </c>
      <c r="D177" s="57" t="s">
        <v>58</v>
      </c>
      <c r="E177" s="110" t="s">
        <v>139</v>
      </c>
      <c r="F177" s="57" t="s">
        <v>163</v>
      </c>
      <c r="G177" s="57" t="s">
        <v>14</v>
      </c>
      <c r="H177" s="57" t="s">
        <v>208</v>
      </c>
      <c r="I177" s="87">
        <v>0.185</v>
      </c>
      <c r="J177" s="167">
        <v>47900.0</v>
      </c>
      <c r="K177" s="122">
        <v>45797.0</v>
      </c>
      <c r="L177" s="122">
        <v>45798.0</v>
      </c>
      <c r="M177" s="62">
        <f t="shared" si="34"/>
        <v>0.200180439</v>
      </c>
      <c r="N177" s="63">
        <v>94.83625</v>
      </c>
      <c r="O177" s="63">
        <v>1.0E9</v>
      </c>
      <c r="P177" s="15">
        <f t="shared" si="22"/>
        <v>993845925.4</v>
      </c>
      <c r="Q177" s="15">
        <f t="shared" si="23"/>
        <v>948362500</v>
      </c>
      <c r="R177" s="15">
        <f t="shared" si="14"/>
        <v>45483425.41</v>
      </c>
      <c r="S177" s="15"/>
      <c r="T177" s="62"/>
      <c r="U177" s="62"/>
      <c r="V177" s="1"/>
      <c r="W177" s="1"/>
      <c r="X177" s="1"/>
      <c r="Y177" s="1"/>
      <c r="Z177" s="1"/>
      <c r="AA177" s="1"/>
    </row>
    <row r="178" ht="13.5" customHeight="1">
      <c r="B178" s="3">
        <f t="shared" si="6"/>
        <v>175</v>
      </c>
      <c r="C178" s="57" t="s">
        <v>132</v>
      </c>
      <c r="D178" s="57" t="s">
        <v>58</v>
      </c>
      <c r="E178" s="110" t="s">
        <v>139</v>
      </c>
      <c r="F178" s="57" t="s">
        <v>163</v>
      </c>
      <c r="G178" s="57" t="s">
        <v>14</v>
      </c>
      <c r="H178" s="57" t="s">
        <v>208</v>
      </c>
      <c r="I178" s="87">
        <v>0.185</v>
      </c>
      <c r="J178" s="167">
        <v>47900.0</v>
      </c>
      <c r="K178" s="122">
        <v>45797.0</v>
      </c>
      <c r="L178" s="122">
        <v>45798.0</v>
      </c>
      <c r="M178" s="62">
        <f t="shared" si="34"/>
        <v>0.200180439</v>
      </c>
      <c r="N178" s="63">
        <v>94.83625</v>
      </c>
      <c r="O178" s="63">
        <v>1.0E9</v>
      </c>
      <c r="P178" s="15">
        <f t="shared" si="22"/>
        <v>993845925.4</v>
      </c>
      <c r="Q178" s="15">
        <f t="shared" si="23"/>
        <v>948362500</v>
      </c>
      <c r="R178" s="15">
        <f t="shared" si="14"/>
        <v>45483425.41</v>
      </c>
      <c r="S178" s="15"/>
      <c r="T178" s="62"/>
      <c r="U178" s="62"/>
      <c r="V178" s="1"/>
      <c r="W178" s="1"/>
      <c r="X178" s="1"/>
      <c r="Y178" s="1"/>
      <c r="Z178" s="1"/>
      <c r="AA178" s="1"/>
    </row>
    <row r="179" ht="13.5" customHeight="1">
      <c r="B179" s="3">
        <f t="shared" si="6"/>
        <v>176</v>
      </c>
      <c r="C179" s="57" t="s">
        <v>132</v>
      </c>
      <c r="D179" s="57" t="s">
        <v>58</v>
      </c>
      <c r="E179" s="110" t="s">
        <v>139</v>
      </c>
      <c r="F179" s="57" t="s">
        <v>163</v>
      </c>
      <c r="G179" s="57" t="s">
        <v>14</v>
      </c>
      <c r="H179" s="57" t="s">
        <v>208</v>
      </c>
      <c r="I179" s="87">
        <v>0.185</v>
      </c>
      <c r="J179" s="167">
        <v>47900.0</v>
      </c>
      <c r="K179" s="122">
        <v>45797.0</v>
      </c>
      <c r="L179" s="122">
        <v>45798.0</v>
      </c>
      <c r="M179" s="62">
        <f t="shared" si="34"/>
        <v>0.200180439</v>
      </c>
      <c r="N179" s="63">
        <v>94.83625</v>
      </c>
      <c r="O179" s="63">
        <v>1.0E9</v>
      </c>
      <c r="P179" s="15">
        <f t="shared" si="22"/>
        <v>993845925.4</v>
      </c>
      <c r="Q179" s="15">
        <f t="shared" si="23"/>
        <v>948362500</v>
      </c>
      <c r="R179" s="15">
        <f t="shared" si="14"/>
        <v>45483425.41</v>
      </c>
      <c r="S179" s="15"/>
      <c r="T179" s="62"/>
      <c r="U179" s="62"/>
      <c r="V179" s="1"/>
      <c r="W179" s="1"/>
      <c r="X179" s="1"/>
      <c r="Y179" s="1"/>
      <c r="Z179" s="1"/>
      <c r="AA179" s="1"/>
    </row>
    <row r="180" ht="13.5" customHeight="1">
      <c r="B180" s="3">
        <f t="shared" si="6"/>
        <v>177</v>
      </c>
      <c r="C180" s="1" t="s">
        <v>126</v>
      </c>
      <c r="D180" s="57" t="s">
        <v>58</v>
      </c>
      <c r="E180" s="110" t="s">
        <v>139</v>
      </c>
      <c r="F180" s="57" t="s">
        <v>188</v>
      </c>
      <c r="G180" s="57" t="s">
        <v>14</v>
      </c>
      <c r="H180" s="1" t="s">
        <v>201</v>
      </c>
      <c r="I180" s="62">
        <v>0.1989</v>
      </c>
      <c r="J180" s="52">
        <v>48714.0</v>
      </c>
      <c r="K180" s="122">
        <v>45832.0</v>
      </c>
      <c r="L180" s="122">
        <v>45834.0</v>
      </c>
      <c r="M180" s="62">
        <f t="shared" si="34"/>
        <v>0.1837367497</v>
      </c>
      <c r="N180" s="63">
        <v>106.11293363</v>
      </c>
      <c r="O180" s="63">
        <v>1.0E9</v>
      </c>
      <c r="P180" s="15">
        <v>1.08386304348E9</v>
      </c>
      <c r="Q180" s="15">
        <f t="shared" si="23"/>
        <v>1061129336</v>
      </c>
      <c r="R180" s="15">
        <f t="shared" si="14"/>
        <v>22700543.48</v>
      </c>
      <c r="S180" s="15"/>
      <c r="T180" s="62"/>
      <c r="U180" s="62"/>
      <c r="V180" s="1"/>
      <c r="W180" s="1"/>
      <c r="X180" s="1"/>
      <c r="Y180" s="1"/>
      <c r="Z180" s="1"/>
      <c r="AA180" s="1"/>
    </row>
    <row r="181" ht="13.5" customHeight="1">
      <c r="B181" s="3">
        <f t="shared" si="6"/>
        <v>178</v>
      </c>
      <c r="C181" s="1" t="s">
        <v>110</v>
      </c>
      <c r="D181" s="1" t="s">
        <v>58</v>
      </c>
      <c r="E181" s="1" t="s">
        <v>139</v>
      </c>
      <c r="F181" s="1" t="s">
        <v>188</v>
      </c>
      <c r="G181" s="1" t="s">
        <v>14</v>
      </c>
      <c r="H181" s="1" t="s">
        <v>201</v>
      </c>
      <c r="I181" s="62">
        <v>0.1989</v>
      </c>
      <c r="J181" s="52">
        <v>48714.0</v>
      </c>
      <c r="K181" s="122">
        <v>45832.0</v>
      </c>
      <c r="L181" s="122">
        <v>45834.0</v>
      </c>
      <c r="M181" s="62">
        <f t="shared" si="34"/>
        <v>0.1836968197</v>
      </c>
      <c r="N181" s="63">
        <v>106.13</v>
      </c>
      <c r="O181" s="63">
        <v>2.5E8</v>
      </c>
      <c r="P181" s="15">
        <f t="shared" ref="P181:P182" si="35">IFERROR((O181*N181/100)+ACCRINT(COUPPCD(L181,J181,2,1),COUPNCD(L181,J181,2,1),L181,I181,O181,2,1),O181*N181/100)</f>
        <v>271000135.9</v>
      </c>
      <c r="Q181" s="15">
        <f t="shared" si="23"/>
        <v>265325000</v>
      </c>
      <c r="R181" s="15">
        <f t="shared" si="14"/>
        <v>5675135.87</v>
      </c>
      <c r="S181" s="15"/>
      <c r="T181" s="62"/>
      <c r="U181" s="62"/>
      <c r="V181" s="1"/>
      <c r="W181" s="1"/>
      <c r="X181" s="1"/>
      <c r="Y181" s="1"/>
      <c r="Z181" s="1"/>
      <c r="AA181" s="1"/>
    </row>
    <row r="182" ht="13.5" customHeight="1">
      <c r="B182" s="3">
        <f t="shared" si="6"/>
        <v>179</v>
      </c>
      <c r="C182" s="1" t="s">
        <v>110</v>
      </c>
      <c r="D182" s="1" t="s">
        <v>58</v>
      </c>
      <c r="E182" s="1" t="s">
        <v>139</v>
      </c>
      <c r="F182" s="1" t="s">
        <v>188</v>
      </c>
      <c r="G182" s="1" t="s">
        <v>14</v>
      </c>
      <c r="H182" s="1" t="s">
        <v>201</v>
      </c>
      <c r="I182" s="62">
        <v>0.1989</v>
      </c>
      <c r="J182" s="52">
        <v>48714.0</v>
      </c>
      <c r="K182" s="122">
        <v>45833.0</v>
      </c>
      <c r="L182" s="122">
        <v>45835.0</v>
      </c>
      <c r="M182" s="62">
        <f t="shared" si="34"/>
        <v>0.1835044415</v>
      </c>
      <c r="N182" s="63">
        <v>106.21</v>
      </c>
      <c r="O182" s="63">
        <v>5.0E8</v>
      </c>
      <c r="P182" s="15">
        <f t="shared" si="35"/>
        <v>542670516.3</v>
      </c>
      <c r="Q182" s="15">
        <f t="shared" si="23"/>
        <v>531050000</v>
      </c>
      <c r="R182" s="15">
        <f t="shared" si="14"/>
        <v>11620516.3</v>
      </c>
      <c r="S182" s="15"/>
      <c r="T182" s="62"/>
      <c r="U182" s="62"/>
      <c r="V182" s="1"/>
      <c r="W182" s="1"/>
      <c r="X182" s="1"/>
      <c r="Y182" s="1"/>
      <c r="Z182" s="1"/>
      <c r="AA182" s="1"/>
    </row>
    <row r="183" ht="13.5" customHeight="1">
      <c r="B183" s="3">
        <f t="shared" si="6"/>
        <v>180</v>
      </c>
      <c r="C183" s="1" t="s">
        <v>126</v>
      </c>
      <c r="D183" s="1" t="s">
        <v>58</v>
      </c>
      <c r="E183" s="1" t="s">
        <v>139</v>
      </c>
      <c r="F183" s="1" t="s">
        <v>188</v>
      </c>
      <c r="G183" s="1" t="s">
        <v>14</v>
      </c>
      <c r="H183" s="1" t="s">
        <v>201</v>
      </c>
      <c r="I183" s="62">
        <v>0.1989</v>
      </c>
      <c r="J183" s="52">
        <v>48714.0</v>
      </c>
      <c r="K183" s="122">
        <v>45833.0</v>
      </c>
      <c r="L183" s="122">
        <v>45834.0</v>
      </c>
      <c r="M183" s="62">
        <f t="shared" si="34"/>
        <v>0.1835263983</v>
      </c>
      <c r="N183" s="63">
        <v>106.20288525</v>
      </c>
      <c r="O183" s="63">
        <v>5.0E8</v>
      </c>
      <c r="P183" s="15">
        <v>5.4238152774E8</v>
      </c>
      <c r="Q183" s="15">
        <f t="shared" si="23"/>
        <v>531014426.3</v>
      </c>
      <c r="R183" s="15">
        <f t="shared" si="14"/>
        <v>11350271.74</v>
      </c>
      <c r="S183" s="15"/>
      <c r="T183" s="62"/>
      <c r="U183" s="62"/>
      <c r="V183" s="1"/>
      <c r="W183" s="1"/>
      <c r="X183" s="1"/>
      <c r="Y183" s="1"/>
      <c r="Z183" s="1"/>
      <c r="AA183" s="1"/>
    </row>
    <row r="184" ht="13.5" customHeight="1">
      <c r="B184" s="3">
        <f t="shared" si="6"/>
        <v>181</v>
      </c>
      <c r="C184" s="1" t="s">
        <v>111</v>
      </c>
      <c r="D184" s="1" t="s">
        <v>58</v>
      </c>
      <c r="E184" s="1" t="s">
        <v>139</v>
      </c>
      <c r="F184" s="57" t="s">
        <v>163</v>
      </c>
      <c r="G184" s="57" t="s">
        <v>14</v>
      </c>
      <c r="H184" s="1" t="s">
        <v>201</v>
      </c>
      <c r="I184" s="62">
        <v>0.1989</v>
      </c>
      <c r="J184" s="52">
        <v>48714.0</v>
      </c>
      <c r="K184" s="122">
        <v>45834.0</v>
      </c>
      <c r="L184" s="122">
        <v>45838.0</v>
      </c>
      <c r="M184" s="62">
        <f t="shared" si="34"/>
        <v>0.1861369643</v>
      </c>
      <c r="N184" s="63">
        <v>105.08625</v>
      </c>
      <c r="O184" s="63">
        <v>1.0E9</v>
      </c>
      <c r="P184" s="15">
        <f t="shared" ref="P184:P277" si="36">IFERROR((O184*N184/100)+ACCRINT(COUPPCD(L184,J184,2,1),COUPNCD(L184,J184,2,1),L184,I184,O184,2,1),O184*N184/100)</f>
        <v>1075725000</v>
      </c>
      <c r="Q184" s="15">
        <f t="shared" si="23"/>
        <v>1050862500</v>
      </c>
      <c r="R184" s="15">
        <f t="shared" si="14"/>
        <v>24862500</v>
      </c>
      <c r="S184" s="15"/>
      <c r="T184" s="62"/>
      <c r="U184" s="62"/>
      <c r="V184" s="1"/>
      <c r="W184" s="1"/>
      <c r="X184" s="1"/>
      <c r="Y184" s="1"/>
      <c r="Z184" s="1"/>
      <c r="AA184" s="1"/>
    </row>
    <row r="185" ht="13.5" customHeight="1">
      <c r="B185" s="3">
        <f t="shared" si="6"/>
        <v>182</v>
      </c>
      <c r="C185" s="1" t="s">
        <v>111</v>
      </c>
      <c r="D185" s="1" t="s">
        <v>58</v>
      </c>
      <c r="E185" s="1" t="s">
        <v>139</v>
      </c>
      <c r="F185" s="57" t="s">
        <v>163</v>
      </c>
      <c r="G185" s="1" t="s">
        <v>12</v>
      </c>
      <c r="H185" s="1" t="s">
        <v>195</v>
      </c>
      <c r="I185" s="62">
        <v>0.19</v>
      </c>
      <c r="J185" s="52">
        <v>48996.0</v>
      </c>
      <c r="K185" s="122">
        <v>45856.0</v>
      </c>
      <c r="L185" s="122">
        <v>45860.0</v>
      </c>
      <c r="M185" s="62">
        <f t="shared" si="34"/>
        <v>0.160898172</v>
      </c>
      <c r="N185" s="63">
        <v>113.24375</v>
      </c>
      <c r="O185" s="63">
        <v>7.0E8</v>
      </c>
      <c r="P185" s="15">
        <f t="shared" si="36"/>
        <v>848184150.6</v>
      </c>
      <c r="Q185" s="15">
        <f t="shared" si="23"/>
        <v>792706250</v>
      </c>
      <c r="R185" s="15">
        <f t="shared" si="14"/>
        <v>55477900.55</v>
      </c>
      <c r="S185" s="15"/>
      <c r="T185" s="62"/>
      <c r="U185" s="62"/>
      <c r="V185" s="1"/>
      <c r="W185" s="1"/>
      <c r="X185" s="1"/>
      <c r="Y185" s="1"/>
      <c r="Z185" s="1"/>
      <c r="AA185" s="1"/>
    </row>
    <row r="186" ht="13.5" customHeight="1">
      <c r="B186" s="3">
        <f t="shared" si="6"/>
        <v>183</v>
      </c>
      <c r="C186" s="1" t="s">
        <v>134</v>
      </c>
      <c r="D186" s="1" t="s">
        <v>58</v>
      </c>
      <c r="E186" s="1" t="s">
        <v>139</v>
      </c>
      <c r="F186" s="57" t="s">
        <v>163</v>
      </c>
      <c r="G186" s="1" t="s">
        <v>12</v>
      </c>
      <c r="H186" s="1" t="s">
        <v>201</v>
      </c>
      <c r="I186" s="62">
        <v>0.1989</v>
      </c>
      <c r="J186" s="52">
        <v>48714.0</v>
      </c>
      <c r="K186" s="122">
        <v>45856.0</v>
      </c>
      <c r="L186" s="122">
        <v>45860.0</v>
      </c>
      <c r="M186" s="62">
        <f t="shared" si="34"/>
        <v>0.161005119</v>
      </c>
      <c r="N186" s="63">
        <v>116.43</v>
      </c>
      <c r="O186" s="63">
        <v>2.0E9</v>
      </c>
      <c r="P186" s="15">
        <f t="shared" si="36"/>
        <v>2402106522</v>
      </c>
      <c r="Q186" s="15">
        <f t="shared" si="23"/>
        <v>2328600000</v>
      </c>
      <c r="R186" s="15">
        <f t="shared" si="14"/>
        <v>73506521.74</v>
      </c>
      <c r="S186" s="15"/>
      <c r="T186" s="62"/>
      <c r="U186" s="62"/>
      <c r="V186" s="1"/>
      <c r="W186" s="1"/>
      <c r="X186" s="1"/>
      <c r="Y186" s="1"/>
      <c r="Z186" s="1"/>
      <c r="AA186" s="1"/>
    </row>
    <row r="187" ht="13.5" customHeight="1">
      <c r="B187" s="3">
        <f t="shared" si="6"/>
        <v>184</v>
      </c>
      <c r="C187" s="1" t="s">
        <v>126</v>
      </c>
      <c r="D187" s="1" t="s">
        <v>58</v>
      </c>
      <c r="E187" s="1" t="s">
        <v>139</v>
      </c>
      <c r="F187" s="57" t="s">
        <v>163</v>
      </c>
      <c r="G187" s="1" t="s">
        <v>12</v>
      </c>
      <c r="H187" s="1" t="s">
        <v>201</v>
      </c>
      <c r="I187" s="62">
        <v>0.1989</v>
      </c>
      <c r="J187" s="52">
        <v>48714.0</v>
      </c>
      <c r="K187" s="122">
        <v>45860.0</v>
      </c>
      <c r="L187" s="122">
        <v>45862.0</v>
      </c>
      <c r="M187" s="62">
        <f t="shared" si="34"/>
        <v>0.1588867807</v>
      </c>
      <c r="N187" s="63">
        <v>117.46375</v>
      </c>
      <c r="O187" s="63">
        <v>5.0E8</v>
      </c>
      <c r="P187" s="15">
        <f t="shared" si="36"/>
        <v>606235869.6</v>
      </c>
      <c r="Q187" s="15">
        <f t="shared" si="23"/>
        <v>587318750</v>
      </c>
      <c r="R187" s="15">
        <f t="shared" si="14"/>
        <v>18917119.57</v>
      </c>
      <c r="S187" s="15"/>
      <c r="T187" s="62"/>
      <c r="U187" s="62"/>
      <c r="V187" s="1"/>
      <c r="W187" s="1"/>
      <c r="X187" s="1"/>
      <c r="Y187" s="1"/>
      <c r="Z187" s="1"/>
      <c r="AA187" s="1"/>
    </row>
    <row r="188" ht="13.5" customHeight="1">
      <c r="B188" s="3">
        <f t="shared" si="6"/>
        <v>185</v>
      </c>
      <c r="C188" s="57" t="s">
        <v>123</v>
      </c>
      <c r="D188" s="1" t="s">
        <v>58</v>
      </c>
      <c r="E188" s="1" t="s">
        <v>139</v>
      </c>
      <c r="F188" s="57" t="s">
        <v>163</v>
      </c>
      <c r="G188" s="1" t="s">
        <v>12</v>
      </c>
      <c r="H188" s="1" t="s">
        <v>195</v>
      </c>
      <c r="I188" s="62">
        <v>0.19</v>
      </c>
      <c r="J188" s="52">
        <v>48996.0</v>
      </c>
      <c r="K188" s="122">
        <v>45859.0</v>
      </c>
      <c r="L188" s="122">
        <v>45861.0</v>
      </c>
      <c r="M188" s="62">
        <f t="shared" si="34"/>
        <v>0.1584913296</v>
      </c>
      <c r="N188" s="63">
        <v>114.46</v>
      </c>
      <c r="O188" s="63">
        <v>1.5E9</v>
      </c>
      <c r="P188" s="15">
        <f t="shared" si="36"/>
        <v>1836568508</v>
      </c>
      <c r="Q188" s="15">
        <f t="shared" si="23"/>
        <v>1716900000</v>
      </c>
      <c r="R188" s="15">
        <f t="shared" si="14"/>
        <v>119668508.3</v>
      </c>
      <c r="S188" s="15"/>
      <c r="T188" s="62"/>
      <c r="U188" s="62"/>
      <c r="V188" s="1"/>
      <c r="W188" s="1"/>
      <c r="X188" s="1"/>
      <c r="Y188" s="1"/>
      <c r="Z188" s="1"/>
      <c r="AA188" s="1"/>
    </row>
    <row r="189" ht="13.5" customHeight="1">
      <c r="B189" s="3">
        <f t="shared" si="6"/>
        <v>186</v>
      </c>
      <c r="C189" s="1" t="s">
        <v>92</v>
      </c>
      <c r="D189" s="1" t="s">
        <v>58</v>
      </c>
      <c r="E189" s="1" t="s">
        <v>139</v>
      </c>
      <c r="F189" s="57" t="s">
        <v>163</v>
      </c>
      <c r="G189" s="1" t="s">
        <v>12</v>
      </c>
      <c r="H189" s="1" t="s">
        <v>201</v>
      </c>
      <c r="I189" s="62">
        <v>0.1989</v>
      </c>
      <c r="J189" s="52">
        <v>48714.0</v>
      </c>
      <c r="K189" s="122">
        <v>45860.0</v>
      </c>
      <c r="L189" s="122">
        <v>45863.0</v>
      </c>
      <c r="M189" s="62">
        <f t="shared" si="34"/>
        <v>0.1588793687</v>
      </c>
      <c r="N189" s="63">
        <v>117.46375</v>
      </c>
      <c r="O189" s="63">
        <v>1.0E9</v>
      </c>
      <c r="P189" s="15">
        <f t="shared" si="36"/>
        <v>1213012228</v>
      </c>
      <c r="Q189" s="15">
        <f t="shared" si="23"/>
        <v>1174637500</v>
      </c>
      <c r="R189" s="15">
        <f t="shared" si="14"/>
        <v>38374728.26</v>
      </c>
      <c r="S189" s="15"/>
      <c r="T189" s="62"/>
      <c r="U189" s="62"/>
      <c r="V189" s="1"/>
      <c r="W189" s="1"/>
      <c r="X189" s="1"/>
      <c r="Y189" s="1"/>
      <c r="Z189" s="1"/>
      <c r="AA189" s="1"/>
    </row>
    <row r="190" ht="13.5" customHeight="1">
      <c r="B190" s="3">
        <f t="shared" si="6"/>
        <v>187</v>
      </c>
      <c r="C190" s="57" t="s">
        <v>123</v>
      </c>
      <c r="D190" s="1" t="s">
        <v>58</v>
      </c>
      <c r="E190" s="1" t="s">
        <v>139</v>
      </c>
      <c r="F190" s="57" t="s">
        <v>163</v>
      </c>
      <c r="G190" s="1" t="s">
        <v>12</v>
      </c>
      <c r="H190" s="1" t="s">
        <v>195</v>
      </c>
      <c r="I190" s="62">
        <v>0.19</v>
      </c>
      <c r="J190" s="52">
        <v>48996.0</v>
      </c>
      <c r="K190" s="122">
        <v>45860.0</v>
      </c>
      <c r="L190" s="122">
        <v>45862.0</v>
      </c>
      <c r="M190" s="62">
        <f t="shared" si="34"/>
        <v>0.1590007179</v>
      </c>
      <c r="N190" s="63">
        <v>114.2</v>
      </c>
      <c r="O190" s="63">
        <v>3.0E8</v>
      </c>
      <c r="P190" s="15">
        <f t="shared" si="36"/>
        <v>366691160.2</v>
      </c>
      <c r="Q190" s="15">
        <f t="shared" si="23"/>
        <v>342600000</v>
      </c>
      <c r="R190" s="15">
        <f t="shared" si="14"/>
        <v>24091160.22</v>
      </c>
      <c r="S190" s="15"/>
      <c r="T190" s="62"/>
      <c r="U190" s="62"/>
      <c r="V190" s="1"/>
      <c r="W190" s="1"/>
      <c r="X190" s="1"/>
      <c r="Y190" s="1"/>
      <c r="Z190" s="1"/>
      <c r="AA190" s="1"/>
    </row>
    <row r="191" ht="13.5" customHeight="1">
      <c r="B191" s="3">
        <f t="shared" si="6"/>
        <v>188</v>
      </c>
      <c r="C191" s="57" t="s">
        <v>123</v>
      </c>
      <c r="D191" s="1" t="s">
        <v>58</v>
      </c>
      <c r="E191" s="1" t="s">
        <v>139</v>
      </c>
      <c r="F191" s="57" t="s">
        <v>163</v>
      </c>
      <c r="G191" s="1" t="s">
        <v>12</v>
      </c>
      <c r="H191" s="57" t="s">
        <v>208</v>
      </c>
      <c r="I191" s="87">
        <v>0.185</v>
      </c>
      <c r="J191" s="167">
        <v>47900.0</v>
      </c>
      <c r="K191" s="122">
        <v>45867.0</v>
      </c>
      <c r="L191" s="122">
        <v>45869.0</v>
      </c>
      <c r="M191" s="62">
        <f t="shared" si="34"/>
        <v>0.1603053523</v>
      </c>
      <c r="N191" s="63">
        <v>108.83</v>
      </c>
      <c r="O191" s="63">
        <v>2.0E9</v>
      </c>
      <c r="P191" s="15">
        <f t="shared" si="36"/>
        <v>2340135912</v>
      </c>
      <c r="Q191" s="15">
        <f t="shared" si="23"/>
        <v>2176600000</v>
      </c>
      <c r="R191" s="15">
        <f t="shared" si="14"/>
        <v>163535911.6</v>
      </c>
      <c r="S191" s="15"/>
      <c r="T191" s="62"/>
      <c r="U191" s="62"/>
      <c r="V191" s="1"/>
      <c r="W191" s="1"/>
      <c r="X191" s="1"/>
      <c r="Y191" s="1"/>
      <c r="Z191" s="1"/>
      <c r="AA191" s="1"/>
    </row>
    <row r="192" ht="13.5" customHeight="1">
      <c r="B192" s="3">
        <f t="shared" si="6"/>
        <v>189</v>
      </c>
      <c r="C192" s="1" t="s">
        <v>111</v>
      </c>
      <c r="D192" s="1" t="s">
        <v>58</v>
      </c>
      <c r="E192" s="1" t="s">
        <v>139</v>
      </c>
      <c r="F192" s="57" t="s">
        <v>163</v>
      </c>
      <c r="G192" s="1" t="s">
        <v>12</v>
      </c>
      <c r="H192" s="1" t="s">
        <v>195</v>
      </c>
      <c r="I192" s="62">
        <v>0.19</v>
      </c>
      <c r="J192" s="52">
        <v>48996.0</v>
      </c>
      <c r="K192" s="122">
        <v>45867.0</v>
      </c>
      <c r="L192" s="122">
        <v>45870.0</v>
      </c>
      <c r="M192" s="62">
        <f t="shared" si="34"/>
        <v>0.1605874384</v>
      </c>
      <c r="N192" s="63">
        <v>113.39375</v>
      </c>
      <c r="O192" s="63">
        <v>1.0E9</v>
      </c>
      <c r="P192" s="15">
        <f t="shared" si="36"/>
        <v>1218440262</v>
      </c>
      <c r="Q192" s="15">
        <f t="shared" si="23"/>
        <v>1133937500</v>
      </c>
      <c r="R192" s="15">
        <f t="shared" si="14"/>
        <v>84502762.43</v>
      </c>
      <c r="S192" s="15"/>
      <c r="T192" s="62"/>
      <c r="U192" s="62"/>
      <c r="V192" s="1"/>
      <c r="W192" s="1"/>
      <c r="X192" s="1"/>
      <c r="Y192" s="1"/>
      <c r="Z192" s="1"/>
      <c r="AA192" s="1"/>
    </row>
    <row r="193" ht="14.25" customHeight="1">
      <c r="B193" s="3">
        <f t="shared" si="6"/>
        <v>190</v>
      </c>
      <c r="C193" s="1" t="s">
        <v>134</v>
      </c>
      <c r="D193" s="1" t="s">
        <v>58</v>
      </c>
      <c r="E193" s="1" t="s">
        <v>139</v>
      </c>
      <c r="F193" s="1" t="s">
        <v>188</v>
      </c>
      <c r="G193" s="1" t="s">
        <v>12</v>
      </c>
      <c r="H193" s="1" t="s">
        <v>208</v>
      </c>
      <c r="I193" s="62">
        <v>0.185</v>
      </c>
      <c r="J193" s="52">
        <v>47900.0</v>
      </c>
      <c r="K193" s="122">
        <v>45889.0</v>
      </c>
      <c r="L193" s="122">
        <v>45891.0</v>
      </c>
      <c r="M193" s="62">
        <f t="shared" si="34"/>
        <v>0.1765094904</v>
      </c>
      <c r="N193" s="189">
        <v>102.91</v>
      </c>
      <c r="O193" s="63">
        <v>8.0E8</v>
      </c>
      <c r="P193" s="15">
        <f t="shared" si="36"/>
        <v>823682173.9</v>
      </c>
      <c r="Q193" s="15">
        <f t="shared" si="23"/>
        <v>823280000</v>
      </c>
      <c r="R193" s="15">
        <f t="shared" si="14"/>
        <v>402173.913</v>
      </c>
      <c r="S193" s="15"/>
      <c r="T193" s="62"/>
      <c r="U193" s="62"/>
      <c r="V193" s="1"/>
      <c r="W193" s="1"/>
      <c r="X193" s="1"/>
      <c r="Y193" s="1"/>
      <c r="Z193" s="1"/>
      <c r="AA193" s="1"/>
    </row>
    <row r="194" ht="13.5" customHeight="1">
      <c r="B194" s="3">
        <f t="shared" si="6"/>
        <v>191</v>
      </c>
      <c r="C194" s="1" t="s">
        <v>111</v>
      </c>
      <c r="D194" s="1" t="s">
        <v>58</v>
      </c>
      <c r="E194" s="1" t="s">
        <v>139</v>
      </c>
      <c r="F194" s="57" t="s">
        <v>163</v>
      </c>
      <c r="G194" s="1" t="s">
        <v>12</v>
      </c>
      <c r="H194" s="1" t="s">
        <v>195</v>
      </c>
      <c r="I194" s="62">
        <v>0.19</v>
      </c>
      <c r="J194" s="52">
        <v>48996.0</v>
      </c>
      <c r="K194" s="122">
        <v>45889.0</v>
      </c>
      <c r="L194" s="122">
        <v>45894.0</v>
      </c>
      <c r="M194" s="62">
        <f t="shared" si="34"/>
        <v>0.1715787965</v>
      </c>
      <c r="N194" s="63">
        <v>108.07375</v>
      </c>
      <c r="O194" s="63">
        <v>7.0E8</v>
      </c>
      <c r="P194" s="15">
        <f t="shared" si="36"/>
        <v>757961902.2</v>
      </c>
      <c r="Q194" s="15">
        <f t="shared" si="23"/>
        <v>756516250</v>
      </c>
      <c r="R194" s="15">
        <f t="shared" si="14"/>
        <v>1445652.174</v>
      </c>
      <c r="S194" s="15"/>
      <c r="T194" s="62"/>
      <c r="U194" s="62"/>
      <c r="V194" s="1"/>
      <c r="W194" s="1"/>
      <c r="X194" s="1"/>
      <c r="Y194" s="1"/>
      <c r="Z194" s="1"/>
      <c r="AA194" s="1"/>
    </row>
    <row r="195" ht="13.5" customHeight="1">
      <c r="A195" s="191"/>
      <c r="B195" s="3">
        <f t="shared" si="6"/>
        <v>192</v>
      </c>
      <c r="C195" s="113" t="s">
        <v>134</v>
      </c>
      <c r="D195" s="113" t="s">
        <v>58</v>
      </c>
      <c r="E195" s="113" t="s">
        <v>139</v>
      </c>
      <c r="F195" s="113" t="s">
        <v>188</v>
      </c>
      <c r="G195" s="113" t="s">
        <v>12</v>
      </c>
      <c r="H195" s="113" t="s">
        <v>214</v>
      </c>
      <c r="I195" s="114">
        <v>0.1795</v>
      </c>
      <c r="J195" s="192">
        <v>48390.0</v>
      </c>
      <c r="K195" s="193">
        <v>45918.0</v>
      </c>
      <c r="L195" s="193">
        <v>45922.0</v>
      </c>
      <c r="M195" s="114">
        <f t="shared" si="34"/>
        <v>0.1613015724</v>
      </c>
      <c r="N195" s="116">
        <v>107.24</v>
      </c>
      <c r="O195" s="116">
        <v>5.0E8</v>
      </c>
      <c r="P195" s="109">
        <f t="shared" si="36"/>
        <v>558024453.6</v>
      </c>
      <c r="Q195" s="109">
        <f t="shared" si="23"/>
        <v>536200000</v>
      </c>
      <c r="R195" s="109">
        <f t="shared" si="14"/>
        <v>21824453.55</v>
      </c>
      <c r="S195" s="109"/>
      <c r="T195" s="114"/>
      <c r="U195" s="114"/>
      <c r="V195" s="113"/>
      <c r="W195" s="113"/>
      <c r="X195" s="113"/>
      <c r="Y195" s="113"/>
      <c r="Z195" s="113"/>
      <c r="AA195" s="113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</row>
    <row r="196" ht="13.5" customHeight="1">
      <c r="A196" s="191"/>
      <c r="B196" s="3">
        <f t="shared" si="6"/>
        <v>193</v>
      </c>
      <c r="C196" s="113" t="s">
        <v>123</v>
      </c>
      <c r="D196" s="113" t="s">
        <v>58</v>
      </c>
      <c r="E196" s="113" t="s">
        <v>139</v>
      </c>
      <c r="F196" s="113" t="s">
        <v>188</v>
      </c>
      <c r="G196" s="113" t="s">
        <v>12</v>
      </c>
      <c r="H196" s="113" t="s">
        <v>210</v>
      </c>
      <c r="I196" s="114">
        <v>0.185</v>
      </c>
      <c r="J196" s="192">
        <v>47900.0</v>
      </c>
      <c r="K196" s="193">
        <v>45918.0</v>
      </c>
      <c r="L196" s="193">
        <v>45922.0</v>
      </c>
      <c r="M196" s="114">
        <f t="shared" si="34"/>
        <v>0.1615066612</v>
      </c>
      <c r="N196" s="116">
        <v>108.22</v>
      </c>
      <c r="O196" s="116">
        <v>5.0E8</v>
      </c>
      <c r="P196" s="109">
        <f t="shared" si="36"/>
        <v>549143478.3</v>
      </c>
      <c r="Q196" s="109">
        <f t="shared" si="23"/>
        <v>541100000</v>
      </c>
      <c r="R196" s="109">
        <f t="shared" si="14"/>
        <v>8043478.261</v>
      </c>
      <c r="S196" s="109"/>
      <c r="T196" s="114"/>
      <c r="U196" s="114"/>
      <c r="V196" s="113"/>
      <c r="W196" s="113"/>
      <c r="X196" s="113"/>
      <c r="Y196" s="113"/>
      <c r="Z196" s="113"/>
      <c r="AA196" s="113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</row>
    <row r="197" ht="13.5" customHeight="1">
      <c r="A197" s="191"/>
      <c r="B197" s="3">
        <f t="shared" si="6"/>
        <v>194</v>
      </c>
      <c r="C197" s="113" t="s">
        <v>134</v>
      </c>
      <c r="D197" s="113" t="s">
        <v>58</v>
      </c>
      <c r="E197" s="113" t="s">
        <v>139</v>
      </c>
      <c r="F197" s="113" t="s">
        <v>188</v>
      </c>
      <c r="G197" s="113" t="s">
        <v>12</v>
      </c>
      <c r="H197" s="113" t="s">
        <v>214</v>
      </c>
      <c r="I197" s="114">
        <v>0.1795</v>
      </c>
      <c r="J197" s="192">
        <v>48390.0</v>
      </c>
      <c r="K197" s="193">
        <v>45919.0</v>
      </c>
      <c r="L197" s="193">
        <v>45923.0</v>
      </c>
      <c r="M197" s="114">
        <f t="shared" si="34"/>
        <v>0.1630047824</v>
      </c>
      <c r="N197" s="116">
        <v>106.52</v>
      </c>
      <c r="O197" s="116">
        <v>1.0E9</v>
      </c>
      <c r="P197" s="109">
        <f t="shared" si="36"/>
        <v>1109339344</v>
      </c>
      <c r="Q197" s="109">
        <f t="shared" si="23"/>
        <v>1065200000</v>
      </c>
      <c r="R197" s="109">
        <f t="shared" si="14"/>
        <v>44139344.26</v>
      </c>
      <c r="S197" s="109"/>
      <c r="T197" s="114"/>
      <c r="U197" s="114"/>
      <c r="V197" s="113"/>
      <c r="W197" s="113"/>
      <c r="X197" s="113"/>
      <c r="Y197" s="113"/>
      <c r="Z197" s="113"/>
      <c r="AA197" s="113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</row>
    <row r="198" ht="13.5" customHeight="1">
      <c r="A198" s="191"/>
      <c r="B198" s="3">
        <f t="shared" si="6"/>
        <v>195</v>
      </c>
      <c r="C198" s="113" t="s">
        <v>134</v>
      </c>
      <c r="D198" s="113" t="s">
        <v>58</v>
      </c>
      <c r="E198" s="113" t="s">
        <v>139</v>
      </c>
      <c r="F198" s="113" t="s">
        <v>163</v>
      </c>
      <c r="G198" s="113" t="s">
        <v>12</v>
      </c>
      <c r="H198" s="113" t="s">
        <v>201</v>
      </c>
      <c r="I198" s="114">
        <v>0.1989</v>
      </c>
      <c r="J198" s="192">
        <v>48714.0</v>
      </c>
      <c r="K198" s="193">
        <v>45919.0</v>
      </c>
      <c r="L198" s="193">
        <v>45923.0</v>
      </c>
      <c r="M198" s="114">
        <f t="shared" si="34"/>
        <v>0.162007343</v>
      </c>
      <c r="N198" s="116">
        <v>115.77</v>
      </c>
      <c r="O198" s="116">
        <v>1.5E9</v>
      </c>
      <c r="P198" s="109">
        <f t="shared" si="36"/>
        <v>1842756114</v>
      </c>
      <c r="Q198" s="109">
        <f t="shared" si="23"/>
        <v>1736550000</v>
      </c>
      <c r="R198" s="109">
        <f t="shared" si="14"/>
        <v>106206114.1</v>
      </c>
      <c r="S198" s="109"/>
      <c r="T198" s="114"/>
      <c r="U198" s="114"/>
      <c r="V198" s="113"/>
      <c r="W198" s="113"/>
      <c r="X198" s="113"/>
      <c r="Y198" s="113"/>
      <c r="Z198" s="113"/>
      <c r="AA198" s="113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/>
      <c r="AP198" s="191"/>
    </row>
    <row r="199" ht="13.5" customHeight="1">
      <c r="A199" s="191"/>
      <c r="B199" s="3">
        <f t="shared" si="6"/>
        <v>196</v>
      </c>
      <c r="C199" s="113" t="s">
        <v>92</v>
      </c>
      <c r="D199" s="113" t="s">
        <v>58</v>
      </c>
      <c r="E199" s="113" t="s">
        <v>139</v>
      </c>
      <c r="F199" s="113" t="s">
        <v>163</v>
      </c>
      <c r="G199" s="113" t="s">
        <v>12</v>
      </c>
      <c r="H199" s="113" t="s">
        <v>201</v>
      </c>
      <c r="I199" s="114">
        <v>0.1989</v>
      </c>
      <c r="J199" s="192">
        <v>48714.0</v>
      </c>
      <c r="K199" s="193">
        <v>45918.0</v>
      </c>
      <c r="L199" s="193">
        <v>45922.0</v>
      </c>
      <c r="M199" s="114">
        <f t="shared" si="34"/>
        <v>0.1608805001</v>
      </c>
      <c r="N199" s="116">
        <v>116.31375</v>
      </c>
      <c r="O199" s="116">
        <v>6.0E8</v>
      </c>
      <c r="P199" s="109">
        <f t="shared" si="36"/>
        <v>740040652.2</v>
      </c>
      <c r="Q199" s="109">
        <f t="shared" si="23"/>
        <v>697882500</v>
      </c>
      <c r="R199" s="109">
        <f t="shared" si="14"/>
        <v>42158152.17</v>
      </c>
      <c r="S199" s="109"/>
      <c r="T199" s="114"/>
      <c r="U199" s="114"/>
      <c r="V199" s="113"/>
      <c r="W199" s="113"/>
      <c r="X199" s="113"/>
      <c r="Y199" s="113"/>
      <c r="Z199" s="113"/>
      <c r="AA199" s="113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  <c r="AL199" s="191"/>
      <c r="AM199" s="191"/>
      <c r="AN199" s="191"/>
      <c r="AO199" s="191"/>
      <c r="AP199" s="191"/>
    </row>
    <row r="200" ht="13.5" customHeight="1">
      <c r="B200" s="3">
        <f t="shared" si="6"/>
        <v>197</v>
      </c>
      <c r="C200" s="1" t="s">
        <v>111</v>
      </c>
      <c r="D200" s="1" t="s">
        <v>58</v>
      </c>
      <c r="E200" s="1" t="s">
        <v>139</v>
      </c>
      <c r="F200" s="57" t="s">
        <v>163</v>
      </c>
      <c r="G200" s="1" t="s">
        <v>12</v>
      </c>
      <c r="H200" s="1" t="s">
        <v>208</v>
      </c>
      <c r="I200" s="62">
        <v>0.185</v>
      </c>
      <c r="J200" s="52">
        <v>47900.0</v>
      </c>
      <c r="K200" s="122">
        <v>45933.0</v>
      </c>
      <c r="L200" s="122">
        <v>45938.0</v>
      </c>
      <c r="M200" s="62">
        <f t="shared" si="34"/>
        <v>0.1563460453</v>
      </c>
      <c r="N200" s="63">
        <v>110.09375</v>
      </c>
      <c r="O200" s="63">
        <v>5.0E8</v>
      </c>
      <c r="P200" s="15">
        <f t="shared" si="36"/>
        <v>562533967.4</v>
      </c>
      <c r="Q200" s="15">
        <f t="shared" si="23"/>
        <v>550468750</v>
      </c>
      <c r="R200" s="15">
        <f t="shared" si="14"/>
        <v>12065217.39</v>
      </c>
      <c r="S200" s="15"/>
      <c r="T200" s="62"/>
      <c r="U200" s="62"/>
      <c r="V200" s="1"/>
      <c r="W200" s="1"/>
      <c r="X200" s="1"/>
      <c r="Y200" s="1"/>
      <c r="Z200" s="1"/>
      <c r="AA200" s="1"/>
    </row>
    <row r="201" ht="13.5" customHeight="1">
      <c r="B201" s="3">
        <f t="shared" si="6"/>
        <v>198</v>
      </c>
      <c r="C201" s="1" t="s">
        <v>134</v>
      </c>
      <c r="D201" s="1" t="s">
        <v>58</v>
      </c>
      <c r="E201" s="1" t="s">
        <v>139</v>
      </c>
      <c r="F201" s="57" t="s">
        <v>163</v>
      </c>
      <c r="G201" s="1" t="s">
        <v>12</v>
      </c>
      <c r="H201" s="1" t="s">
        <v>214</v>
      </c>
      <c r="I201" s="62">
        <v>0.1795</v>
      </c>
      <c r="J201" s="52">
        <v>48390.0</v>
      </c>
      <c r="K201" s="122">
        <v>45933.0</v>
      </c>
      <c r="L201" s="122">
        <v>45937.0</v>
      </c>
      <c r="M201" s="62">
        <f t="shared" si="34"/>
        <v>0.1559958043</v>
      </c>
      <c r="N201" s="63">
        <v>109.49</v>
      </c>
      <c r="O201" s="63">
        <v>1.5E9</v>
      </c>
      <c r="P201" s="15">
        <f t="shared" si="36"/>
        <v>1718858197</v>
      </c>
      <c r="Q201" s="15">
        <f t="shared" si="23"/>
        <v>1642350000</v>
      </c>
      <c r="R201" s="15">
        <f t="shared" si="14"/>
        <v>76508196.72</v>
      </c>
      <c r="S201" s="15"/>
      <c r="T201" s="62"/>
      <c r="U201" s="62"/>
      <c r="V201" s="1"/>
      <c r="W201" s="1"/>
      <c r="X201" s="1"/>
      <c r="Y201" s="1"/>
      <c r="Z201" s="1"/>
      <c r="AA201" s="1"/>
    </row>
    <row r="202" ht="13.5" customHeight="1">
      <c r="B202" s="3">
        <f t="shared" si="6"/>
        <v>199</v>
      </c>
      <c r="C202" s="1" t="s">
        <v>92</v>
      </c>
      <c r="D202" s="1" t="s">
        <v>58</v>
      </c>
      <c r="E202" s="1" t="s">
        <v>139</v>
      </c>
      <c r="F202" s="57" t="s">
        <v>163</v>
      </c>
      <c r="G202" s="1" t="s">
        <v>12</v>
      </c>
      <c r="H202" s="1" t="s">
        <v>208</v>
      </c>
      <c r="I202" s="62">
        <v>0.185</v>
      </c>
      <c r="J202" s="52">
        <v>47900.0</v>
      </c>
      <c r="K202" s="122">
        <v>45933.0</v>
      </c>
      <c r="L202" s="122">
        <v>45938.0</v>
      </c>
      <c r="M202" s="62">
        <f t="shared" si="34"/>
        <v>0.1563460453</v>
      </c>
      <c r="N202" s="63">
        <v>110.09375</v>
      </c>
      <c r="O202" s="63">
        <v>5.0E8</v>
      </c>
      <c r="P202" s="15">
        <f t="shared" si="36"/>
        <v>562533967.4</v>
      </c>
      <c r="Q202" s="15">
        <f t="shared" si="23"/>
        <v>550468750</v>
      </c>
      <c r="R202" s="15">
        <f t="shared" si="14"/>
        <v>12065217.39</v>
      </c>
      <c r="S202" s="15"/>
      <c r="T202" s="62"/>
      <c r="U202" s="62"/>
      <c r="V202" s="1"/>
      <c r="W202" s="1"/>
      <c r="X202" s="1"/>
      <c r="Y202" s="1"/>
      <c r="Z202" s="1"/>
      <c r="AA202" s="1"/>
    </row>
    <row r="203" ht="13.5" customHeight="1">
      <c r="B203" s="3">
        <f t="shared" si="6"/>
        <v>200</v>
      </c>
      <c r="C203" s="1" t="s">
        <v>123</v>
      </c>
      <c r="D203" s="1" t="s">
        <v>58</v>
      </c>
      <c r="E203" s="1" t="s">
        <v>139</v>
      </c>
      <c r="F203" s="57" t="s">
        <v>163</v>
      </c>
      <c r="G203" s="1" t="s">
        <v>12</v>
      </c>
      <c r="H203" s="1" t="s">
        <v>201</v>
      </c>
      <c r="I203" s="62">
        <v>0.1989</v>
      </c>
      <c r="J203" s="52">
        <v>48714.0</v>
      </c>
      <c r="K203" s="122">
        <v>45936.0</v>
      </c>
      <c r="L203" s="122">
        <v>45938.0</v>
      </c>
      <c r="M203" s="62">
        <f t="shared" si="34"/>
        <v>0.1560040138</v>
      </c>
      <c r="N203" s="63">
        <v>118.66</v>
      </c>
      <c r="O203" s="63">
        <v>3.0E8</v>
      </c>
      <c r="P203" s="15">
        <f t="shared" si="36"/>
        <v>379653423.9</v>
      </c>
      <c r="Q203" s="15">
        <f t="shared" si="23"/>
        <v>355980000</v>
      </c>
      <c r="R203" s="15">
        <f t="shared" si="14"/>
        <v>23673423.91</v>
      </c>
      <c r="S203" s="15"/>
      <c r="T203" s="62"/>
      <c r="U203" s="62"/>
      <c r="V203" s="1"/>
      <c r="W203" s="1"/>
      <c r="X203" s="1"/>
      <c r="Y203" s="1"/>
      <c r="Z203" s="1"/>
      <c r="AA203" s="1"/>
    </row>
    <row r="204" ht="13.5" customHeight="1">
      <c r="B204" s="3">
        <f t="shared" si="6"/>
        <v>201</v>
      </c>
      <c r="C204" s="1" t="s">
        <v>57</v>
      </c>
      <c r="D204" s="1" t="s">
        <v>58</v>
      </c>
      <c r="E204" s="1" t="s">
        <v>139</v>
      </c>
      <c r="F204" s="57" t="s">
        <v>163</v>
      </c>
      <c r="G204" s="1" t="s">
        <v>12</v>
      </c>
      <c r="H204" s="1" t="s">
        <v>220</v>
      </c>
      <c r="I204" s="62">
        <v>0.13</v>
      </c>
      <c r="J204" s="52">
        <v>51887.0</v>
      </c>
      <c r="K204" s="122">
        <v>45933.0</v>
      </c>
      <c r="L204" s="122">
        <v>45938.0</v>
      </c>
      <c r="M204" s="62">
        <f t="shared" si="34"/>
        <v>0.1540000006</v>
      </c>
      <c r="N204" s="63">
        <v>85.747873</v>
      </c>
      <c r="O204" s="63">
        <v>2.5E8</v>
      </c>
      <c r="P204" s="15">
        <f t="shared" si="36"/>
        <v>221346584.7</v>
      </c>
      <c r="Q204" s="15">
        <f t="shared" si="23"/>
        <v>214369682.5</v>
      </c>
      <c r="R204" s="15">
        <f t="shared" si="14"/>
        <v>6976902.174</v>
      </c>
      <c r="S204" s="15"/>
      <c r="T204" s="62"/>
      <c r="U204" s="62"/>
      <c r="V204" s="1"/>
      <c r="W204" s="1"/>
      <c r="X204" s="1"/>
      <c r="Y204" s="1"/>
      <c r="Z204" s="1"/>
      <c r="AA204" s="1"/>
    </row>
    <row r="205" ht="13.5" customHeight="1">
      <c r="B205" s="3">
        <f t="shared" si="6"/>
        <v>202</v>
      </c>
      <c r="C205" s="1" t="s">
        <v>111</v>
      </c>
      <c r="D205" s="1" t="s">
        <v>58</v>
      </c>
      <c r="E205" s="1" t="s">
        <v>139</v>
      </c>
      <c r="F205" s="57" t="s">
        <v>163</v>
      </c>
      <c r="G205" s="1" t="s">
        <v>14</v>
      </c>
      <c r="H205" s="1" t="s">
        <v>201</v>
      </c>
      <c r="I205" s="62">
        <v>0.1989</v>
      </c>
      <c r="J205" s="52">
        <v>48714.0</v>
      </c>
      <c r="K205" s="122">
        <v>45936.0</v>
      </c>
      <c r="L205" s="122">
        <v>45937.0</v>
      </c>
      <c r="M205" s="62">
        <f t="shared" si="34"/>
        <v>0.1601067174</v>
      </c>
      <c r="N205" s="63">
        <v>116.65625</v>
      </c>
      <c r="O205" s="63">
        <v>3.0E8</v>
      </c>
      <c r="P205" s="15">
        <f t="shared" si="36"/>
        <v>373480027.2</v>
      </c>
      <c r="Q205" s="15">
        <f t="shared" si="23"/>
        <v>349968750</v>
      </c>
      <c r="R205" s="15">
        <f t="shared" si="14"/>
        <v>23511277.17</v>
      </c>
      <c r="S205" s="15"/>
      <c r="T205" s="62"/>
      <c r="U205" s="62"/>
      <c r="V205" s="1"/>
      <c r="W205" s="1"/>
      <c r="X205" s="1"/>
      <c r="Y205" s="1"/>
      <c r="Z205" s="1"/>
      <c r="AA205" s="1"/>
    </row>
    <row r="206" ht="13.5" customHeight="1">
      <c r="B206" s="3">
        <f t="shared" si="6"/>
        <v>203</v>
      </c>
      <c r="C206" s="1" t="s">
        <v>92</v>
      </c>
      <c r="D206" s="1" t="s">
        <v>58</v>
      </c>
      <c r="E206" s="1" t="s">
        <v>139</v>
      </c>
      <c r="F206" s="57" t="s">
        <v>163</v>
      </c>
      <c r="G206" s="1" t="s">
        <v>12</v>
      </c>
      <c r="H206" s="1" t="s">
        <v>201</v>
      </c>
      <c r="I206" s="62">
        <v>0.1989</v>
      </c>
      <c r="J206" s="52">
        <v>48714.0</v>
      </c>
      <c r="K206" s="122">
        <v>45971.0</v>
      </c>
      <c r="L206" s="122">
        <v>45973.0</v>
      </c>
      <c r="M206" s="62">
        <f t="shared" si="34"/>
        <v>0.1523869339</v>
      </c>
      <c r="N206" s="63">
        <v>120.38375</v>
      </c>
      <c r="O206" s="63">
        <v>1.5E9</v>
      </c>
      <c r="P206" s="15">
        <f t="shared" si="36"/>
        <v>1952499049</v>
      </c>
      <c r="Q206" s="15">
        <f t="shared" si="23"/>
        <v>1805756250</v>
      </c>
      <c r="R206" s="15">
        <f t="shared" si="14"/>
        <v>146742798.9</v>
      </c>
      <c r="S206" s="15"/>
      <c r="T206" s="62"/>
      <c r="U206" s="62"/>
      <c r="V206" s="1"/>
      <c r="W206" s="1"/>
      <c r="X206" s="1"/>
      <c r="Y206" s="1"/>
      <c r="Z206" s="1"/>
      <c r="AA206" s="1"/>
    </row>
    <row r="207" ht="13.5" customHeight="1">
      <c r="B207" s="3">
        <f t="shared" si="6"/>
        <v>204</v>
      </c>
      <c r="C207" s="1" t="s">
        <v>110</v>
      </c>
      <c r="D207" s="1" t="s">
        <v>58</v>
      </c>
      <c r="E207" s="1" t="s">
        <v>139</v>
      </c>
      <c r="F207" s="57" t="s">
        <v>163</v>
      </c>
      <c r="G207" s="1" t="s">
        <v>12</v>
      </c>
      <c r="H207" s="1" t="s">
        <v>201</v>
      </c>
      <c r="I207" s="62">
        <v>0.1989</v>
      </c>
      <c r="J207" s="52">
        <v>48714.0</v>
      </c>
      <c r="K207" s="122">
        <v>45971.0</v>
      </c>
      <c r="L207" s="122">
        <v>45973.0</v>
      </c>
      <c r="M207" s="62">
        <f t="shared" si="34"/>
        <v>0.1538967289</v>
      </c>
      <c r="N207" s="63">
        <v>119.63</v>
      </c>
      <c r="O207" s="63">
        <v>1.0E9</v>
      </c>
      <c r="P207" s="15">
        <f t="shared" si="36"/>
        <v>1294128533</v>
      </c>
      <c r="Q207" s="15">
        <f t="shared" si="23"/>
        <v>1196300000</v>
      </c>
      <c r="R207" s="15">
        <f t="shared" si="14"/>
        <v>97828532.61</v>
      </c>
      <c r="S207" s="15"/>
      <c r="T207" s="62"/>
      <c r="U207" s="62"/>
      <c r="V207" s="1"/>
      <c r="W207" s="1"/>
      <c r="X207" s="1"/>
      <c r="Y207" s="1"/>
      <c r="Z207" s="1"/>
      <c r="AA207" s="1"/>
    </row>
    <row r="208" ht="13.5" customHeight="1">
      <c r="B208" s="3">
        <f t="shared" si="6"/>
        <v>205</v>
      </c>
      <c r="C208" s="1" t="s">
        <v>92</v>
      </c>
      <c r="D208" s="1" t="s">
        <v>58</v>
      </c>
      <c r="E208" s="1" t="s">
        <v>139</v>
      </c>
      <c r="F208" s="57" t="s">
        <v>163</v>
      </c>
      <c r="G208" s="1" t="s">
        <v>12</v>
      </c>
      <c r="H208" s="57" t="s">
        <v>221</v>
      </c>
      <c r="I208" s="87"/>
      <c r="J208" s="167">
        <v>46331.0</v>
      </c>
      <c r="K208" s="168">
        <v>45972.0</v>
      </c>
      <c r="L208" s="168">
        <v>45975.0</v>
      </c>
      <c r="M208" s="87">
        <v>0.1525</v>
      </c>
      <c r="N208" s="63">
        <f t="shared" ref="N208:N210" si="37">PRICEDISC(L208,J208,M208,100,1)</f>
        <v>85.1260274</v>
      </c>
      <c r="O208" s="63">
        <v>1.0E9</v>
      </c>
      <c r="P208" s="15">
        <f t="shared" si="36"/>
        <v>851260274</v>
      </c>
      <c r="Q208" s="15">
        <f t="shared" si="23"/>
        <v>851260274</v>
      </c>
      <c r="R208" s="15" t="str">
        <f t="shared" si="14"/>
        <v/>
      </c>
      <c r="S208" s="15"/>
      <c r="T208" s="62"/>
      <c r="U208" s="62"/>
      <c r="V208" s="1"/>
      <c r="W208" s="1"/>
      <c r="X208" s="1"/>
      <c r="Y208" s="1"/>
      <c r="Z208" s="1"/>
      <c r="AA208" s="1"/>
    </row>
    <row r="209" ht="13.5" customHeight="1">
      <c r="B209" s="3">
        <f t="shared" si="6"/>
        <v>206</v>
      </c>
      <c r="C209" s="1" t="s">
        <v>83</v>
      </c>
      <c r="D209" s="1" t="s">
        <v>58</v>
      </c>
      <c r="E209" s="1" t="s">
        <v>139</v>
      </c>
      <c r="F209" s="57" t="s">
        <v>163</v>
      </c>
      <c r="G209" s="1" t="s">
        <v>12</v>
      </c>
      <c r="H209" s="57" t="s">
        <v>221</v>
      </c>
      <c r="I209" s="87"/>
      <c r="J209" s="167">
        <v>46331.0</v>
      </c>
      <c r="K209" s="168">
        <v>45972.0</v>
      </c>
      <c r="L209" s="168">
        <v>45975.0</v>
      </c>
      <c r="M209" s="87">
        <v>0.153</v>
      </c>
      <c r="N209" s="63">
        <f t="shared" si="37"/>
        <v>85.07726027</v>
      </c>
      <c r="O209" s="63">
        <v>1.8E9</v>
      </c>
      <c r="P209" s="15">
        <f t="shared" si="36"/>
        <v>1531390685</v>
      </c>
      <c r="Q209" s="15">
        <f t="shared" si="23"/>
        <v>1531390685</v>
      </c>
      <c r="R209" s="15" t="str">
        <f t="shared" si="14"/>
        <v/>
      </c>
      <c r="S209" s="15"/>
      <c r="T209" s="62"/>
      <c r="U209" s="62"/>
      <c r="V209" s="1"/>
      <c r="W209" s="1"/>
      <c r="X209" s="1"/>
      <c r="Y209" s="1"/>
      <c r="Z209" s="1"/>
      <c r="AA209" s="1"/>
    </row>
    <row r="210" ht="13.5" customHeight="1">
      <c r="A210" s="180"/>
      <c r="B210" s="3">
        <f t="shared" si="6"/>
        <v>207</v>
      </c>
      <c r="C210" s="1" t="s">
        <v>134</v>
      </c>
      <c r="D210" s="1" t="s">
        <v>58</v>
      </c>
      <c r="E210" s="1" t="s">
        <v>139</v>
      </c>
      <c r="F210" s="57" t="s">
        <v>163</v>
      </c>
      <c r="G210" s="1" t="s">
        <v>12</v>
      </c>
      <c r="H210" s="57" t="s">
        <v>221</v>
      </c>
      <c r="I210" s="87"/>
      <c r="J210" s="167">
        <v>46331.0</v>
      </c>
      <c r="K210" s="168">
        <v>45972.0</v>
      </c>
      <c r="L210" s="168">
        <v>45974.0</v>
      </c>
      <c r="M210" s="87">
        <v>0.1525</v>
      </c>
      <c r="N210" s="63">
        <f t="shared" si="37"/>
        <v>85.08424658</v>
      </c>
      <c r="O210" s="63">
        <v>1.0E9</v>
      </c>
      <c r="P210" s="15">
        <f t="shared" si="36"/>
        <v>850842465.8</v>
      </c>
      <c r="Q210" s="15">
        <f t="shared" si="23"/>
        <v>850842465.8</v>
      </c>
      <c r="R210" s="15" t="str">
        <f t="shared" si="14"/>
        <v/>
      </c>
      <c r="S210" s="15"/>
      <c r="T210" s="62"/>
      <c r="U210" s="62"/>
      <c r="V210" s="1"/>
      <c r="W210" s="1"/>
      <c r="X210" s="1"/>
      <c r="Y210" s="1"/>
      <c r="Z210" s="1"/>
      <c r="AA210" s="1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  <c r="AN210" s="180"/>
      <c r="AO210" s="180"/>
      <c r="AP210" s="180"/>
    </row>
    <row r="211" ht="13.5" customHeight="1">
      <c r="A211" s="180"/>
      <c r="B211" s="3">
        <f t="shared" si="6"/>
        <v>208</v>
      </c>
      <c r="C211" s="57" t="s">
        <v>92</v>
      </c>
      <c r="D211" s="57" t="s">
        <v>58</v>
      </c>
      <c r="E211" s="57" t="s">
        <v>139</v>
      </c>
      <c r="F211" s="57" t="s">
        <v>163</v>
      </c>
      <c r="G211" s="57" t="s">
        <v>12</v>
      </c>
      <c r="H211" s="57" t="s">
        <v>208</v>
      </c>
      <c r="I211" s="87">
        <v>0.185</v>
      </c>
      <c r="J211" s="167">
        <v>47900.0</v>
      </c>
      <c r="K211" s="168">
        <v>45992.0</v>
      </c>
      <c r="L211" s="168">
        <v>45994.0</v>
      </c>
      <c r="M211" s="87">
        <f t="shared" ref="M211:M218" si="38">IFERROR(YIELD(L211,J211,I211,N211,100,2,1),"")</f>
        <v>0.1573481855</v>
      </c>
      <c r="N211" s="111">
        <v>109.51375</v>
      </c>
      <c r="O211" s="111">
        <v>1.0E9</v>
      </c>
      <c r="P211" s="27">
        <f t="shared" si="36"/>
        <v>1147420109</v>
      </c>
      <c r="Q211" s="27">
        <f t="shared" si="23"/>
        <v>1095137500</v>
      </c>
      <c r="R211" s="27">
        <f t="shared" si="14"/>
        <v>52282608.7</v>
      </c>
      <c r="S211" s="27"/>
      <c r="T211" s="87"/>
      <c r="U211" s="87"/>
      <c r="V211" s="57"/>
      <c r="W211" s="57"/>
      <c r="X211" s="57"/>
      <c r="Y211" s="57"/>
      <c r="Z211" s="57"/>
      <c r="AA211" s="57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  <c r="AN211" s="180"/>
      <c r="AO211" s="180"/>
      <c r="AP211" s="180"/>
    </row>
    <row r="212" ht="13.5" customHeight="1">
      <c r="A212" s="180"/>
      <c r="B212" s="3">
        <f t="shared" si="6"/>
        <v>209</v>
      </c>
      <c r="C212" s="57" t="s">
        <v>111</v>
      </c>
      <c r="D212" s="57" t="s">
        <v>58</v>
      </c>
      <c r="E212" s="57" t="s">
        <v>139</v>
      </c>
      <c r="F212" s="57" t="s">
        <v>163</v>
      </c>
      <c r="G212" s="57" t="s">
        <v>12</v>
      </c>
      <c r="H212" s="57" t="s">
        <v>223</v>
      </c>
      <c r="I212" s="87">
        <v>0.1795</v>
      </c>
      <c r="J212" s="167">
        <v>48390.0</v>
      </c>
      <c r="K212" s="168">
        <v>45992.0</v>
      </c>
      <c r="L212" s="168">
        <v>45994.0</v>
      </c>
      <c r="M212" s="87">
        <f t="shared" si="38"/>
        <v>0.1584713096</v>
      </c>
      <c r="N212" s="111">
        <v>108.35375</v>
      </c>
      <c r="O212" s="111">
        <v>1.0E9</v>
      </c>
      <c r="P212" s="222">
        <f t="shared" si="36"/>
        <v>1162497883</v>
      </c>
      <c r="Q212" s="27">
        <f t="shared" si="23"/>
        <v>1083537500</v>
      </c>
      <c r="R212" s="27">
        <f t="shared" si="14"/>
        <v>78960382.51</v>
      </c>
      <c r="S212" s="27"/>
      <c r="T212" s="87"/>
      <c r="U212" s="87"/>
      <c r="V212" s="57"/>
      <c r="W212" s="57"/>
      <c r="X212" s="57"/>
      <c r="Y212" s="57"/>
      <c r="Z212" s="57"/>
      <c r="AA212" s="57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  <c r="AN212" s="180"/>
      <c r="AO212" s="180"/>
      <c r="AP212" s="180"/>
    </row>
    <row r="213" ht="13.5" customHeight="1">
      <c r="A213" s="180"/>
      <c r="B213" s="3">
        <f t="shared" si="6"/>
        <v>210</v>
      </c>
      <c r="C213" s="57" t="s">
        <v>123</v>
      </c>
      <c r="D213" s="57" t="s">
        <v>58</v>
      </c>
      <c r="E213" s="57" t="s">
        <v>139</v>
      </c>
      <c r="F213" s="57" t="s">
        <v>163</v>
      </c>
      <c r="G213" s="57" t="s">
        <v>12</v>
      </c>
      <c r="H213" s="57" t="s">
        <v>223</v>
      </c>
      <c r="I213" s="87">
        <v>0.1795</v>
      </c>
      <c r="J213" s="167">
        <v>48390.0</v>
      </c>
      <c r="K213" s="168">
        <v>45992.0</v>
      </c>
      <c r="L213" s="168">
        <v>45994.0</v>
      </c>
      <c r="M213" s="87">
        <f t="shared" si="38"/>
        <v>0.1588830139</v>
      </c>
      <c r="N213" s="111">
        <v>108.18</v>
      </c>
      <c r="O213" s="111">
        <v>7.0E8</v>
      </c>
      <c r="P213" s="27">
        <f t="shared" si="36"/>
        <v>812532267.8</v>
      </c>
      <c r="Q213" s="27">
        <f t="shared" si="23"/>
        <v>757260000</v>
      </c>
      <c r="R213" s="27">
        <f t="shared" si="14"/>
        <v>55272267.76</v>
      </c>
      <c r="S213" s="27"/>
      <c r="T213" s="87"/>
      <c r="U213" s="87"/>
      <c r="V213" s="57"/>
      <c r="W213" s="57"/>
      <c r="X213" s="57"/>
      <c r="Y213" s="57"/>
      <c r="Z213" s="57"/>
      <c r="AA213" s="57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  <c r="AN213" s="180"/>
      <c r="AO213" s="180"/>
      <c r="AP213" s="180"/>
    </row>
    <row r="214" ht="13.5" customHeight="1">
      <c r="A214" s="180"/>
      <c r="B214" s="3">
        <f t="shared" si="6"/>
        <v>211</v>
      </c>
      <c r="C214" s="57" t="s">
        <v>111</v>
      </c>
      <c r="D214" s="57" t="s">
        <v>58</v>
      </c>
      <c r="E214" s="57" t="s">
        <v>139</v>
      </c>
      <c r="F214" s="57" t="s">
        <v>163</v>
      </c>
      <c r="G214" s="57" t="s">
        <v>12</v>
      </c>
      <c r="H214" s="57" t="s">
        <v>223</v>
      </c>
      <c r="I214" s="87">
        <v>0.1795</v>
      </c>
      <c r="J214" s="167">
        <v>48390.0</v>
      </c>
      <c r="K214" s="168">
        <v>45992.0</v>
      </c>
      <c r="L214" s="168">
        <v>45994.0</v>
      </c>
      <c r="M214" s="87">
        <f t="shared" si="38"/>
        <v>0.1585038567</v>
      </c>
      <c r="N214" s="111">
        <v>108.34</v>
      </c>
      <c r="O214" s="111">
        <v>1.0E9</v>
      </c>
      <c r="P214" s="222">
        <f t="shared" si="36"/>
        <v>1162360383</v>
      </c>
      <c r="Q214" s="27">
        <f t="shared" si="23"/>
        <v>1083400000</v>
      </c>
      <c r="R214" s="27">
        <f t="shared" si="14"/>
        <v>78960382.51</v>
      </c>
      <c r="S214" s="27"/>
      <c r="T214" s="87"/>
      <c r="U214" s="87"/>
      <c r="V214" s="57"/>
      <c r="W214" s="57"/>
      <c r="X214" s="57"/>
      <c r="Y214" s="57"/>
      <c r="Z214" s="57"/>
      <c r="AA214" s="57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  <c r="AN214" s="180"/>
      <c r="AO214" s="180"/>
      <c r="AP214" s="180"/>
    </row>
    <row r="215" ht="13.5" customHeight="1">
      <c r="A215" s="180"/>
      <c r="B215" s="3">
        <f t="shared" si="6"/>
        <v>212</v>
      </c>
      <c r="C215" s="57" t="s">
        <v>111</v>
      </c>
      <c r="D215" s="57" t="s">
        <v>58</v>
      </c>
      <c r="E215" s="57" t="s">
        <v>139</v>
      </c>
      <c r="F215" s="57" t="s">
        <v>163</v>
      </c>
      <c r="G215" s="57" t="s">
        <v>12</v>
      </c>
      <c r="H215" s="57" t="s">
        <v>208</v>
      </c>
      <c r="I215" s="87">
        <v>0.185</v>
      </c>
      <c r="J215" s="167">
        <v>47900.0</v>
      </c>
      <c r="K215" s="168">
        <v>45992.0</v>
      </c>
      <c r="L215" s="168">
        <v>45994.0</v>
      </c>
      <c r="M215" s="87">
        <f t="shared" si="38"/>
        <v>0.1580077124</v>
      </c>
      <c r="N215" s="111">
        <v>109.27</v>
      </c>
      <c r="O215" s="111">
        <v>1.0E9</v>
      </c>
      <c r="P215" s="222">
        <f t="shared" si="36"/>
        <v>1144982609</v>
      </c>
      <c r="Q215" s="27">
        <f t="shared" si="23"/>
        <v>1092700000</v>
      </c>
      <c r="R215" s="27">
        <f t="shared" si="14"/>
        <v>52282608.7</v>
      </c>
      <c r="S215" s="27"/>
      <c r="T215" s="87"/>
      <c r="U215" s="87"/>
      <c r="V215" s="57"/>
      <c r="W215" s="57"/>
      <c r="X215" s="57"/>
      <c r="Y215" s="57"/>
      <c r="Z215" s="57"/>
      <c r="AA215" s="57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  <c r="AN215" s="180"/>
      <c r="AO215" s="180"/>
      <c r="AP215" s="180"/>
    </row>
    <row r="216" ht="13.5" customHeight="1">
      <c r="A216" s="180"/>
      <c r="B216" s="3">
        <f t="shared" si="6"/>
        <v>213</v>
      </c>
      <c r="C216" s="57" t="s">
        <v>225</v>
      </c>
      <c r="D216" s="57" t="s">
        <v>58</v>
      </c>
      <c r="E216" s="57" t="s">
        <v>139</v>
      </c>
      <c r="F216" s="57" t="s">
        <v>163</v>
      </c>
      <c r="G216" s="57" t="s">
        <v>14</v>
      </c>
      <c r="H216" s="57" t="s">
        <v>201</v>
      </c>
      <c r="I216" s="87">
        <v>0.1989</v>
      </c>
      <c r="J216" s="167">
        <v>48714.0</v>
      </c>
      <c r="K216" s="168">
        <v>45993.0</v>
      </c>
      <c r="L216" s="168">
        <v>45994.0</v>
      </c>
      <c r="M216" s="87">
        <f t="shared" si="38"/>
        <v>0.163621141</v>
      </c>
      <c r="N216" s="111">
        <v>114.84625</v>
      </c>
      <c r="O216" s="111">
        <v>1.2E9</v>
      </c>
      <c r="P216" s="27">
        <f t="shared" si="36"/>
        <v>1390023066</v>
      </c>
      <c r="Q216" s="27">
        <f t="shared" si="23"/>
        <v>1378155000</v>
      </c>
      <c r="R216" s="27">
        <f t="shared" si="14"/>
        <v>11868066.3</v>
      </c>
      <c r="S216" s="27"/>
      <c r="T216" s="87"/>
      <c r="U216" s="87"/>
      <c r="V216" s="57"/>
      <c r="W216" s="57"/>
      <c r="X216" s="57"/>
      <c r="Y216" s="57"/>
      <c r="Z216" s="57"/>
      <c r="AA216" s="57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  <c r="AN216" s="180"/>
      <c r="AO216" s="180"/>
      <c r="AP216" s="180"/>
    </row>
    <row r="217" ht="13.5" customHeight="1">
      <c r="A217" s="180"/>
      <c r="B217" s="3">
        <f t="shared" si="6"/>
        <v>214</v>
      </c>
      <c r="C217" s="57" t="s">
        <v>226</v>
      </c>
      <c r="D217" s="57" t="s">
        <v>58</v>
      </c>
      <c r="E217" s="57" t="s">
        <v>139</v>
      </c>
      <c r="F217" s="57" t="s">
        <v>163</v>
      </c>
      <c r="G217" s="57" t="s">
        <v>12</v>
      </c>
      <c r="H217" s="57" t="s">
        <v>208</v>
      </c>
      <c r="I217" s="87">
        <v>0.185</v>
      </c>
      <c r="J217" s="167">
        <v>47900.0</v>
      </c>
      <c r="K217" s="168">
        <v>46008.0</v>
      </c>
      <c r="L217" s="168">
        <v>46010.0</v>
      </c>
      <c r="M217" s="87">
        <f t="shared" si="38"/>
        <v>0.1713406979</v>
      </c>
      <c r="N217" s="111">
        <v>104.48</v>
      </c>
      <c r="O217" s="111">
        <v>4.5E8</v>
      </c>
      <c r="P217" s="27">
        <f t="shared" si="36"/>
        <v>497306739.1</v>
      </c>
      <c r="Q217" s="27">
        <f t="shared" si="23"/>
        <v>470160000</v>
      </c>
      <c r="R217" s="27">
        <f t="shared" si="14"/>
        <v>27146739.13</v>
      </c>
      <c r="S217" s="27"/>
      <c r="T217" s="87"/>
      <c r="U217" s="87"/>
      <c r="V217" s="57"/>
      <c r="W217" s="57"/>
      <c r="X217" s="57"/>
      <c r="Y217" s="57"/>
      <c r="Z217" s="57"/>
      <c r="AA217" s="57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  <c r="AN217" s="180"/>
      <c r="AO217" s="180"/>
      <c r="AP217" s="180"/>
    </row>
    <row r="218" ht="13.5" customHeight="1">
      <c r="A218" s="180"/>
      <c r="B218" s="3">
        <f t="shared" si="6"/>
        <v>215</v>
      </c>
      <c r="C218" s="57" t="s">
        <v>225</v>
      </c>
      <c r="D218" s="57" t="s">
        <v>58</v>
      </c>
      <c r="E218" s="57" t="s">
        <v>139</v>
      </c>
      <c r="F218" s="57" t="s">
        <v>163</v>
      </c>
      <c r="G218" s="57" t="s">
        <v>12</v>
      </c>
      <c r="H218" s="57" t="s">
        <v>208</v>
      </c>
      <c r="I218" s="87">
        <v>0.185</v>
      </c>
      <c r="J218" s="167">
        <v>47900.0</v>
      </c>
      <c r="K218" s="168">
        <v>46009.0</v>
      </c>
      <c r="L218" s="168">
        <v>46013.0</v>
      </c>
      <c r="M218" s="87">
        <f t="shared" si="38"/>
        <v>0.170338633</v>
      </c>
      <c r="N218" s="111">
        <v>104.82375</v>
      </c>
      <c r="O218" s="111">
        <v>4.5E8</v>
      </c>
      <c r="P218" s="27">
        <f t="shared" si="36"/>
        <v>499532282.6</v>
      </c>
      <c r="Q218" s="27">
        <f t="shared" si="23"/>
        <v>471706875</v>
      </c>
      <c r="R218" s="27">
        <f t="shared" si="14"/>
        <v>27825407.61</v>
      </c>
      <c r="S218" s="27"/>
      <c r="T218" s="87"/>
      <c r="U218" s="87"/>
      <c r="V218" s="57"/>
      <c r="W218" s="57"/>
      <c r="X218" s="57"/>
      <c r="Y218" s="57"/>
      <c r="Z218" s="57"/>
      <c r="AA218" s="57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  <c r="AN218" s="180"/>
      <c r="AO218" s="180"/>
      <c r="AP218" s="180"/>
    </row>
    <row r="219" ht="13.5" customHeight="1">
      <c r="A219" s="180"/>
      <c r="B219" s="3">
        <f t="shared" si="6"/>
        <v>216</v>
      </c>
      <c r="C219" s="57" t="s">
        <v>110</v>
      </c>
      <c r="D219" s="57" t="s">
        <v>58</v>
      </c>
      <c r="E219" s="57" t="s">
        <v>139</v>
      </c>
      <c r="F219" s="57" t="s">
        <v>163</v>
      </c>
      <c r="G219" s="57" t="s">
        <v>12</v>
      </c>
      <c r="H219" s="57" t="s">
        <v>228</v>
      </c>
      <c r="I219" s="87"/>
      <c r="J219" s="167">
        <v>46226.0</v>
      </c>
      <c r="K219" s="168">
        <v>46037.0</v>
      </c>
      <c r="L219" s="168">
        <v>46041.0</v>
      </c>
      <c r="M219" s="87">
        <v>0.16</v>
      </c>
      <c r="N219" s="111">
        <f t="shared" ref="N219:N220" si="39">PRICEDISC(L219,J219,M219,100,1)</f>
        <v>91.89041096</v>
      </c>
      <c r="O219" s="111">
        <v>1.0E9</v>
      </c>
      <c r="P219" s="27">
        <f t="shared" si="36"/>
        <v>918904109.6</v>
      </c>
      <c r="Q219" s="27">
        <f t="shared" si="23"/>
        <v>918904109.6</v>
      </c>
      <c r="R219" s="27" t="str">
        <f t="shared" si="14"/>
        <v/>
      </c>
      <c r="S219" s="27"/>
      <c r="T219" s="87"/>
      <c r="U219" s="87"/>
      <c r="V219" s="57"/>
      <c r="W219" s="57"/>
      <c r="X219" s="57"/>
      <c r="Y219" s="57"/>
      <c r="Z219" s="57"/>
      <c r="AA219" s="57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80"/>
      <c r="AL219" s="180"/>
      <c r="AM219" s="180"/>
      <c r="AN219" s="180"/>
      <c r="AO219" s="180"/>
      <c r="AP219" s="180"/>
    </row>
    <row r="220" ht="13.5" customHeight="1">
      <c r="A220" s="180"/>
      <c r="B220" s="3">
        <f t="shared" si="6"/>
        <v>217</v>
      </c>
      <c r="C220" s="57" t="s">
        <v>92</v>
      </c>
      <c r="D220" s="57" t="s">
        <v>58</v>
      </c>
      <c r="E220" s="57" t="s">
        <v>139</v>
      </c>
      <c r="F220" s="57" t="s">
        <v>163</v>
      </c>
      <c r="G220" s="57" t="s">
        <v>12</v>
      </c>
      <c r="H220" s="57" t="s">
        <v>229</v>
      </c>
      <c r="I220" s="87"/>
      <c r="J220" s="167">
        <v>46191.0</v>
      </c>
      <c r="K220" s="168">
        <v>46037.0</v>
      </c>
      <c r="L220" s="168">
        <v>46041.0</v>
      </c>
      <c r="M220" s="87">
        <v>0.16</v>
      </c>
      <c r="N220" s="111">
        <f t="shared" si="39"/>
        <v>93.42465753</v>
      </c>
      <c r="O220" s="111">
        <v>6.0E8</v>
      </c>
      <c r="P220" s="27">
        <f t="shared" si="36"/>
        <v>560547945.2</v>
      </c>
      <c r="Q220" s="27">
        <f t="shared" si="23"/>
        <v>560547945.2</v>
      </c>
      <c r="R220" s="27" t="str">
        <f t="shared" si="14"/>
        <v/>
      </c>
      <c r="S220" s="27"/>
      <c r="T220" s="87"/>
      <c r="U220" s="87"/>
      <c r="V220" s="57"/>
      <c r="W220" s="57"/>
      <c r="X220" s="57"/>
      <c r="Y220" s="57"/>
      <c r="Z220" s="57"/>
      <c r="AA220" s="57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80"/>
      <c r="AL220" s="180"/>
      <c r="AM220" s="180"/>
      <c r="AN220" s="180"/>
      <c r="AO220" s="180"/>
      <c r="AP220" s="180"/>
    </row>
    <row r="221" ht="13.5" customHeight="1">
      <c r="A221" s="180" t="s">
        <v>152</v>
      </c>
      <c r="B221" s="3">
        <f t="shared" si="6"/>
        <v>218</v>
      </c>
      <c r="C221" s="57" t="s">
        <v>123</v>
      </c>
      <c r="D221" s="57" t="s">
        <v>58</v>
      </c>
      <c r="E221" s="57" t="s">
        <v>139</v>
      </c>
      <c r="F221" s="57" t="s">
        <v>163</v>
      </c>
      <c r="G221" s="57" t="s">
        <v>12</v>
      </c>
      <c r="H221" s="57" t="s">
        <v>223</v>
      </c>
      <c r="I221" s="87">
        <v>0.1795</v>
      </c>
      <c r="J221" s="167">
        <v>48390.0</v>
      </c>
      <c r="K221" s="168">
        <v>46038.0</v>
      </c>
      <c r="L221" s="168">
        <v>46044.0</v>
      </c>
      <c r="M221" s="87">
        <f t="shared" ref="M221:M222" si="40">IFERROR(YIELD(L221,J221,I221,N221,100,2,1),"")</f>
        <v>0.1744963865</v>
      </c>
      <c r="N221" s="111">
        <v>101.84</v>
      </c>
      <c r="O221" s="111">
        <v>5.0E8</v>
      </c>
      <c r="P221" s="27">
        <f t="shared" si="36"/>
        <v>516103846.2</v>
      </c>
      <c r="Q221" s="27">
        <f t="shared" si="23"/>
        <v>509200000</v>
      </c>
      <c r="R221" s="27"/>
      <c r="S221" s="27"/>
      <c r="T221" s="87"/>
      <c r="U221" s="87"/>
      <c r="V221" s="57"/>
      <c r="W221" s="57"/>
      <c r="X221" s="57"/>
      <c r="Y221" s="57"/>
      <c r="Z221" s="57"/>
      <c r="AA221" s="57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  <c r="AN221" s="180"/>
      <c r="AO221" s="180"/>
      <c r="AP221" s="180"/>
    </row>
    <row r="222" ht="13.5" customHeight="1">
      <c r="A222" s="180" t="s">
        <v>152</v>
      </c>
      <c r="B222" s="3">
        <f t="shared" si="6"/>
        <v>219</v>
      </c>
      <c r="C222" s="57" t="s">
        <v>92</v>
      </c>
      <c r="D222" s="57" t="s">
        <v>58</v>
      </c>
      <c r="E222" s="57" t="s">
        <v>139</v>
      </c>
      <c r="F222" s="57" t="s">
        <v>163</v>
      </c>
      <c r="G222" s="57" t="s">
        <v>12</v>
      </c>
      <c r="H222" s="57" t="s">
        <v>223</v>
      </c>
      <c r="I222" s="87">
        <v>0.1795</v>
      </c>
      <c r="J222" s="167">
        <v>48390.0</v>
      </c>
      <c r="K222" s="168">
        <v>46041.0</v>
      </c>
      <c r="L222" s="168">
        <v>46044.0</v>
      </c>
      <c r="M222" s="87">
        <f t="shared" si="40"/>
        <v>0.174355992</v>
      </c>
      <c r="N222" s="111">
        <v>101.89375</v>
      </c>
      <c r="O222" s="111">
        <v>4.7E8</v>
      </c>
      <c r="P222" s="27">
        <f t="shared" si="36"/>
        <v>485390240.4</v>
      </c>
      <c r="Q222" s="27">
        <f t="shared" si="23"/>
        <v>478900625</v>
      </c>
      <c r="R222" s="27"/>
      <c r="S222" s="27"/>
      <c r="T222" s="87"/>
      <c r="U222" s="87"/>
      <c r="V222" s="57"/>
      <c r="W222" s="57"/>
      <c r="X222" s="57"/>
      <c r="Y222" s="57"/>
      <c r="Z222" s="57"/>
      <c r="AA222" s="57"/>
      <c r="AB222" s="180"/>
      <c r="AC222" s="180"/>
      <c r="AD222" s="180"/>
      <c r="AE222" s="180"/>
      <c r="AF222" s="180"/>
      <c r="AG222" s="180"/>
      <c r="AH222" s="180"/>
      <c r="AI222" s="180"/>
      <c r="AJ222" s="180"/>
      <c r="AK222" s="180"/>
      <c r="AL222" s="180"/>
      <c r="AM222" s="180"/>
      <c r="AN222" s="180"/>
      <c r="AO222" s="180"/>
      <c r="AP222" s="180"/>
    </row>
    <row r="223" ht="13.5" customHeight="1">
      <c r="A223" s="179"/>
      <c r="B223" s="3">
        <f t="shared" si="6"/>
        <v>220</v>
      </c>
      <c r="C223" s="72" t="s">
        <v>111</v>
      </c>
      <c r="D223" s="72" t="s">
        <v>58</v>
      </c>
      <c r="E223" s="72" t="s">
        <v>139</v>
      </c>
      <c r="F223" s="72" t="s">
        <v>163</v>
      </c>
      <c r="G223" s="72" t="s">
        <v>14</v>
      </c>
      <c r="H223" s="72" t="s">
        <v>221</v>
      </c>
      <c r="I223" s="169"/>
      <c r="J223" s="223">
        <v>46331.0</v>
      </c>
      <c r="K223" s="224">
        <v>46045.0</v>
      </c>
      <c r="L223" s="224">
        <v>46048.0</v>
      </c>
      <c r="M223" s="169">
        <v>0.1715</v>
      </c>
      <c r="N223" s="171">
        <f t="shared" ref="N223:N224" si="41">PRICEDISC(L223,J223,M223,100,1)</f>
        <v>86.70287671</v>
      </c>
      <c r="O223" s="111">
        <v>6.0E8</v>
      </c>
      <c r="P223" s="27">
        <f t="shared" si="36"/>
        <v>520217260.3</v>
      </c>
      <c r="Q223" s="172">
        <f t="shared" si="23"/>
        <v>520217260.3</v>
      </c>
      <c r="R223" s="172" t="str">
        <f t="shared" ref="R223:R224" si="42">IFERROR(ACCRINT(COUPPCD(L223,J223,2,1),COUPNCD(L223,J223,2,0),L223,I223,100,2,1),"")</f>
        <v/>
      </c>
      <c r="S223" s="172"/>
      <c r="T223" s="169"/>
      <c r="U223" s="169"/>
      <c r="V223" s="72"/>
      <c r="W223" s="72"/>
      <c r="X223" s="72"/>
      <c r="Y223" s="72"/>
      <c r="Z223" s="72"/>
      <c r="AA223" s="72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</row>
    <row r="224" ht="13.5" customHeight="1">
      <c r="A224" s="179"/>
      <c r="B224" s="3">
        <f t="shared" si="6"/>
        <v>221</v>
      </c>
      <c r="C224" s="72" t="s">
        <v>83</v>
      </c>
      <c r="D224" s="72" t="s">
        <v>58</v>
      </c>
      <c r="E224" s="72" t="s">
        <v>139</v>
      </c>
      <c r="F224" s="72" t="s">
        <v>163</v>
      </c>
      <c r="G224" s="72" t="s">
        <v>14</v>
      </c>
      <c r="H224" s="72" t="s">
        <v>221</v>
      </c>
      <c r="I224" s="169"/>
      <c r="J224" s="223">
        <v>46331.0</v>
      </c>
      <c r="K224" s="224">
        <v>46045.0</v>
      </c>
      <c r="L224" s="224">
        <v>46048.0</v>
      </c>
      <c r="M224" s="169">
        <v>0.175</v>
      </c>
      <c r="N224" s="171">
        <f t="shared" si="41"/>
        <v>86.43150685</v>
      </c>
      <c r="O224" s="111">
        <v>6.0E8</v>
      </c>
      <c r="P224" s="27">
        <f t="shared" si="36"/>
        <v>518589041.1</v>
      </c>
      <c r="Q224" s="172">
        <f t="shared" si="23"/>
        <v>518589041.1</v>
      </c>
      <c r="R224" s="172" t="str">
        <f t="shared" si="42"/>
        <v/>
      </c>
      <c r="S224" s="172"/>
      <c r="T224" s="169"/>
      <c r="U224" s="169"/>
      <c r="V224" s="72"/>
      <c r="W224" s="72"/>
      <c r="X224" s="72"/>
      <c r="Y224" s="72"/>
      <c r="Z224" s="72"/>
      <c r="AA224" s="72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</row>
    <row r="225" ht="13.5" customHeight="1">
      <c r="A225" s="180"/>
      <c r="B225" s="3">
        <f t="shared" si="6"/>
        <v>222</v>
      </c>
      <c r="C225" s="57" t="s">
        <v>111</v>
      </c>
      <c r="D225" s="57" t="s">
        <v>58</v>
      </c>
      <c r="E225" s="57" t="s">
        <v>139</v>
      </c>
      <c r="F225" s="57" t="s">
        <v>163</v>
      </c>
      <c r="G225" s="57" t="s">
        <v>12</v>
      </c>
      <c r="H225" s="57" t="s">
        <v>232</v>
      </c>
      <c r="I225" s="87">
        <v>0.19</v>
      </c>
      <c r="J225" s="167">
        <v>48996.0</v>
      </c>
      <c r="K225" s="168">
        <v>46064.0</v>
      </c>
      <c r="L225" s="168">
        <v>46066.0</v>
      </c>
      <c r="M225" s="87">
        <f t="shared" ref="M225:M250" si="43">IFERROR(YIELD(L225,J225,I225,N225,100,2,1),"")</f>
        <v>0.165507028</v>
      </c>
      <c r="N225" s="111">
        <v>110.65</v>
      </c>
      <c r="O225" s="111">
        <v>1.0E9</v>
      </c>
      <c r="P225" s="27">
        <f t="shared" si="36"/>
        <v>1197369565</v>
      </c>
      <c r="Q225" s="27">
        <f t="shared" si="23"/>
        <v>1106500000</v>
      </c>
      <c r="R225" s="27">
        <f t="shared" ref="R225:R250" si="44">IFERROR(ACCRINT(COUPPCD(L225,J225,2,1),COUPNCD(L225,J225,2,0),L225,I225,O225,2,1),"")</f>
        <v>90869565.22</v>
      </c>
      <c r="S225" s="27"/>
      <c r="T225" s="87"/>
      <c r="U225" s="87"/>
      <c r="V225" s="57"/>
      <c r="W225" s="57"/>
      <c r="X225" s="57"/>
      <c r="Y225" s="57"/>
      <c r="Z225" s="57"/>
      <c r="AA225" s="57"/>
      <c r="AB225" s="180"/>
      <c r="AC225" s="180"/>
      <c r="AD225" s="180"/>
      <c r="AE225" s="180"/>
      <c r="AF225" s="180"/>
      <c r="AG225" s="180"/>
      <c r="AH225" s="180"/>
      <c r="AI225" s="180"/>
      <c r="AJ225" s="180"/>
      <c r="AK225" s="180"/>
      <c r="AL225" s="180"/>
      <c r="AM225" s="180"/>
      <c r="AN225" s="180"/>
      <c r="AO225" s="180"/>
      <c r="AP225" s="180"/>
    </row>
    <row r="226" ht="13.5" customHeight="1">
      <c r="A226" s="180"/>
      <c r="B226" s="3">
        <f t="shared" si="6"/>
        <v>223</v>
      </c>
      <c r="C226" s="57" t="s">
        <v>233</v>
      </c>
      <c r="D226" s="57" t="s">
        <v>58</v>
      </c>
      <c r="E226" s="57" t="s">
        <v>139</v>
      </c>
      <c r="F226" s="57" t="s">
        <v>163</v>
      </c>
      <c r="G226" s="57" t="s">
        <v>12</v>
      </c>
      <c r="H226" s="57" t="s">
        <v>232</v>
      </c>
      <c r="I226" s="87">
        <v>0.19</v>
      </c>
      <c r="J226" s="167">
        <v>48996.0</v>
      </c>
      <c r="K226" s="168">
        <v>46066.0</v>
      </c>
      <c r="L226" s="168">
        <v>46070.0</v>
      </c>
      <c r="M226" s="87">
        <f t="shared" si="43"/>
        <v>0.1664921774</v>
      </c>
      <c r="N226" s="111">
        <v>110.19</v>
      </c>
      <c r="O226" s="111">
        <v>3.55E8</v>
      </c>
      <c r="P226" s="27">
        <f t="shared" si="36"/>
        <v>424166347.8</v>
      </c>
      <c r="Q226" s="27">
        <f t="shared" si="23"/>
        <v>391174500</v>
      </c>
      <c r="R226" s="27">
        <f t="shared" si="44"/>
        <v>32991847.83</v>
      </c>
      <c r="S226" s="27"/>
      <c r="T226" s="87"/>
      <c r="U226" s="87"/>
      <c r="V226" s="57"/>
      <c r="W226" s="57"/>
      <c r="X226" s="57"/>
      <c r="Y226" s="57"/>
      <c r="Z226" s="57"/>
      <c r="AA226" s="57"/>
      <c r="AB226" s="180"/>
      <c r="AC226" s="180"/>
      <c r="AD226" s="180"/>
      <c r="AE226" s="180"/>
      <c r="AF226" s="180"/>
      <c r="AG226" s="180"/>
      <c r="AH226" s="180"/>
      <c r="AI226" s="180"/>
      <c r="AJ226" s="180"/>
      <c r="AK226" s="180"/>
      <c r="AL226" s="180"/>
      <c r="AM226" s="180"/>
      <c r="AN226" s="180"/>
      <c r="AO226" s="180"/>
      <c r="AP226" s="180"/>
    </row>
    <row r="227" ht="13.5" customHeight="1">
      <c r="A227" s="180"/>
      <c r="B227" s="3">
        <f t="shared" si="6"/>
        <v>224</v>
      </c>
      <c r="C227" s="57" t="s">
        <v>225</v>
      </c>
      <c r="D227" s="57" t="s">
        <v>58</v>
      </c>
      <c r="E227" s="57" t="s">
        <v>139</v>
      </c>
      <c r="F227" s="57" t="s">
        <v>163</v>
      </c>
      <c r="G227" s="57" t="s">
        <v>12</v>
      </c>
      <c r="H227" s="57" t="s">
        <v>232</v>
      </c>
      <c r="I227" s="87">
        <v>0.19</v>
      </c>
      <c r="J227" s="167">
        <v>48996.0</v>
      </c>
      <c r="K227" s="168">
        <v>46066.0</v>
      </c>
      <c r="L227" s="168">
        <v>46070.0</v>
      </c>
      <c r="M227" s="87">
        <f t="shared" si="43"/>
        <v>0.1668922483</v>
      </c>
      <c r="N227" s="111">
        <v>110.00375</v>
      </c>
      <c r="O227" s="111">
        <v>3.5E8</v>
      </c>
      <c r="P227" s="27">
        <f t="shared" si="36"/>
        <v>417540298.9</v>
      </c>
      <c r="Q227" s="27">
        <f t="shared" si="23"/>
        <v>385013125</v>
      </c>
      <c r="R227" s="27">
        <f t="shared" si="44"/>
        <v>32527173.91</v>
      </c>
      <c r="S227" s="27"/>
      <c r="T227" s="87"/>
      <c r="U227" s="87"/>
      <c r="V227" s="57"/>
      <c r="W227" s="57"/>
      <c r="X227" s="57"/>
      <c r="Y227" s="57"/>
      <c r="Z227" s="57"/>
      <c r="AA227" s="57"/>
      <c r="AB227" s="180"/>
      <c r="AC227" s="180"/>
      <c r="AD227" s="180"/>
      <c r="AE227" s="180"/>
      <c r="AF227" s="180"/>
      <c r="AG227" s="180"/>
      <c r="AH227" s="180"/>
      <c r="AI227" s="180"/>
      <c r="AJ227" s="180"/>
      <c r="AK227" s="180"/>
      <c r="AL227" s="180"/>
      <c r="AM227" s="180"/>
      <c r="AN227" s="180"/>
      <c r="AO227" s="180"/>
      <c r="AP227" s="180"/>
    </row>
    <row r="228" ht="13.5" customHeight="1">
      <c r="A228" s="179"/>
      <c r="B228" s="3">
        <f t="shared" si="6"/>
        <v>225</v>
      </c>
      <c r="C228" s="51" t="s">
        <v>126</v>
      </c>
      <c r="D228" s="72" t="s">
        <v>58</v>
      </c>
      <c r="E228" s="72" t="s">
        <v>139</v>
      </c>
      <c r="F228" s="51" t="s">
        <v>153</v>
      </c>
      <c r="G228" s="72" t="s">
        <v>12</v>
      </c>
      <c r="H228" s="72" t="s">
        <v>208</v>
      </c>
      <c r="I228" s="169">
        <v>0.185</v>
      </c>
      <c r="J228" s="223">
        <v>47900.0</v>
      </c>
      <c r="K228" s="224">
        <v>46078.0</v>
      </c>
      <c r="L228" s="224">
        <v>46084.0</v>
      </c>
      <c r="M228" s="87">
        <f t="shared" si="43"/>
        <v>0.1578536304</v>
      </c>
      <c r="N228" s="171">
        <v>109.1</v>
      </c>
      <c r="O228" s="111">
        <v>7.0E8</v>
      </c>
      <c r="P228" s="27">
        <f t="shared" si="36"/>
        <v>767277348.1</v>
      </c>
      <c r="Q228" s="172">
        <f t="shared" si="23"/>
        <v>763700000</v>
      </c>
      <c r="R228" s="172">
        <f t="shared" si="44"/>
        <v>3577348.066</v>
      </c>
      <c r="S228" s="172"/>
      <c r="T228" s="169"/>
      <c r="U228" s="169"/>
      <c r="V228" s="72"/>
      <c r="W228" s="72"/>
      <c r="X228" s="72"/>
      <c r="Y228" s="72"/>
      <c r="Z228" s="72"/>
      <c r="AA228" s="72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</row>
    <row r="229" ht="13.5" customHeight="1">
      <c r="A229" s="179"/>
      <c r="B229" s="3">
        <f t="shared" si="6"/>
        <v>226</v>
      </c>
      <c r="C229" s="72" t="s">
        <v>225</v>
      </c>
      <c r="D229" s="72" t="s">
        <v>58</v>
      </c>
      <c r="E229" s="72" t="s">
        <v>139</v>
      </c>
      <c r="F229" s="51" t="s">
        <v>153</v>
      </c>
      <c r="G229" s="72" t="s">
        <v>12</v>
      </c>
      <c r="H229" s="72" t="s">
        <v>201</v>
      </c>
      <c r="I229" s="169">
        <v>0.1989</v>
      </c>
      <c r="J229" s="223">
        <v>48714.0</v>
      </c>
      <c r="K229" s="224">
        <v>46078.0</v>
      </c>
      <c r="L229" s="224">
        <v>46084.0</v>
      </c>
      <c r="M229" s="87">
        <f t="shared" si="43"/>
        <v>0.1570013796</v>
      </c>
      <c r="N229" s="171">
        <v>117.61</v>
      </c>
      <c r="O229" s="111">
        <v>3.0E8</v>
      </c>
      <c r="P229" s="27">
        <f t="shared" si="36"/>
        <v>370632099.4</v>
      </c>
      <c r="Q229" s="172">
        <f t="shared" si="23"/>
        <v>352830000</v>
      </c>
      <c r="R229" s="172">
        <f t="shared" si="44"/>
        <v>17802099.45</v>
      </c>
      <c r="S229" s="172"/>
      <c r="T229" s="169"/>
      <c r="U229" s="169"/>
      <c r="V229" s="72"/>
      <c r="W229" s="72"/>
      <c r="X229" s="72"/>
      <c r="Y229" s="72"/>
      <c r="Z229" s="72"/>
      <c r="AA229" s="72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</row>
    <row r="230" ht="13.5" customHeight="1">
      <c r="A230" s="179"/>
      <c r="B230" s="3">
        <f t="shared" si="6"/>
        <v>227</v>
      </c>
      <c r="C230" s="72" t="s">
        <v>225</v>
      </c>
      <c r="D230" s="72" t="s">
        <v>58</v>
      </c>
      <c r="E230" s="72" t="s">
        <v>139</v>
      </c>
      <c r="F230" s="51" t="s">
        <v>153</v>
      </c>
      <c r="G230" s="72" t="s">
        <v>12</v>
      </c>
      <c r="H230" s="72" t="s">
        <v>223</v>
      </c>
      <c r="I230" s="169">
        <v>0.1795</v>
      </c>
      <c r="J230" s="223">
        <v>48390.0</v>
      </c>
      <c r="K230" s="224">
        <v>46079.0</v>
      </c>
      <c r="L230" s="224">
        <v>46085.0</v>
      </c>
      <c r="M230" s="87">
        <f t="shared" si="43"/>
        <v>0.1564957878</v>
      </c>
      <c r="N230" s="171">
        <v>108.94</v>
      </c>
      <c r="O230" s="111">
        <v>9.0E8</v>
      </c>
      <c r="P230" s="27">
        <f t="shared" si="36"/>
        <v>1011083489</v>
      </c>
      <c r="Q230" s="172">
        <f t="shared" si="23"/>
        <v>980460000</v>
      </c>
      <c r="R230" s="172">
        <f t="shared" si="44"/>
        <v>30623489.01</v>
      </c>
      <c r="S230" s="172"/>
      <c r="T230" s="169"/>
      <c r="U230" s="169"/>
      <c r="V230" s="72"/>
      <c r="W230" s="72"/>
      <c r="X230" s="72"/>
      <c r="Y230" s="72"/>
      <c r="Z230" s="72"/>
      <c r="AA230" s="72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  <c r="AN230" s="179"/>
      <c r="AO230" s="179"/>
      <c r="AP230" s="179"/>
    </row>
    <row r="231" ht="13.5" customHeight="1">
      <c r="A231" s="179"/>
      <c r="B231" s="3">
        <f t="shared" si="6"/>
        <v>228</v>
      </c>
      <c r="C231" s="51" t="s">
        <v>126</v>
      </c>
      <c r="D231" s="72" t="s">
        <v>58</v>
      </c>
      <c r="E231" s="72" t="s">
        <v>139</v>
      </c>
      <c r="F231" s="51" t="s">
        <v>153</v>
      </c>
      <c r="G231" s="72" t="s">
        <v>14</v>
      </c>
      <c r="H231" s="72" t="s">
        <v>201</v>
      </c>
      <c r="I231" s="169">
        <v>0.1989</v>
      </c>
      <c r="J231" s="223">
        <v>48714.0</v>
      </c>
      <c r="K231" s="224">
        <v>46108.0</v>
      </c>
      <c r="L231" s="224">
        <v>46112.0</v>
      </c>
      <c r="M231" s="87">
        <f t="shared" si="43"/>
        <v>0.1651138947</v>
      </c>
      <c r="N231" s="171">
        <v>113.78</v>
      </c>
      <c r="O231" s="111">
        <v>2.0E9</v>
      </c>
      <c r="P231" s="27">
        <f t="shared" si="36"/>
        <v>2425049724</v>
      </c>
      <c r="Q231" s="172">
        <f t="shared" si="23"/>
        <v>2275600000</v>
      </c>
      <c r="R231" s="172">
        <f t="shared" si="44"/>
        <v>149449723.8</v>
      </c>
      <c r="S231" s="172"/>
      <c r="T231" s="169"/>
      <c r="U231" s="169"/>
      <c r="V231" s="72"/>
      <c r="W231" s="72"/>
      <c r="X231" s="72"/>
      <c r="Y231" s="72"/>
      <c r="Z231" s="72"/>
      <c r="AA231" s="72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</row>
    <row r="232" ht="13.5" customHeight="1">
      <c r="A232" s="179"/>
      <c r="B232" s="3">
        <f t="shared" si="6"/>
        <v>229</v>
      </c>
      <c r="C232" s="51" t="s">
        <v>123</v>
      </c>
      <c r="D232" s="72" t="s">
        <v>58</v>
      </c>
      <c r="E232" s="72" t="s">
        <v>139</v>
      </c>
      <c r="F232" s="51" t="s">
        <v>153</v>
      </c>
      <c r="G232" s="72" t="s">
        <v>14</v>
      </c>
      <c r="H232" s="72" t="s">
        <v>201</v>
      </c>
      <c r="I232" s="169">
        <v>0.1989</v>
      </c>
      <c r="J232" s="223">
        <v>48714.0</v>
      </c>
      <c r="K232" s="224">
        <v>46108.0</v>
      </c>
      <c r="L232" s="224">
        <v>46112.0</v>
      </c>
      <c r="M232" s="87">
        <f t="shared" si="43"/>
        <v>0.1651138947</v>
      </c>
      <c r="N232" s="171">
        <v>113.78</v>
      </c>
      <c r="O232" s="111">
        <v>3.0E9</v>
      </c>
      <c r="P232" s="27">
        <f t="shared" si="36"/>
        <v>3637574586</v>
      </c>
      <c r="Q232" s="172">
        <f t="shared" si="23"/>
        <v>3413400000</v>
      </c>
      <c r="R232" s="172">
        <f t="shared" si="44"/>
        <v>224174585.6</v>
      </c>
      <c r="S232" s="172"/>
      <c r="T232" s="169"/>
      <c r="U232" s="169"/>
      <c r="V232" s="72"/>
      <c r="W232" s="72"/>
      <c r="X232" s="72"/>
      <c r="Y232" s="72"/>
      <c r="Z232" s="72"/>
      <c r="AA232" s="72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</row>
    <row r="233" ht="13.5" customHeight="1">
      <c r="A233" s="180"/>
      <c r="B233" s="3">
        <f t="shared" si="6"/>
        <v>230</v>
      </c>
      <c r="C233" s="57" t="s">
        <v>225</v>
      </c>
      <c r="D233" s="57" t="s">
        <v>58</v>
      </c>
      <c r="E233" s="57" t="s">
        <v>139</v>
      </c>
      <c r="F233" s="51" t="s">
        <v>153</v>
      </c>
      <c r="G233" s="72" t="s">
        <v>14</v>
      </c>
      <c r="H233" s="57" t="s">
        <v>232</v>
      </c>
      <c r="I233" s="87">
        <v>0.19</v>
      </c>
      <c r="J233" s="167">
        <v>48996.0</v>
      </c>
      <c r="K233" s="224">
        <v>46108.0</v>
      </c>
      <c r="L233" s="224">
        <v>46112.0</v>
      </c>
      <c r="M233" s="87">
        <f t="shared" si="43"/>
        <v>0.1628011668</v>
      </c>
      <c r="N233" s="111">
        <v>111.79</v>
      </c>
      <c r="O233" s="111">
        <v>2.5E9</v>
      </c>
      <c r="P233" s="27">
        <f t="shared" si="36"/>
        <v>2844611878</v>
      </c>
      <c r="Q233" s="27">
        <f t="shared" si="23"/>
        <v>2794750000</v>
      </c>
      <c r="R233" s="27">
        <f t="shared" si="44"/>
        <v>49861878.45</v>
      </c>
      <c r="S233" s="27"/>
      <c r="T233" s="87"/>
      <c r="U233" s="87"/>
      <c r="V233" s="57"/>
      <c r="W233" s="57"/>
      <c r="X233" s="57"/>
      <c r="Y233" s="57"/>
      <c r="Z233" s="57"/>
      <c r="AA233" s="57"/>
      <c r="AB233" s="180"/>
      <c r="AC233" s="180"/>
      <c r="AD233" s="180"/>
      <c r="AE233" s="180"/>
      <c r="AF233" s="180"/>
      <c r="AG233" s="180"/>
      <c r="AH233" s="180"/>
      <c r="AI233" s="180"/>
      <c r="AJ233" s="180"/>
      <c r="AK233" s="180"/>
      <c r="AL233" s="180"/>
      <c r="AM233" s="180"/>
      <c r="AN233" s="180"/>
      <c r="AO233" s="180"/>
      <c r="AP233" s="180"/>
    </row>
    <row r="234" ht="13.5" customHeight="1">
      <c r="B234" s="3">
        <f t="shared" si="6"/>
        <v>231</v>
      </c>
      <c r="C234" s="57" t="s">
        <v>233</v>
      </c>
      <c r="D234" s="1" t="s">
        <v>58</v>
      </c>
      <c r="E234" s="1" t="s">
        <v>139</v>
      </c>
      <c r="F234" s="51" t="s">
        <v>153</v>
      </c>
      <c r="G234" s="72" t="s">
        <v>14</v>
      </c>
      <c r="H234" s="1" t="s">
        <v>220</v>
      </c>
      <c r="I234" s="62">
        <v>0.13</v>
      </c>
      <c r="J234" s="52">
        <v>51887.0</v>
      </c>
      <c r="K234" s="224">
        <v>46108.0</v>
      </c>
      <c r="L234" s="224">
        <v>46111.0</v>
      </c>
      <c r="M234" s="62">
        <f t="shared" si="43"/>
        <v>0.149088112</v>
      </c>
      <c r="N234" s="63">
        <v>88.46</v>
      </c>
      <c r="O234" s="111">
        <v>2.5E8</v>
      </c>
      <c r="P234" s="27">
        <f t="shared" si="36"/>
        <v>227254972.4</v>
      </c>
      <c r="Q234" s="15">
        <f t="shared" si="23"/>
        <v>221150000</v>
      </c>
      <c r="R234" s="15">
        <f t="shared" si="44"/>
        <v>6104972.376</v>
      </c>
      <c r="S234" s="15"/>
      <c r="T234" s="62"/>
      <c r="U234" s="62"/>
      <c r="V234" s="1"/>
      <c r="W234" s="1"/>
      <c r="X234" s="1"/>
      <c r="Y234" s="1"/>
      <c r="Z234" s="1"/>
      <c r="AA234" s="1"/>
    </row>
    <row r="235" ht="13.5" customHeight="1">
      <c r="A235" s="180"/>
      <c r="B235" s="3">
        <f t="shared" si="6"/>
        <v>232</v>
      </c>
      <c r="C235" s="57" t="s">
        <v>233</v>
      </c>
      <c r="D235" s="57" t="s">
        <v>58</v>
      </c>
      <c r="E235" s="57" t="s">
        <v>139</v>
      </c>
      <c r="F235" s="51" t="s">
        <v>153</v>
      </c>
      <c r="G235" s="72" t="s">
        <v>14</v>
      </c>
      <c r="H235" s="57" t="s">
        <v>208</v>
      </c>
      <c r="I235" s="87">
        <v>0.185</v>
      </c>
      <c r="J235" s="167">
        <v>47900.0</v>
      </c>
      <c r="K235" s="168">
        <v>46111.0</v>
      </c>
      <c r="L235" s="168">
        <v>46113.0</v>
      </c>
      <c r="M235" s="87">
        <f t="shared" si="43"/>
        <v>0.1661410704</v>
      </c>
      <c r="N235" s="111">
        <v>106.09</v>
      </c>
      <c r="O235" s="111">
        <v>3.0E9</v>
      </c>
      <c r="P235" s="27">
        <f t="shared" si="36"/>
        <v>3242492818</v>
      </c>
      <c r="Q235" s="27">
        <f t="shared" si="23"/>
        <v>3182700000</v>
      </c>
      <c r="R235" s="27">
        <f t="shared" si="44"/>
        <v>59792817.68</v>
      </c>
      <c r="S235" s="27"/>
      <c r="T235" s="87"/>
      <c r="U235" s="87"/>
      <c r="V235" s="57"/>
      <c r="W235" s="57"/>
      <c r="X235" s="57"/>
      <c r="Y235" s="57"/>
      <c r="Z235" s="57"/>
      <c r="AA235" s="57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80"/>
      <c r="AL235" s="180"/>
      <c r="AM235" s="180"/>
      <c r="AN235" s="180"/>
      <c r="AO235" s="180"/>
      <c r="AP235" s="180"/>
    </row>
    <row r="236" ht="13.5" customHeight="1">
      <c r="A236" s="179"/>
      <c r="B236" s="3">
        <f t="shared" si="6"/>
        <v>233</v>
      </c>
      <c r="C236" s="72" t="s">
        <v>225</v>
      </c>
      <c r="D236" s="72" t="s">
        <v>58</v>
      </c>
      <c r="E236" s="72" t="s">
        <v>139</v>
      </c>
      <c r="F236" s="51" t="s">
        <v>153</v>
      </c>
      <c r="G236" s="72" t="s">
        <v>14</v>
      </c>
      <c r="H236" s="72" t="s">
        <v>223</v>
      </c>
      <c r="I236" s="169">
        <v>0.1795</v>
      </c>
      <c r="J236" s="223">
        <v>48390.0</v>
      </c>
      <c r="K236" s="168">
        <v>46111.0</v>
      </c>
      <c r="L236" s="224">
        <v>46112.0</v>
      </c>
      <c r="M236" s="87">
        <f t="shared" si="43"/>
        <v>0.1629880919</v>
      </c>
      <c r="N236" s="171">
        <v>106.23</v>
      </c>
      <c r="O236" s="111">
        <v>5.0E8</v>
      </c>
      <c r="P236" s="27">
        <f t="shared" si="36"/>
        <v>554820329.7</v>
      </c>
      <c r="Q236" s="172">
        <f t="shared" si="23"/>
        <v>531150000</v>
      </c>
      <c r="R236" s="172">
        <f t="shared" si="44"/>
        <v>23670329.67</v>
      </c>
      <c r="S236" s="172"/>
      <c r="T236" s="169"/>
      <c r="U236" s="169"/>
      <c r="V236" s="72"/>
      <c r="W236" s="72"/>
      <c r="X236" s="72"/>
      <c r="Y236" s="72"/>
      <c r="Z236" s="72"/>
      <c r="AA236" s="72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</row>
    <row r="237" ht="13.5" customHeight="1">
      <c r="A237" s="180"/>
      <c r="B237" s="3">
        <f t="shared" si="6"/>
        <v>234</v>
      </c>
      <c r="C237" s="72" t="s">
        <v>225</v>
      </c>
      <c r="D237" s="57" t="s">
        <v>58</v>
      </c>
      <c r="E237" s="57" t="s">
        <v>139</v>
      </c>
      <c r="F237" s="51" t="s">
        <v>153</v>
      </c>
      <c r="G237" s="72" t="s">
        <v>14</v>
      </c>
      <c r="H237" s="57" t="s">
        <v>208</v>
      </c>
      <c r="I237" s="87">
        <v>0.185</v>
      </c>
      <c r="J237" s="167">
        <v>47900.0</v>
      </c>
      <c r="K237" s="168">
        <v>46111.0</v>
      </c>
      <c r="L237" s="224">
        <v>46112.0</v>
      </c>
      <c r="M237" s="87">
        <f t="shared" si="43"/>
        <v>0.1657988037</v>
      </c>
      <c r="N237" s="111">
        <v>106.21</v>
      </c>
      <c r="O237" s="111">
        <v>2.0E9</v>
      </c>
      <c r="P237" s="27">
        <f t="shared" si="36"/>
        <v>2163039779</v>
      </c>
      <c r="Q237" s="27">
        <f t="shared" si="23"/>
        <v>2124200000</v>
      </c>
      <c r="R237" s="27">
        <f t="shared" si="44"/>
        <v>38839779.01</v>
      </c>
      <c r="S237" s="27"/>
      <c r="T237" s="87"/>
      <c r="U237" s="87"/>
      <c r="V237" s="57"/>
      <c r="W237" s="57"/>
      <c r="X237" s="57"/>
      <c r="Y237" s="57"/>
      <c r="Z237" s="57"/>
      <c r="AA237" s="57"/>
      <c r="AB237" s="180"/>
      <c r="AC237" s="180"/>
      <c r="AD237" s="180"/>
      <c r="AE237" s="180"/>
      <c r="AF237" s="180"/>
      <c r="AG237" s="180"/>
      <c r="AH237" s="180"/>
      <c r="AI237" s="180"/>
      <c r="AJ237" s="180"/>
      <c r="AK237" s="180"/>
      <c r="AL237" s="180"/>
      <c r="AM237" s="180"/>
      <c r="AN237" s="180"/>
      <c r="AO237" s="180"/>
      <c r="AP237" s="180"/>
    </row>
    <row r="238" ht="13.5" customHeight="1">
      <c r="A238" s="146"/>
      <c r="B238" s="3">
        <f t="shared" si="6"/>
        <v>235</v>
      </c>
      <c r="C238" s="141" t="s">
        <v>126</v>
      </c>
      <c r="D238" s="141" t="s">
        <v>58</v>
      </c>
      <c r="E238" s="141" t="s">
        <v>139</v>
      </c>
      <c r="F238" s="141" t="s">
        <v>230</v>
      </c>
      <c r="G238" s="141" t="s">
        <v>14</v>
      </c>
      <c r="H238" s="141" t="s">
        <v>201</v>
      </c>
      <c r="I238" s="142">
        <v>0.1989</v>
      </c>
      <c r="J238" s="226">
        <v>48714.0</v>
      </c>
      <c r="K238" s="227">
        <v>46114.0</v>
      </c>
      <c r="L238" s="227">
        <v>46120.0</v>
      </c>
      <c r="M238" s="142">
        <f t="shared" si="43"/>
        <v>0.1661084969</v>
      </c>
      <c r="N238" s="144">
        <v>113.32</v>
      </c>
      <c r="O238" s="111">
        <v>4.5E8</v>
      </c>
      <c r="P238" s="27">
        <f t="shared" si="36"/>
        <v>545544198.9</v>
      </c>
      <c r="Q238" s="105">
        <f t="shared" si="23"/>
        <v>509940000</v>
      </c>
      <c r="R238" s="105">
        <f t="shared" si="44"/>
        <v>35604198.9</v>
      </c>
      <c r="S238" s="105"/>
      <c r="T238" s="142"/>
      <c r="U238" s="142"/>
      <c r="V238" s="141"/>
      <c r="W238" s="141"/>
      <c r="X238" s="141"/>
      <c r="Y238" s="141"/>
      <c r="Z238" s="141"/>
      <c r="AA238" s="141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</row>
    <row r="239" ht="13.5" customHeight="1">
      <c r="B239" s="3">
        <f t="shared" si="6"/>
        <v>236</v>
      </c>
      <c r="C239" s="51" t="s">
        <v>123</v>
      </c>
      <c r="D239" s="72" t="s">
        <v>58</v>
      </c>
      <c r="E239" s="72" t="s">
        <v>139</v>
      </c>
      <c r="F239" s="51" t="s">
        <v>230</v>
      </c>
      <c r="G239" s="72" t="s">
        <v>14</v>
      </c>
      <c r="H239" s="57" t="s">
        <v>208</v>
      </c>
      <c r="I239" s="87">
        <v>0.185</v>
      </c>
      <c r="J239" s="167">
        <v>47900.0</v>
      </c>
      <c r="K239" s="224">
        <v>46114.0</v>
      </c>
      <c r="L239" s="224">
        <v>46120.0</v>
      </c>
      <c r="M239" s="87">
        <f t="shared" si="43"/>
        <v>0.165541493</v>
      </c>
      <c r="N239" s="171">
        <v>106.27</v>
      </c>
      <c r="O239" s="111">
        <v>1.0E9</v>
      </c>
      <c r="P239" s="27">
        <f t="shared" si="36"/>
        <v>1086208287</v>
      </c>
      <c r="Q239" s="172">
        <f t="shared" si="23"/>
        <v>1062700000</v>
      </c>
      <c r="R239" s="172">
        <f t="shared" si="44"/>
        <v>23508287.29</v>
      </c>
      <c r="S239" s="172"/>
      <c r="T239" s="169"/>
      <c r="U239" s="169"/>
      <c r="V239" s="72"/>
      <c r="W239" s="72"/>
      <c r="X239" s="72"/>
      <c r="Y239" s="72"/>
      <c r="Z239" s="72"/>
      <c r="AA239" s="72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</row>
    <row r="240" ht="13.5" customHeight="1">
      <c r="B240" s="3">
        <f t="shared" si="6"/>
        <v>237</v>
      </c>
      <c r="C240" s="72" t="s">
        <v>225</v>
      </c>
      <c r="D240" s="72" t="s">
        <v>58</v>
      </c>
      <c r="E240" s="72" t="s">
        <v>139</v>
      </c>
      <c r="F240" s="51" t="s">
        <v>230</v>
      </c>
      <c r="G240" s="72" t="s">
        <v>14</v>
      </c>
      <c r="H240" s="57" t="s">
        <v>208</v>
      </c>
      <c r="I240" s="87">
        <v>0.185</v>
      </c>
      <c r="J240" s="167">
        <v>47900.0</v>
      </c>
      <c r="K240" s="224">
        <v>46114.0</v>
      </c>
      <c r="L240" s="224">
        <v>46120.0</v>
      </c>
      <c r="M240" s="87">
        <f t="shared" si="43"/>
        <v>0.165394527</v>
      </c>
      <c r="N240" s="171">
        <v>106.32</v>
      </c>
      <c r="O240" s="111">
        <v>1.0E9</v>
      </c>
      <c r="P240" s="27">
        <f t="shared" si="36"/>
        <v>1086708287</v>
      </c>
      <c r="Q240" s="172">
        <f t="shared" si="23"/>
        <v>1063200000</v>
      </c>
      <c r="R240" s="172">
        <f t="shared" si="44"/>
        <v>23508287.29</v>
      </c>
      <c r="S240" s="172"/>
      <c r="T240" s="169"/>
      <c r="U240" s="169"/>
      <c r="V240" s="72"/>
      <c r="W240" s="72"/>
      <c r="X240" s="72"/>
      <c r="Y240" s="72"/>
      <c r="Z240" s="72"/>
      <c r="AA240" s="72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</row>
    <row r="241" ht="13.5" customHeight="1">
      <c r="B241" s="3">
        <f t="shared" si="6"/>
        <v>238</v>
      </c>
      <c r="C241" s="72" t="s">
        <v>225</v>
      </c>
      <c r="D241" s="72" t="s">
        <v>58</v>
      </c>
      <c r="E241" s="72" t="s">
        <v>139</v>
      </c>
      <c r="F241" s="51" t="s">
        <v>230</v>
      </c>
      <c r="G241" s="72" t="s">
        <v>14</v>
      </c>
      <c r="H241" s="72" t="s">
        <v>201</v>
      </c>
      <c r="I241" s="169">
        <v>0.1989</v>
      </c>
      <c r="J241" s="223">
        <v>48714.0</v>
      </c>
      <c r="K241" s="224">
        <v>46113.0</v>
      </c>
      <c r="L241" s="224">
        <v>46119.0</v>
      </c>
      <c r="M241" s="87">
        <f t="shared" si="43"/>
        <v>0.166402586</v>
      </c>
      <c r="N241" s="171">
        <v>113.19</v>
      </c>
      <c r="O241" s="111">
        <v>2.0E9</v>
      </c>
      <c r="P241" s="27">
        <f t="shared" si="36"/>
        <v>2420941989</v>
      </c>
      <c r="Q241" s="172">
        <f t="shared" si="23"/>
        <v>2263800000</v>
      </c>
      <c r="R241" s="172">
        <f t="shared" si="44"/>
        <v>157141989</v>
      </c>
      <c r="S241" s="172"/>
      <c r="T241" s="169"/>
      <c r="U241" s="169"/>
      <c r="V241" s="72"/>
      <c r="W241" s="72"/>
      <c r="X241" s="72"/>
      <c r="Y241" s="72"/>
      <c r="Z241" s="72"/>
      <c r="AA241" s="72"/>
      <c r="AB241" s="179"/>
      <c r="AC241" s="179"/>
      <c r="AD241" s="179"/>
      <c r="AE241" s="179"/>
      <c r="AF241" s="179"/>
      <c r="AG241" s="179"/>
      <c r="AH241" s="179"/>
      <c r="AI241" s="179"/>
      <c r="AJ241" s="179"/>
      <c r="AK241" s="179"/>
      <c r="AL241" s="179"/>
      <c r="AM241" s="179"/>
      <c r="AN241" s="179"/>
      <c r="AO241" s="179"/>
      <c r="AP241" s="179"/>
    </row>
    <row r="242" ht="13.5" customHeight="1">
      <c r="B242" s="3">
        <f t="shared" si="6"/>
        <v>239</v>
      </c>
      <c r="C242" s="72" t="s">
        <v>225</v>
      </c>
      <c r="D242" s="72" t="s">
        <v>58</v>
      </c>
      <c r="E242" s="72" t="s">
        <v>139</v>
      </c>
      <c r="F242" s="51" t="s">
        <v>230</v>
      </c>
      <c r="G242" s="72" t="s">
        <v>14</v>
      </c>
      <c r="H242" s="72" t="s">
        <v>201</v>
      </c>
      <c r="I242" s="169">
        <v>0.1989</v>
      </c>
      <c r="J242" s="223">
        <v>48714.0</v>
      </c>
      <c r="K242" s="224">
        <v>46113.0</v>
      </c>
      <c r="L242" s="224">
        <v>46120.0</v>
      </c>
      <c r="M242" s="87">
        <f t="shared" si="43"/>
        <v>0.1664888266</v>
      </c>
      <c r="N242" s="171">
        <v>113.15</v>
      </c>
      <c r="O242" s="111">
        <v>2.0E9</v>
      </c>
      <c r="P242" s="27">
        <f t="shared" si="36"/>
        <v>2421240884</v>
      </c>
      <c r="Q242" s="172">
        <f t="shared" si="23"/>
        <v>2263000000</v>
      </c>
      <c r="R242" s="172">
        <f t="shared" si="44"/>
        <v>158240884</v>
      </c>
      <c r="S242" s="172"/>
      <c r="T242" s="169"/>
      <c r="U242" s="169"/>
      <c r="V242" s="72"/>
      <c r="W242" s="72"/>
      <c r="X242" s="72"/>
      <c r="Y242" s="72"/>
      <c r="Z242" s="72"/>
      <c r="AA242" s="72"/>
      <c r="AB242" s="179"/>
      <c r="AC242" s="179"/>
      <c r="AD242" s="179"/>
      <c r="AE242" s="179"/>
      <c r="AF242" s="179"/>
      <c r="AG242" s="179"/>
      <c r="AH242" s="179"/>
      <c r="AI242" s="179"/>
      <c r="AJ242" s="179"/>
      <c r="AK242" s="179"/>
      <c r="AL242" s="179"/>
      <c r="AM242" s="179"/>
      <c r="AN242" s="179"/>
      <c r="AO242" s="179"/>
      <c r="AP242" s="179"/>
    </row>
    <row r="243" ht="13.5" customHeight="1">
      <c r="B243" s="3">
        <f t="shared" si="6"/>
        <v>240</v>
      </c>
      <c r="C243" s="72" t="s">
        <v>225</v>
      </c>
      <c r="D243" s="72" t="s">
        <v>58</v>
      </c>
      <c r="E243" s="72" t="s">
        <v>139</v>
      </c>
      <c r="F243" s="51" t="s">
        <v>230</v>
      </c>
      <c r="G243" s="72" t="s">
        <v>14</v>
      </c>
      <c r="H243" s="72" t="s">
        <v>201</v>
      </c>
      <c r="I243" s="169">
        <v>0.1989</v>
      </c>
      <c r="J243" s="223">
        <v>48714.0</v>
      </c>
      <c r="K243" s="224">
        <v>46113.0</v>
      </c>
      <c r="L243" s="224">
        <v>46119.0</v>
      </c>
      <c r="M243" s="87">
        <f t="shared" si="43"/>
        <v>0.1662907217</v>
      </c>
      <c r="N243" s="171">
        <v>113.24</v>
      </c>
      <c r="O243" s="111">
        <v>1.0E9</v>
      </c>
      <c r="P243" s="27">
        <f t="shared" si="36"/>
        <v>1210970994</v>
      </c>
      <c r="Q243" s="172">
        <f t="shared" si="23"/>
        <v>1132400000</v>
      </c>
      <c r="R243" s="172">
        <f t="shared" si="44"/>
        <v>78570994.48</v>
      </c>
      <c r="S243" s="172"/>
      <c r="T243" s="169"/>
      <c r="U243" s="169"/>
      <c r="V243" s="72"/>
      <c r="W243" s="72"/>
      <c r="X243" s="72"/>
      <c r="Y243" s="72"/>
      <c r="Z243" s="72"/>
      <c r="AA243" s="72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/>
    </row>
    <row r="244" ht="13.5" customHeight="1">
      <c r="B244" s="3">
        <f t="shared" si="6"/>
        <v>241</v>
      </c>
      <c r="C244" s="72" t="s">
        <v>225</v>
      </c>
      <c r="D244" s="72" t="s">
        <v>58</v>
      </c>
      <c r="E244" s="72" t="s">
        <v>139</v>
      </c>
      <c r="F244" s="51" t="s">
        <v>230</v>
      </c>
      <c r="G244" s="72" t="s">
        <v>14</v>
      </c>
      <c r="H244" s="72" t="s">
        <v>223</v>
      </c>
      <c r="I244" s="169">
        <v>0.1795</v>
      </c>
      <c r="J244" s="223">
        <v>48390.0</v>
      </c>
      <c r="K244" s="224">
        <v>46114.0</v>
      </c>
      <c r="L244" s="224">
        <v>46120.0</v>
      </c>
      <c r="M244" s="87">
        <f t="shared" si="43"/>
        <v>0.1648979494</v>
      </c>
      <c r="N244" s="171">
        <v>105.46</v>
      </c>
      <c r="O244" s="111">
        <v>1.1E9</v>
      </c>
      <c r="P244" s="27">
        <f t="shared" si="36"/>
        <v>1216474286</v>
      </c>
      <c r="Q244" s="172">
        <f t="shared" si="23"/>
        <v>1160060000</v>
      </c>
      <c r="R244" s="172">
        <f t="shared" si="44"/>
        <v>56414285.71</v>
      </c>
      <c r="S244" s="15"/>
      <c r="T244" s="62"/>
      <c r="U244" s="62"/>
      <c r="V244" s="1"/>
      <c r="W244" s="1"/>
      <c r="X244" s="1"/>
      <c r="Y244" s="1"/>
      <c r="Z244" s="1"/>
      <c r="AA244" s="1"/>
    </row>
    <row r="245" ht="13.5" customHeight="1">
      <c r="B245" s="3">
        <f t="shared" si="6"/>
        <v>242</v>
      </c>
      <c r="C245" s="57" t="s">
        <v>225</v>
      </c>
      <c r="D245" s="57" t="s">
        <v>58</v>
      </c>
      <c r="E245" s="57" t="s">
        <v>139</v>
      </c>
      <c r="F245" s="51" t="s">
        <v>230</v>
      </c>
      <c r="G245" s="72" t="s">
        <v>14</v>
      </c>
      <c r="H245" s="57" t="s">
        <v>232</v>
      </c>
      <c r="I245" s="87">
        <v>0.19</v>
      </c>
      <c r="J245" s="167">
        <v>48996.0</v>
      </c>
      <c r="K245" s="224">
        <v>46114.0</v>
      </c>
      <c r="L245" s="224">
        <v>46120.0</v>
      </c>
      <c r="M245" s="87">
        <f t="shared" si="43"/>
        <v>0.1639994009</v>
      </c>
      <c r="N245" s="111">
        <v>111.2</v>
      </c>
      <c r="O245" s="111">
        <v>2.0E9</v>
      </c>
      <c r="P245" s="27">
        <f t="shared" si="36"/>
        <v>2272287293</v>
      </c>
      <c r="Q245" s="27">
        <f t="shared" si="23"/>
        <v>2224000000</v>
      </c>
      <c r="R245" s="27">
        <f t="shared" si="44"/>
        <v>48287292.82</v>
      </c>
      <c r="S245" s="15"/>
      <c r="T245" s="62"/>
      <c r="U245" s="62"/>
      <c r="V245" s="1"/>
      <c r="W245" s="1"/>
      <c r="X245" s="1"/>
      <c r="Y245" s="1"/>
      <c r="Z245" s="1"/>
      <c r="AA245" s="1"/>
    </row>
    <row r="246" ht="13.5" customHeight="1">
      <c r="B246" s="3">
        <f t="shared" si="6"/>
        <v>243</v>
      </c>
      <c r="C246" s="57" t="s">
        <v>225</v>
      </c>
      <c r="D246" s="57" t="s">
        <v>58</v>
      </c>
      <c r="E246" s="57" t="s">
        <v>139</v>
      </c>
      <c r="F246" s="51" t="s">
        <v>230</v>
      </c>
      <c r="G246" s="72" t="s">
        <v>14</v>
      </c>
      <c r="H246" s="57" t="s">
        <v>232</v>
      </c>
      <c r="I246" s="87">
        <v>0.19</v>
      </c>
      <c r="J246" s="167">
        <v>48996.0</v>
      </c>
      <c r="K246" s="224">
        <v>46114.0</v>
      </c>
      <c r="L246" s="224">
        <v>46119.0</v>
      </c>
      <c r="M246" s="87">
        <f t="shared" si="43"/>
        <v>0.1641977313</v>
      </c>
      <c r="N246" s="111">
        <v>111.11</v>
      </c>
      <c r="O246" s="111">
        <v>1.405E9</v>
      </c>
      <c r="P246" s="27">
        <f t="shared" si="36"/>
        <v>1594279892</v>
      </c>
      <c r="Q246" s="27">
        <f t="shared" si="23"/>
        <v>1561095500</v>
      </c>
      <c r="R246" s="27">
        <f t="shared" si="44"/>
        <v>33184392.27</v>
      </c>
      <c r="S246" s="15"/>
      <c r="T246" s="62"/>
      <c r="U246" s="62"/>
      <c r="V246" s="1"/>
      <c r="W246" s="1"/>
      <c r="X246" s="1"/>
      <c r="Y246" s="1"/>
      <c r="Z246" s="1"/>
      <c r="AA246" s="1"/>
    </row>
    <row r="247" ht="13.5" customHeight="1">
      <c r="B247" s="3">
        <f t="shared" si="6"/>
        <v>244</v>
      </c>
      <c r="C247" s="57" t="s">
        <v>225</v>
      </c>
      <c r="D247" s="57" t="s">
        <v>58</v>
      </c>
      <c r="E247" s="57" t="s">
        <v>139</v>
      </c>
      <c r="F247" s="51" t="s">
        <v>153</v>
      </c>
      <c r="G247" s="72" t="s">
        <v>14</v>
      </c>
      <c r="H247" s="57" t="s">
        <v>232</v>
      </c>
      <c r="I247" s="87">
        <v>0.19</v>
      </c>
      <c r="J247" s="167">
        <v>48996.0</v>
      </c>
      <c r="K247" s="224">
        <v>46108.0</v>
      </c>
      <c r="L247" s="224">
        <v>46111.0</v>
      </c>
      <c r="M247" s="87">
        <f t="shared" si="43"/>
        <v>0.1628081383</v>
      </c>
      <c r="N247" s="111">
        <v>111.79</v>
      </c>
      <c r="O247" s="111">
        <v>5.0E8</v>
      </c>
      <c r="P247" s="27">
        <f t="shared" si="36"/>
        <v>568659944.8</v>
      </c>
      <c r="Q247" s="27">
        <f t="shared" si="23"/>
        <v>558950000</v>
      </c>
      <c r="R247" s="27">
        <f t="shared" si="44"/>
        <v>9709944.751</v>
      </c>
      <c r="S247" s="15"/>
      <c r="T247" s="62"/>
      <c r="U247" s="62"/>
      <c r="V247" s="1"/>
      <c r="W247" s="1"/>
      <c r="X247" s="1"/>
      <c r="Y247" s="1"/>
      <c r="Z247" s="1"/>
      <c r="AA247" s="1"/>
    </row>
    <row r="248" ht="13.5" customHeight="1">
      <c r="B248" s="3">
        <f t="shared" si="6"/>
        <v>245</v>
      </c>
      <c r="C248" s="57" t="s">
        <v>233</v>
      </c>
      <c r="D248" s="72" t="s">
        <v>58</v>
      </c>
      <c r="E248" s="72" t="s">
        <v>139</v>
      </c>
      <c r="F248" s="51" t="s">
        <v>230</v>
      </c>
      <c r="G248" s="72" t="s">
        <v>14</v>
      </c>
      <c r="H248" s="72" t="s">
        <v>223</v>
      </c>
      <c r="I248" s="169">
        <v>0.1795</v>
      </c>
      <c r="J248" s="223">
        <v>48390.0</v>
      </c>
      <c r="K248" s="224">
        <v>46114.0</v>
      </c>
      <c r="L248" s="224">
        <v>46119.0</v>
      </c>
      <c r="M248" s="87">
        <f t="shared" si="43"/>
        <v>0.1655346581</v>
      </c>
      <c r="N248" s="171">
        <v>105.21</v>
      </c>
      <c r="O248" s="111">
        <v>2.4E9</v>
      </c>
      <c r="P248" s="27">
        <f t="shared" si="36"/>
        <v>2646942198</v>
      </c>
      <c r="Q248" s="172">
        <f t="shared" si="23"/>
        <v>2525040000</v>
      </c>
      <c r="R248" s="172">
        <f t="shared" si="44"/>
        <v>121902197.8</v>
      </c>
      <c r="S248" s="15"/>
      <c r="T248" s="62"/>
      <c r="U248" s="62"/>
      <c r="V248" s="1"/>
      <c r="W248" s="1"/>
      <c r="X248" s="1"/>
      <c r="Y248" s="1"/>
      <c r="Z248" s="1"/>
      <c r="AA248" s="1"/>
    </row>
    <row r="249" ht="13.5" customHeight="1">
      <c r="B249" s="3">
        <f t="shared" si="6"/>
        <v>246</v>
      </c>
      <c r="C249" s="51" t="s">
        <v>126</v>
      </c>
      <c r="D249" s="72" t="s">
        <v>58</v>
      </c>
      <c r="E249" s="72" t="s">
        <v>139</v>
      </c>
      <c r="F249" s="51" t="s">
        <v>230</v>
      </c>
      <c r="G249" s="72" t="s">
        <v>14</v>
      </c>
      <c r="H249" s="72" t="s">
        <v>223</v>
      </c>
      <c r="I249" s="169">
        <v>0.1795</v>
      </c>
      <c r="J249" s="223">
        <v>48390.0</v>
      </c>
      <c r="K249" s="224">
        <v>46114.0</v>
      </c>
      <c r="L249" s="224">
        <v>46119.0</v>
      </c>
      <c r="M249" s="87">
        <f t="shared" si="43"/>
        <v>0.1655346581</v>
      </c>
      <c r="N249" s="171">
        <v>105.21</v>
      </c>
      <c r="O249" s="111">
        <v>2.6E9</v>
      </c>
      <c r="P249" s="27">
        <f t="shared" si="36"/>
        <v>2867520714</v>
      </c>
      <c r="Q249" s="172">
        <f t="shared" si="23"/>
        <v>2735460000</v>
      </c>
      <c r="R249" s="172">
        <f t="shared" si="44"/>
        <v>132060714.3</v>
      </c>
      <c r="S249" s="15"/>
      <c r="T249" s="62"/>
      <c r="U249" s="62"/>
      <c r="V249" s="1"/>
      <c r="W249" s="1"/>
      <c r="X249" s="1"/>
      <c r="Y249" s="1"/>
      <c r="Z249" s="1"/>
      <c r="AA249" s="1"/>
    </row>
    <row r="250" ht="13.5" customHeight="1">
      <c r="B250" s="3">
        <f t="shared" si="6"/>
        <v>247</v>
      </c>
      <c r="C250" s="57" t="s">
        <v>225</v>
      </c>
      <c r="D250" s="57" t="s">
        <v>58</v>
      </c>
      <c r="E250" s="57" t="s">
        <v>139</v>
      </c>
      <c r="F250" s="51" t="s">
        <v>230</v>
      </c>
      <c r="G250" s="72" t="s">
        <v>12</v>
      </c>
      <c r="H250" s="57" t="s">
        <v>232</v>
      </c>
      <c r="I250" s="87">
        <v>0.19</v>
      </c>
      <c r="J250" s="167">
        <v>48996.0</v>
      </c>
      <c r="K250" s="224">
        <v>46120.0</v>
      </c>
      <c r="L250" s="224">
        <v>46121.0</v>
      </c>
      <c r="M250" s="87">
        <f t="shared" si="43"/>
        <v>0.1622968183</v>
      </c>
      <c r="N250" s="111">
        <v>112.0</v>
      </c>
      <c r="O250" s="111">
        <v>5.0E8</v>
      </c>
      <c r="P250" s="27">
        <f t="shared" si="36"/>
        <v>572334254.1</v>
      </c>
      <c r="Q250" s="27">
        <f t="shared" si="23"/>
        <v>560000000</v>
      </c>
      <c r="R250" s="27">
        <f t="shared" si="44"/>
        <v>12334254.14</v>
      </c>
      <c r="S250" s="15"/>
      <c r="T250" s="62"/>
      <c r="U250" s="62"/>
      <c r="V250" s="1"/>
      <c r="W250" s="1"/>
      <c r="X250" s="1"/>
      <c r="Y250" s="1"/>
      <c r="Z250" s="1"/>
      <c r="AA250" s="1"/>
    </row>
    <row r="251" ht="13.5" customHeight="1">
      <c r="A251" s="179"/>
      <c r="B251" s="3">
        <f t="shared" si="6"/>
        <v>248</v>
      </c>
      <c r="C251" s="72" t="s">
        <v>225</v>
      </c>
      <c r="D251" s="72" t="s">
        <v>58</v>
      </c>
      <c r="E251" s="72" t="s">
        <v>139</v>
      </c>
      <c r="F251" s="72" t="s">
        <v>230</v>
      </c>
      <c r="G251" s="72" t="s">
        <v>14</v>
      </c>
      <c r="H251" s="72" t="s">
        <v>221</v>
      </c>
      <c r="I251" s="169"/>
      <c r="J251" s="223">
        <v>46331.0</v>
      </c>
      <c r="K251" s="224">
        <v>46139.0</v>
      </c>
      <c r="L251" s="224">
        <v>46140.0</v>
      </c>
      <c r="M251" s="169">
        <v>0.165</v>
      </c>
      <c r="N251" s="171">
        <f t="shared" ref="N251:N254" si="45">PRICEDISC(L251,J251,M251,100,1)</f>
        <v>91.36575342</v>
      </c>
      <c r="O251" s="111">
        <v>1.3E9</v>
      </c>
      <c r="P251" s="27">
        <f t="shared" si="36"/>
        <v>1187754795</v>
      </c>
      <c r="Q251" s="172">
        <f t="shared" si="23"/>
        <v>1187754795</v>
      </c>
      <c r="R251" s="172" t="str">
        <f t="shared" ref="R251:R254" si="46">IFERROR(ACCRINT(COUPPCD(L251,J251,2,1),COUPNCD(L251,J251,2,0),L251,I251,100,2,1),"")</f>
        <v/>
      </c>
      <c r="S251" s="172"/>
      <c r="T251" s="169"/>
      <c r="U251" s="169"/>
      <c r="V251" s="72"/>
      <c r="W251" s="72"/>
      <c r="X251" s="72"/>
      <c r="Y251" s="72"/>
      <c r="Z251" s="72"/>
      <c r="AA251" s="72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</row>
    <row r="252" ht="13.5" customHeight="1">
      <c r="A252" s="179"/>
      <c r="B252" s="3">
        <f t="shared" si="6"/>
        <v>249</v>
      </c>
      <c r="C252" s="72" t="s">
        <v>225</v>
      </c>
      <c r="D252" s="72" t="s">
        <v>58</v>
      </c>
      <c r="E252" s="72" t="s">
        <v>139</v>
      </c>
      <c r="F252" s="72" t="s">
        <v>230</v>
      </c>
      <c r="G252" s="72" t="s">
        <v>14</v>
      </c>
      <c r="H252" s="72" t="s">
        <v>221</v>
      </c>
      <c r="I252" s="169"/>
      <c r="J252" s="223">
        <v>46331.0</v>
      </c>
      <c r="K252" s="224">
        <v>46139.0</v>
      </c>
      <c r="L252" s="224">
        <v>46140.0</v>
      </c>
      <c r="M252" s="169">
        <v>0.1646</v>
      </c>
      <c r="N252" s="171">
        <f t="shared" si="45"/>
        <v>91.38668493</v>
      </c>
      <c r="O252" s="111">
        <v>1.3E9</v>
      </c>
      <c r="P252" s="27">
        <f t="shared" si="36"/>
        <v>1188026904</v>
      </c>
      <c r="Q252" s="172">
        <f t="shared" si="23"/>
        <v>1188026904</v>
      </c>
      <c r="R252" s="172" t="str">
        <f t="shared" si="46"/>
        <v/>
      </c>
      <c r="S252" s="172"/>
      <c r="T252" s="169"/>
      <c r="U252" s="169"/>
      <c r="V252" s="72"/>
      <c r="W252" s="72"/>
      <c r="X252" s="72"/>
      <c r="Y252" s="72"/>
      <c r="Z252" s="72"/>
      <c r="AA252" s="72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</row>
    <row r="253" ht="13.5" customHeight="1">
      <c r="A253" s="179"/>
      <c r="B253" s="3">
        <f t="shared" si="6"/>
        <v>250</v>
      </c>
      <c r="C253" s="72" t="s">
        <v>225</v>
      </c>
      <c r="D253" s="72" t="s">
        <v>58</v>
      </c>
      <c r="E253" s="72" t="s">
        <v>139</v>
      </c>
      <c r="F253" s="72" t="s">
        <v>230</v>
      </c>
      <c r="G253" s="72" t="s">
        <v>14</v>
      </c>
      <c r="H253" s="72" t="s">
        <v>228</v>
      </c>
      <c r="I253" s="169"/>
      <c r="J253" s="223">
        <v>46226.0</v>
      </c>
      <c r="K253" s="224">
        <v>46153.0</v>
      </c>
      <c r="L253" s="224">
        <v>46154.0</v>
      </c>
      <c r="M253" s="169">
        <v>0.16</v>
      </c>
      <c r="N253" s="171">
        <f t="shared" si="45"/>
        <v>96.84383562</v>
      </c>
      <c r="O253" s="111">
        <v>1.0E9</v>
      </c>
      <c r="P253" s="27">
        <f t="shared" si="36"/>
        <v>968438356.2</v>
      </c>
      <c r="Q253" s="172">
        <f t="shared" si="23"/>
        <v>968438356.2</v>
      </c>
      <c r="R253" s="172" t="str">
        <f t="shared" si="46"/>
        <v/>
      </c>
      <c r="S253" s="172"/>
      <c r="T253" s="169"/>
      <c r="U253" s="169"/>
      <c r="V253" s="72"/>
      <c r="W253" s="72"/>
      <c r="X253" s="72"/>
      <c r="Y253" s="72"/>
      <c r="Z253" s="72"/>
      <c r="AA253" s="72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</row>
    <row r="254" ht="13.5" customHeight="1">
      <c r="A254" s="179"/>
      <c r="B254" s="3">
        <f t="shared" si="6"/>
        <v>251</v>
      </c>
      <c r="C254" s="72" t="s">
        <v>225</v>
      </c>
      <c r="D254" s="72" t="s">
        <v>58</v>
      </c>
      <c r="E254" s="72" t="s">
        <v>139</v>
      </c>
      <c r="F254" s="72" t="s">
        <v>230</v>
      </c>
      <c r="G254" s="72" t="s">
        <v>14</v>
      </c>
      <c r="H254" s="72" t="s">
        <v>229</v>
      </c>
      <c r="I254" s="169"/>
      <c r="J254" s="223">
        <v>46191.0</v>
      </c>
      <c r="K254" s="224">
        <v>46155.0</v>
      </c>
      <c r="L254" s="224">
        <v>46156.0</v>
      </c>
      <c r="M254" s="169">
        <v>0.1699</v>
      </c>
      <c r="N254" s="171">
        <f t="shared" si="45"/>
        <v>98.37082192</v>
      </c>
      <c r="O254" s="111">
        <v>6.0E8</v>
      </c>
      <c r="P254" s="27">
        <f t="shared" si="36"/>
        <v>590224931.5</v>
      </c>
      <c r="Q254" s="172">
        <f t="shared" si="23"/>
        <v>590224931.5</v>
      </c>
      <c r="R254" s="172" t="str">
        <f t="shared" si="46"/>
        <v/>
      </c>
      <c r="S254" s="172"/>
      <c r="T254" s="169"/>
      <c r="U254" s="169"/>
      <c r="V254" s="72"/>
      <c r="W254" s="72"/>
      <c r="X254" s="72"/>
      <c r="Y254" s="72"/>
      <c r="Z254" s="72"/>
      <c r="AA254" s="72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</row>
    <row r="255" ht="13.5" customHeight="1">
      <c r="B255" s="3">
        <f t="shared" si="6"/>
        <v>252</v>
      </c>
      <c r="C255" s="72" t="s">
        <v>123</v>
      </c>
      <c r="D255" s="72" t="s">
        <v>58</v>
      </c>
      <c r="E255" s="72" t="s">
        <v>139</v>
      </c>
      <c r="F255" s="51" t="s">
        <v>230</v>
      </c>
      <c r="G255" s="72" t="s">
        <v>14</v>
      </c>
      <c r="H255" s="57" t="s">
        <v>208</v>
      </c>
      <c r="I255" s="87">
        <v>0.185</v>
      </c>
      <c r="J255" s="167">
        <v>47900.0</v>
      </c>
      <c r="K255" s="224">
        <v>46155.0</v>
      </c>
      <c r="L255" s="224">
        <v>46156.0</v>
      </c>
      <c r="M255" s="87">
        <f t="shared" ref="M255:M258" si="47">IFERROR(YIELD(L255,J255,I255,N255,100,2,1),"")</f>
        <v>0.1686386328</v>
      </c>
      <c r="N255" s="171">
        <v>105.13</v>
      </c>
      <c r="O255" s="111">
        <v>9.0E8</v>
      </c>
      <c r="P255" s="27">
        <f t="shared" si="36"/>
        <v>983885469.6</v>
      </c>
      <c r="Q255" s="172">
        <f t="shared" si="23"/>
        <v>946170000</v>
      </c>
      <c r="R255" s="172">
        <f t="shared" ref="R255:R258" si="48">IFERROR(ACCRINT(COUPPCD(L255,J255,2,1),COUPNCD(L255,J255,2,0),L255,I255,O255,2,1),"")</f>
        <v>37715469.61</v>
      </c>
      <c r="S255" s="172"/>
      <c r="T255" s="169"/>
      <c r="U255" s="169"/>
      <c r="V255" s="72"/>
      <c r="W255" s="72"/>
      <c r="X255" s="72"/>
      <c r="Y255" s="72"/>
      <c r="Z255" s="72"/>
      <c r="AA255" s="72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</row>
    <row r="256" ht="13.5" customHeight="1">
      <c r="A256" s="228" t="s">
        <v>152</v>
      </c>
      <c r="B256" s="3">
        <f t="shared" si="6"/>
        <v>253</v>
      </c>
      <c r="C256" s="72" t="s">
        <v>225</v>
      </c>
      <c r="D256" s="72" t="s">
        <v>58</v>
      </c>
      <c r="E256" s="72" t="s">
        <v>139</v>
      </c>
      <c r="F256" s="51" t="s">
        <v>227</v>
      </c>
      <c r="G256" s="72" t="s">
        <v>14</v>
      </c>
      <c r="H256" s="72" t="s">
        <v>223</v>
      </c>
      <c r="I256" s="169">
        <v>0.1795</v>
      </c>
      <c r="J256" s="223">
        <v>48390.0</v>
      </c>
      <c r="K256" s="224">
        <v>46161.0</v>
      </c>
      <c r="L256" s="224">
        <v>46162.0</v>
      </c>
      <c r="M256" s="87">
        <f t="shared" si="47"/>
        <v>0.1723117826</v>
      </c>
      <c r="N256" s="171">
        <v>102.59</v>
      </c>
      <c r="O256" s="111">
        <v>4.7E8</v>
      </c>
      <c r="P256" s="27">
        <f t="shared" si="36"/>
        <v>516011708.8</v>
      </c>
      <c r="Q256" s="172">
        <f t="shared" si="23"/>
        <v>482173000</v>
      </c>
      <c r="R256" s="172">
        <f t="shared" si="48"/>
        <v>33838708.79</v>
      </c>
      <c r="S256" s="15">
        <f t="shared" ref="S256:S258" si="49">P256/O256*100</f>
        <v>109.7897253</v>
      </c>
      <c r="T256" s="15">
        <v>109.789725274725</v>
      </c>
      <c r="U256" s="62"/>
      <c r="V256" s="1"/>
      <c r="W256" s="1"/>
      <c r="X256" s="1"/>
      <c r="Y256" s="1"/>
      <c r="Z256" s="1"/>
      <c r="AA256" s="1"/>
    </row>
    <row r="257" ht="13.5" customHeight="1">
      <c r="A257" s="228" t="s">
        <v>152</v>
      </c>
      <c r="B257" s="3">
        <f t="shared" si="6"/>
        <v>254</v>
      </c>
      <c r="C257" s="72" t="s">
        <v>225</v>
      </c>
      <c r="D257" s="72" t="s">
        <v>58</v>
      </c>
      <c r="E257" s="72" t="s">
        <v>139</v>
      </c>
      <c r="F257" s="51" t="s">
        <v>227</v>
      </c>
      <c r="G257" s="72" t="s">
        <v>14</v>
      </c>
      <c r="H257" s="72" t="s">
        <v>223</v>
      </c>
      <c r="I257" s="169">
        <v>0.1795</v>
      </c>
      <c r="J257" s="223">
        <v>48390.0</v>
      </c>
      <c r="K257" s="224">
        <v>46161.0</v>
      </c>
      <c r="L257" s="224">
        <v>46163.0</v>
      </c>
      <c r="M257" s="87">
        <f t="shared" si="47"/>
        <v>0.1715</v>
      </c>
      <c r="N257" s="171">
        <v>102.896109566462</v>
      </c>
      <c r="O257" s="111">
        <v>5.0E8</v>
      </c>
      <c r="P257" s="27">
        <f t="shared" si="36"/>
        <v>550725740.1</v>
      </c>
      <c r="Q257" s="172">
        <f t="shared" si="23"/>
        <v>514480547.8</v>
      </c>
      <c r="R257" s="172">
        <f t="shared" si="48"/>
        <v>36245192.31</v>
      </c>
      <c r="S257" s="15">
        <f t="shared" si="49"/>
        <v>110.145148</v>
      </c>
      <c r="T257" s="15">
        <v>110.145148028</v>
      </c>
      <c r="U257" s="62"/>
      <c r="V257" s="1"/>
      <c r="W257" s="1"/>
      <c r="X257" s="1"/>
      <c r="Y257" s="1"/>
      <c r="Z257" s="1"/>
      <c r="AA257" s="1"/>
    </row>
    <row r="258" ht="13.5" customHeight="1">
      <c r="A258" s="228" t="s">
        <v>152</v>
      </c>
      <c r="B258" s="3">
        <f t="shared" si="6"/>
        <v>255</v>
      </c>
      <c r="C258" s="72" t="s">
        <v>123</v>
      </c>
      <c r="D258" s="72" t="s">
        <v>58</v>
      </c>
      <c r="E258" s="72" t="s">
        <v>139</v>
      </c>
      <c r="F258" s="229" t="s">
        <v>65</v>
      </c>
      <c r="G258" s="72" t="s">
        <v>14</v>
      </c>
      <c r="H258" s="72" t="s">
        <v>234</v>
      </c>
      <c r="I258" s="169">
        <v>0.157</v>
      </c>
      <c r="J258" s="223">
        <v>56056.0</v>
      </c>
      <c r="K258" s="224">
        <v>46161.0</v>
      </c>
      <c r="L258" s="224">
        <v>46163.0</v>
      </c>
      <c r="M258" s="87">
        <f t="shared" si="47"/>
        <v>0.1610831825</v>
      </c>
      <c r="N258" s="171">
        <v>97.46</v>
      </c>
      <c r="O258" s="111">
        <v>8.0E8</v>
      </c>
      <c r="P258" s="27">
        <f t="shared" si="36"/>
        <v>831783296.7</v>
      </c>
      <c r="Q258" s="172">
        <f t="shared" si="23"/>
        <v>779680000</v>
      </c>
      <c r="R258" s="172">
        <f t="shared" si="48"/>
        <v>52103296.7</v>
      </c>
      <c r="S258" s="15">
        <f t="shared" si="49"/>
        <v>103.9729121</v>
      </c>
      <c r="T258" s="15">
        <v>103.972912087912</v>
      </c>
      <c r="U258" s="62"/>
      <c r="V258" s="1"/>
      <c r="W258" s="1"/>
      <c r="X258" s="1"/>
      <c r="Y258" s="1"/>
      <c r="Z258" s="1"/>
      <c r="AA258" s="1"/>
    </row>
    <row r="259" ht="13.5" customHeight="1">
      <c r="A259" s="179"/>
      <c r="B259" s="3">
        <f t="shared" si="6"/>
        <v>256</v>
      </c>
      <c r="C259" s="72" t="s">
        <v>235</v>
      </c>
      <c r="D259" s="72" t="s">
        <v>58</v>
      </c>
      <c r="E259" s="72" t="s">
        <v>139</v>
      </c>
      <c r="F259" s="72" t="s">
        <v>230</v>
      </c>
      <c r="G259" s="72" t="s">
        <v>12</v>
      </c>
      <c r="H259" s="72" t="s">
        <v>236</v>
      </c>
      <c r="I259" s="169"/>
      <c r="J259" s="223">
        <v>46436.0</v>
      </c>
      <c r="K259" s="224">
        <v>46206.0</v>
      </c>
      <c r="L259" s="224">
        <v>46210.0</v>
      </c>
      <c r="M259" s="169">
        <v>0.174</v>
      </c>
      <c r="N259" s="171">
        <f>PRICEDISC(L259,J259,M259,100,1)</f>
        <v>89.22630137</v>
      </c>
      <c r="O259" s="111">
        <v>1.9E9</v>
      </c>
      <c r="P259" s="27">
        <f t="shared" si="36"/>
        <v>1695299726</v>
      </c>
      <c r="Q259" s="172">
        <f t="shared" si="23"/>
        <v>1695299726</v>
      </c>
      <c r="R259" s="172" t="str">
        <f>IFERROR(ACCRINT(COUPPCD(L259,J259,2,1),COUPNCD(L259,J259,2,0),L259,I259,100,2,1),"")</f>
        <v/>
      </c>
      <c r="S259" s="172"/>
      <c r="T259" s="169"/>
      <c r="U259" s="169"/>
      <c r="V259" s="72"/>
      <c r="W259" s="72"/>
      <c r="X259" s="72"/>
      <c r="Y259" s="72"/>
      <c r="Z259" s="72"/>
      <c r="AA259" s="72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  <c r="AN259" s="179"/>
      <c r="AO259" s="179"/>
      <c r="AP259" s="179"/>
    </row>
    <row r="260" ht="13.5" customHeight="1">
      <c r="B260" s="3">
        <f t="shared" si="6"/>
        <v>257</v>
      </c>
      <c r="C260" s="72" t="s">
        <v>123</v>
      </c>
      <c r="D260" s="1" t="s">
        <v>58</v>
      </c>
      <c r="E260" s="3" t="s">
        <v>139</v>
      </c>
      <c r="F260" s="72" t="s">
        <v>230</v>
      </c>
      <c r="G260" s="1" t="s">
        <v>12</v>
      </c>
      <c r="H260" s="1" t="s">
        <v>144</v>
      </c>
      <c r="I260" s="62">
        <v>0.226</v>
      </c>
      <c r="J260" s="52">
        <v>49338.0</v>
      </c>
      <c r="K260" s="122">
        <v>46220.0</v>
      </c>
      <c r="L260" s="122">
        <v>46225.0</v>
      </c>
      <c r="M260" s="87">
        <f t="shared" ref="M260:M262" si="50">IFERROR(YIELD(L260,J260,I260,N260,100,2,1),"")</f>
        <v>0.1828962778</v>
      </c>
      <c r="N260" s="63">
        <v>118.24243</v>
      </c>
      <c r="O260" s="63">
        <v>5.0E8</v>
      </c>
      <c r="P260" s="15">
        <f t="shared" si="36"/>
        <v>645527067.1</v>
      </c>
      <c r="Q260" s="15">
        <f t="shared" si="23"/>
        <v>591212150</v>
      </c>
      <c r="R260" s="15">
        <f t="shared" ref="R260:R277" si="51">IFERROR(ACCRINT(COUPPCD(L260,J260,2,1),COUPNCD(L260,J260,2,0),L260,I260,O260,2,1),"")</f>
        <v>54314917.13</v>
      </c>
      <c r="S260" s="15"/>
      <c r="T260" s="62"/>
      <c r="U260" s="62"/>
      <c r="V260" s="1"/>
      <c r="W260" s="1"/>
      <c r="X260" s="1"/>
      <c r="Y260" s="1"/>
      <c r="Z260" s="1"/>
      <c r="AA260" s="1"/>
    </row>
    <row r="261" ht="13.5" customHeight="1">
      <c r="A261" s="180"/>
      <c r="B261" s="3">
        <f t="shared" si="6"/>
        <v>258</v>
      </c>
      <c r="C261" s="72" t="s">
        <v>123</v>
      </c>
      <c r="D261" s="57" t="s">
        <v>58</v>
      </c>
      <c r="E261" s="110" t="s">
        <v>139</v>
      </c>
      <c r="F261" s="72" t="s">
        <v>230</v>
      </c>
      <c r="G261" s="57" t="s">
        <v>12</v>
      </c>
      <c r="H261" s="57" t="s">
        <v>171</v>
      </c>
      <c r="I261" s="87">
        <v>0.162499</v>
      </c>
      <c r="J261" s="167">
        <v>50148.0</v>
      </c>
      <c r="K261" s="168">
        <v>46220.0</v>
      </c>
      <c r="L261" s="168">
        <v>46225.0</v>
      </c>
      <c r="M261" s="87">
        <f t="shared" si="50"/>
        <v>0.1828833698</v>
      </c>
      <c r="N261" s="63">
        <v>90.46665</v>
      </c>
      <c r="O261" s="63">
        <v>5.0E8</v>
      </c>
      <c r="P261" s="15">
        <f t="shared" si="36"/>
        <v>473422601.1</v>
      </c>
      <c r="Q261" s="15">
        <f t="shared" si="23"/>
        <v>452333250</v>
      </c>
      <c r="R261" s="15">
        <f t="shared" si="51"/>
        <v>21089351.09</v>
      </c>
      <c r="S261" s="15"/>
      <c r="T261" s="62"/>
      <c r="U261" s="62"/>
      <c r="V261" s="1"/>
      <c r="W261" s="1"/>
      <c r="X261" s="1"/>
      <c r="Y261" s="1"/>
      <c r="Z261" s="1"/>
      <c r="AA261" s="1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  <c r="AN261" s="180"/>
      <c r="AO261" s="180"/>
      <c r="AP261" s="180"/>
    </row>
    <row r="262" ht="13.5" customHeight="1">
      <c r="A262" s="180"/>
      <c r="B262" s="3">
        <f t="shared" si="6"/>
        <v>259</v>
      </c>
      <c r="C262" s="72" t="s">
        <v>111</v>
      </c>
      <c r="D262" s="57" t="s">
        <v>58</v>
      </c>
      <c r="E262" s="110" t="s">
        <v>139</v>
      </c>
      <c r="F262" s="72" t="s">
        <v>230</v>
      </c>
      <c r="G262" s="57" t="s">
        <v>12</v>
      </c>
      <c r="H262" s="57" t="s">
        <v>237</v>
      </c>
      <c r="I262" s="87">
        <v>0.1545</v>
      </c>
      <c r="J262" s="167">
        <v>50577.0</v>
      </c>
      <c r="K262" s="168">
        <v>46225.0</v>
      </c>
      <c r="L262" s="168">
        <v>46230.0</v>
      </c>
      <c r="M262" s="87">
        <f t="shared" si="50"/>
        <v>0.177499999</v>
      </c>
      <c r="N262" s="63">
        <v>88.702862</v>
      </c>
      <c r="O262" s="63">
        <v>5.0E8</v>
      </c>
      <c r="P262" s="15">
        <f t="shared" si="36"/>
        <v>451112670.7</v>
      </c>
      <c r="Q262" s="15">
        <f t="shared" si="23"/>
        <v>443514310</v>
      </c>
      <c r="R262" s="15">
        <f t="shared" si="51"/>
        <v>7598360.656</v>
      </c>
      <c r="S262" s="15"/>
      <c r="T262" s="62"/>
      <c r="U262" s="62"/>
      <c r="V262" s="1"/>
      <c r="W262" s="1"/>
      <c r="X262" s="1"/>
      <c r="Y262" s="1"/>
      <c r="Z262" s="1"/>
      <c r="AA262" s="1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  <c r="AN262" s="180"/>
      <c r="AO262" s="180"/>
      <c r="AP262" s="180"/>
    </row>
    <row r="263" ht="13.5" customHeight="1">
      <c r="A263" s="180"/>
      <c r="B263" s="3">
        <f t="shared" si="6"/>
        <v>260</v>
      </c>
      <c r="C263" s="1" t="s">
        <v>225</v>
      </c>
      <c r="D263" s="57" t="s">
        <v>58</v>
      </c>
      <c r="E263" s="110" t="s">
        <v>139</v>
      </c>
      <c r="F263" s="72" t="s">
        <v>230</v>
      </c>
      <c r="G263" s="57" t="s">
        <v>12</v>
      </c>
      <c r="H263" s="57" t="s">
        <v>238</v>
      </c>
      <c r="I263" s="87"/>
      <c r="J263" s="167">
        <v>46583.0</v>
      </c>
      <c r="K263" s="168">
        <v>46225.0</v>
      </c>
      <c r="L263" s="168">
        <v>46227.0</v>
      </c>
      <c r="M263" s="87">
        <v>0.1725</v>
      </c>
      <c r="N263" s="171">
        <f t="shared" ref="N263:N264" si="52">PRICEDISC(L263,J263,M263,100,1)</f>
        <v>83.17534247</v>
      </c>
      <c r="O263" s="63">
        <v>5.0E8</v>
      </c>
      <c r="P263" s="15">
        <f t="shared" si="36"/>
        <v>415876712.3</v>
      </c>
      <c r="Q263" s="15">
        <f t="shared" si="23"/>
        <v>415876712.3</v>
      </c>
      <c r="R263" s="15" t="str">
        <f t="shared" si="51"/>
        <v/>
      </c>
      <c r="S263" s="15"/>
      <c r="T263" s="62"/>
      <c r="U263" s="62"/>
      <c r="V263" s="1"/>
      <c r="W263" s="1"/>
      <c r="X263" s="1"/>
      <c r="Y263" s="1"/>
      <c r="Z263" s="1"/>
      <c r="AA263" s="1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</row>
    <row r="264" ht="13.5" customHeight="1">
      <c r="A264" s="180"/>
      <c r="B264" s="3">
        <f t="shared" si="6"/>
        <v>261</v>
      </c>
      <c r="C264" s="1" t="s">
        <v>225</v>
      </c>
      <c r="D264" s="57" t="s">
        <v>58</v>
      </c>
      <c r="E264" s="110" t="s">
        <v>139</v>
      </c>
      <c r="F264" s="72" t="s">
        <v>230</v>
      </c>
      <c r="G264" s="57" t="s">
        <v>12</v>
      </c>
      <c r="H264" s="57" t="s">
        <v>238</v>
      </c>
      <c r="I264" s="87"/>
      <c r="J264" s="167">
        <v>46583.0</v>
      </c>
      <c r="K264" s="168">
        <v>46226.0</v>
      </c>
      <c r="L264" s="168">
        <v>46230.0</v>
      </c>
      <c r="M264" s="87">
        <v>0.172</v>
      </c>
      <c r="N264" s="171">
        <f t="shared" si="52"/>
        <v>83.36547945</v>
      </c>
      <c r="O264" s="63">
        <v>1.0E9</v>
      </c>
      <c r="P264" s="15">
        <f t="shared" si="36"/>
        <v>833654794.5</v>
      </c>
      <c r="Q264" s="15">
        <f t="shared" si="23"/>
        <v>833654794.5</v>
      </c>
      <c r="R264" s="15" t="str">
        <f t="shared" si="51"/>
        <v/>
      </c>
      <c r="S264" s="15"/>
      <c r="T264" s="62"/>
      <c r="U264" s="62"/>
      <c r="V264" s="1"/>
      <c r="W264" s="1"/>
      <c r="X264" s="1"/>
      <c r="Y264" s="1"/>
      <c r="Z264" s="1"/>
      <c r="AA264" s="1"/>
      <c r="AB264" s="180"/>
      <c r="AC264" s="180"/>
      <c r="AD264" s="180"/>
      <c r="AE264" s="180"/>
      <c r="AF264" s="180"/>
      <c r="AG264" s="180"/>
      <c r="AH264" s="180"/>
      <c r="AI264" s="180"/>
      <c r="AJ264" s="180"/>
      <c r="AK264" s="180"/>
      <c r="AL264" s="180"/>
      <c r="AM264" s="180"/>
      <c r="AN264" s="180"/>
      <c r="AO264" s="180"/>
      <c r="AP264" s="180"/>
    </row>
    <row r="265" ht="13.5" customHeight="1">
      <c r="A265" s="180"/>
      <c r="B265" s="3">
        <f t="shared" si="6"/>
        <v>262</v>
      </c>
      <c r="C265" s="72" t="s">
        <v>123</v>
      </c>
      <c r="D265" s="57" t="s">
        <v>58</v>
      </c>
      <c r="E265" s="110" t="s">
        <v>139</v>
      </c>
      <c r="F265" s="72" t="s">
        <v>230</v>
      </c>
      <c r="G265" s="57" t="s">
        <v>12</v>
      </c>
      <c r="H265" s="57" t="s">
        <v>171</v>
      </c>
      <c r="I265" s="87">
        <v>0.162499</v>
      </c>
      <c r="J265" s="167">
        <v>50148.0</v>
      </c>
      <c r="K265" s="168">
        <v>46226.0</v>
      </c>
      <c r="L265" s="168">
        <v>46231.0</v>
      </c>
      <c r="M265" s="87">
        <f t="shared" ref="M265:M266" si="53">IFERROR(YIELD(L265,J265,I265,N265,100,2,1),"")</f>
        <v>0.1770692801</v>
      </c>
      <c r="N265" s="63">
        <v>93.02</v>
      </c>
      <c r="O265" s="63">
        <v>5.0E8</v>
      </c>
      <c r="P265" s="15">
        <f t="shared" si="36"/>
        <v>487521310.1</v>
      </c>
      <c r="Q265" s="15">
        <f t="shared" si="23"/>
        <v>465100000</v>
      </c>
      <c r="R265" s="15">
        <f t="shared" si="51"/>
        <v>22421310.11</v>
      </c>
      <c r="S265" s="15"/>
      <c r="T265" s="62"/>
      <c r="U265" s="62"/>
      <c r="V265" s="1"/>
      <c r="W265" s="1"/>
      <c r="X265" s="1"/>
      <c r="Y265" s="1"/>
      <c r="Z265" s="1"/>
      <c r="AA265" s="1"/>
      <c r="AB265" s="180"/>
      <c r="AC265" s="180"/>
      <c r="AD265" s="180"/>
      <c r="AE265" s="180"/>
      <c r="AF265" s="180"/>
      <c r="AG265" s="180"/>
      <c r="AH265" s="180"/>
      <c r="AI265" s="180"/>
      <c r="AJ265" s="180"/>
      <c r="AK265" s="180"/>
      <c r="AL265" s="180"/>
      <c r="AM265" s="180"/>
      <c r="AN265" s="180"/>
      <c r="AO265" s="180"/>
      <c r="AP265" s="180"/>
    </row>
    <row r="266" ht="13.5" customHeight="1">
      <c r="B266" s="3">
        <f t="shared" si="6"/>
        <v>263</v>
      </c>
      <c r="C266" s="72" t="s">
        <v>111</v>
      </c>
      <c r="D266" s="1" t="s">
        <v>58</v>
      </c>
      <c r="E266" s="3" t="s">
        <v>139</v>
      </c>
      <c r="F266" s="72" t="s">
        <v>230</v>
      </c>
      <c r="G266" s="1" t="s">
        <v>12</v>
      </c>
      <c r="H266" s="1" t="s">
        <v>144</v>
      </c>
      <c r="I266" s="62">
        <v>0.226</v>
      </c>
      <c r="J266" s="52">
        <v>49338.0</v>
      </c>
      <c r="K266" s="168">
        <v>46226.0</v>
      </c>
      <c r="L266" s="168">
        <v>46231.0</v>
      </c>
      <c r="M266" s="87">
        <f t="shared" si="53"/>
        <v>0.1772</v>
      </c>
      <c r="N266" s="63">
        <v>121.035672</v>
      </c>
      <c r="O266" s="63">
        <v>5.0E8</v>
      </c>
      <c r="P266" s="15">
        <f t="shared" si="36"/>
        <v>661366205.3</v>
      </c>
      <c r="Q266" s="15">
        <f t="shared" si="23"/>
        <v>605178360</v>
      </c>
      <c r="R266" s="15">
        <f t="shared" si="51"/>
        <v>56187845.3</v>
      </c>
      <c r="S266" s="15"/>
      <c r="T266" s="62"/>
      <c r="U266" s="62"/>
      <c r="V266" s="1"/>
      <c r="W266" s="1"/>
      <c r="X266" s="1"/>
      <c r="Y266" s="1"/>
      <c r="Z266" s="1"/>
      <c r="AA266" s="1"/>
    </row>
    <row r="267" ht="13.5" customHeight="1">
      <c r="A267" s="180"/>
      <c r="B267" s="3">
        <f t="shared" si="6"/>
        <v>264</v>
      </c>
      <c r="C267" s="1" t="s">
        <v>233</v>
      </c>
      <c r="D267" s="57" t="s">
        <v>58</v>
      </c>
      <c r="E267" s="110" t="s">
        <v>139</v>
      </c>
      <c r="F267" s="72" t="s">
        <v>230</v>
      </c>
      <c r="G267" s="57" t="s">
        <v>12</v>
      </c>
      <c r="H267" s="57" t="s">
        <v>239</v>
      </c>
      <c r="I267" s="87"/>
      <c r="J267" s="167">
        <v>46597.0</v>
      </c>
      <c r="K267" s="168">
        <v>46233.0</v>
      </c>
      <c r="L267" s="168">
        <v>46234.0</v>
      </c>
      <c r="M267" s="87">
        <v>0.1697</v>
      </c>
      <c r="N267" s="171">
        <f t="shared" ref="N267:N272" si="54">PRICEDISC(L267,J267,M267,100,1)</f>
        <v>83.1229863</v>
      </c>
      <c r="O267" s="63">
        <v>3.0E9</v>
      </c>
      <c r="P267" s="15">
        <f t="shared" si="36"/>
        <v>2493689589</v>
      </c>
      <c r="Q267" s="15">
        <f t="shared" si="23"/>
        <v>2493689589</v>
      </c>
      <c r="R267" s="15" t="str">
        <f t="shared" si="51"/>
        <v/>
      </c>
      <c r="S267" s="15"/>
      <c r="T267" s="62"/>
      <c r="U267" s="62"/>
      <c r="V267" s="1"/>
      <c r="W267" s="1"/>
      <c r="X267" s="1"/>
      <c r="Y267" s="1"/>
      <c r="Z267" s="1"/>
      <c r="AA267" s="1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  <c r="AN267" s="180"/>
      <c r="AO267" s="180"/>
      <c r="AP267" s="180"/>
    </row>
    <row r="268" ht="13.5" customHeight="1">
      <c r="A268" s="180"/>
      <c r="B268" s="3">
        <f t="shared" si="6"/>
        <v>265</v>
      </c>
      <c r="C268" s="1" t="s">
        <v>225</v>
      </c>
      <c r="D268" s="57" t="s">
        <v>58</v>
      </c>
      <c r="E268" s="110" t="s">
        <v>139</v>
      </c>
      <c r="F268" s="72" t="s">
        <v>230</v>
      </c>
      <c r="G268" s="57" t="s">
        <v>12</v>
      </c>
      <c r="H268" s="57" t="s">
        <v>239</v>
      </c>
      <c r="I268" s="87"/>
      <c r="J268" s="167">
        <v>46597.0</v>
      </c>
      <c r="K268" s="168">
        <v>46233.0</v>
      </c>
      <c r="L268" s="168">
        <v>46237.0</v>
      </c>
      <c r="M268" s="87">
        <v>0.1698</v>
      </c>
      <c r="N268" s="171">
        <f t="shared" si="54"/>
        <v>83.25260274</v>
      </c>
      <c r="O268" s="63">
        <v>3.0E9</v>
      </c>
      <c r="P268" s="15">
        <f t="shared" si="36"/>
        <v>2497578082</v>
      </c>
      <c r="Q268" s="15">
        <f t="shared" si="23"/>
        <v>2497578082</v>
      </c>
      <c r="R268" s="15" t="str">
        <f t="shared" si="51"/>
        <v/>
      </c>
      <c r="S268" s="15"/>
      <c r="T268" s="62"/>
      <c r="U268" s="62"/>
      <c r="V268" s="1"/>
      <c r="W268" s="1"/>
      <c r="X268" s="1"/>
      <c r="Y268" s="1"/>
      <c r="Z268" s="1"/>
      <c r="AA268" s="1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  <c r="AN268" s="180"/>
      <c r="AO268" s="180"/>
      <c r="AP268" s="180"/>
    </row>
    <row r="269" ht="13.5" customHeight="1">
      <c r="A269" s="180"/>
      <c r="B269" s="3">
        <f t="shared" si="6"/>
        <v>266</v>
      </c>
      <c r="C269" s="1" t="s">
        <v>225</v>
      </c>
      <c r="D269" s="57" t="s">
        <v>58</v>
      </c>
      <c r="E269" s="110" t="s">
        <v>139</v>
      </c>
      <c r="F269" s="72" t="s">
        <v>230</v>
      </c>
      <c r="G269" s="57" t="s">
        <v>12</v>
      </c>
      <c r="H269" s="57" t="s">
        <v>240</v>
      </c>
      <c r="I269" s="87"/>
      <c r="J269" s="167">
        <v>46611.0</v>
      </c>
      <c r="K269" s="168">
        <v>46247.0</v>
      </c>
      <c r="L269" s="168">
        <v>46248.0</v>
      </c>
      <c r="M269" s="87">
        <v>0.173</v>
      </c>
      <c r="N269" s="171">
        <f t="shared" si="54"/>
        <v>82.79479452</v>
      </c>
      <c r="O269" s="63">
        <v>2.0E9</v>
      </c>
      <c r="P269" s="15">
        <f t="shared" si="36"/>
        <v>1655895890</v>
      </c>
      <c r="Q269" s="15">
        <f t="shared" si="23"/>
        <v>1655895890</v>
      </c>
      <c r="R269" s="15" t="str">
        <f t="shared" si="51"/>
        <v/>
      </c>
      <c r="S269" s="15"/>
      <c r="T269" s="62"/>
      <c r="U269" s="62"/>
      <c r="V269" s="1"/>
      <c r="W269" s="1"/>
      <c r="X269" s="1"/>
      <c r="Y269" s="1"/>
      <c r="Z269" s="1"/>
      <c r="AA269" s="1"/>
      <c r="AB269" s="180"/>
      <c r="AC269" s="180"/>
      <c r="AD269" s="180"/>
      <c r="AE269" s="180"/>
      <c r="AF269" s="180"/>
      <c r="AG269" s="180"/>
      <c r="AH269" s="180"/>
      <c r="AI269" s="180"/>
      <c r="AJ269" s="180"/>
      <c r="AK269" s="180"/>
      <c r="AL269" s="180"/>
      <c r="AM269" s="180"/>
      <c r="AN269" s="180"/>
      <c r="AO269" s="180"/>
      <c r="AP269" s="180"/>
    </row>
    <row r="270" ht="13.5" customHeight="1">
      <c r="A270" s="180"/>
      <c r="B270" s="3">
        <f t="shared" si="6"/>
        <v>267</v>
      </c>
      <c r="C270" s="1" t="s">
        <v>225</v>
      </c>
      <c r="D270" s="57" t="s">
        <v>58</v>
      </c>
      <c r="E270" s="110" t="s">
        <v>139</v>
      </c>
      <c r="F270" s="72" t="s">
        <v>230</v>
      </c>
      <c r="G270" s="57" t="s">
        <v>12</v>
      </c>
      <c r="H270" s="57" t="s">
        <v>240</v>
      </c>
      <c r="I270" s="87"/>
      <c r="J270" s="167">
        <v>46611.0</v>
      </c>
      <c r="K270" s="168">
        <v>46247.0</v>
      </c>
      <c r="L270" s="168">
        <v>46248.0</v>
      </c>
      <c r="M270" s="87">
        <v>0.173</v>
      </c>
      <c r="N270" s="171">
        <f t="shared" si="54"/>
        <v>82.79479452</v>
      </c>
      <c r="O270" s="63">
        <v>1.0E9</v>
      </c>
      <c r="P270" s="15">
        <f t="shared" si="36"/>
        <v>827947945.2</v>
      </c>
      <c r="Q270" s="15">
        <f t="shared" si="23"/>
        <v>827947945.2</v>
      </c>
      <c r="R270" s="15" t="str">
        <f t="shared" si="51"/>
        <v/>
      </c>
      <c r="S270" s="15"/>
      <c r="T270" s="62"/>
      <c r="U270" s="62"/>
      <c r="V270" s="1"/>
      <c r="W270" s="1"/>
      <c r="X270" s="1"/>
      <c r="Y270" s="1"/>
      <c r="Z270" s="1"/>
      <c r="AA270" s="1"/>
      <c r="AB270" s="180"/>
      <c r="AC270" s="180"/>
      <c r="AD270" s="180"/>
      <c r="AE270" s="180"/>
      <c r="AF270" s="180"/>
      <c r="AG270" s="180"/>
      <c r="AH270" s="180"/>
      <c r="AI270" s="180"/>
      <c r="AJ270" s="180"/>
      <c r="AK270" s="180"/>
      <c r="AL270" s="180"/>
      <c r="AM270" s="180"/>
      <c r="AN270" s="180"/>
      <c r="AO270" s="180"/>
      <c r="AP270" s="180"/>
    </row>
    <row r="271" ht="13.5" customHeight="1">
      <c r="A271" s="180"/>
      <c r="B271" s="3">
        <f t="shared" si="6"/>
        <v>268</v>
      </c>
      <c r="C271" s="1" t="s">
        <v>233</v>
      </c>
      <c r="D271" s="57" t="s">
        <v>58</v>
      </c>
      <c r="E271" s="110" t="s">
        <v>139</v>
      </c>
      <c r="F271" s="72" t="s">
        <v>230</v>
      </c>
      <c r="G271" s="57" t="s">
        <v>12</v>
      </c>
      <c r="H271" s="57" t="s">
        <v>240</v>
      </c>
      <c r="I271" s="87"/>
      <c r="J271" s="167">
        <v>46611.0</v>
      </c>
      <c r="K271" s="168">
        <v>46247.0</v>
      </c>
      <c r="L271" s="168">
        <v>46248.0</v>
      </c>
      <c r="M271" s="87">
        <v>0.173</v>
      </c>
      <c r="N271" s="171">
        <f t="shared" si="54"/>
        <v>82.79479452</v>
      </c>
      <c r="O271" s="63">
        <v>1.0E9</v>
      </c>
      <c r="P271" s="15">
        <f t="shared" si="36"/>
        <v>827947945.2</v>
      </c>
      <c r="Q271" s="15">
        <f t="shared" si="23"/>
        <v>827947945.2</v>
      </c>
      <c r="R271" s="15" t="str">
        <f t="shared" si="51"/>
        <v/>
      </c>
      <c r="S271" s="15"/>
      <c r="T271" s="62"/>
      <c r="U271" s="62"/>
      <c r="V271" s="1"/>
      <c r="W271" s="1"/>
      <c r="X271" s="1"/>
      <c r="Y271" s="1"/>
      <c r="Z271" s="1"/>
      <c r="AA271" s="1"/>
      <c r="AB271" s="180"/>
      <c r="AC271" s="180"/>
      <c r="AD271" s="180"/>
      <c r="AE271" s="180"/>
      <c r="AF271" s="180"/>
      <c r="AG271" s="180"/>
      <c r="AH271" s="180"/>
      <c r="AI271" s="180"/>
      <c r="AJ271" s="180"/>
      <c r="AK271" s="180"/>
      <c r="AL271" s="180"/>
      <c r="AM271" s="180"/>
      <c r="AN271" s="180"/>
      <c r="AO271" s="180"/>
      <c r="AP271" s="180"/>
    </row>
    <row r="272" ht="13.5" customHeight="1">
      <c r="A272" s="180"/>
      <c r="B272" s="3">
        <f t="shared" si="6"/>
        <v>269</v>
      </c>
      <c r="C272" s="1" t="s">
        <v>111</v>
      </c>
      <c r="D272" s="57" t="s">
        <v>58</v>
      </c>
      <c r="E272" s="110" t="s">
        <v>139</v>
      </c>
      <c r="F272" s="72" t="s">
        <v>230</v>
      </c>
      <c r="G272" s="57" t="s">
        <v>12</v>
      </c>
      <c r="H272" s="57" t="s">
        <v>240</v>
      </c>
      <c r="I272" s="87"/>
      <c r="J272" s="167">
        <v>46611.0</v>
      </c>
      <c r="K272" s="168">
        <v>46247.0</v>
      </c>
      <c r="L272" s="168">
        <v>46251.0</v>
      </c>
      <c r="M272" s="87">
        <v>0.173</v>
      </c>
      <c r="N272" s="171">
        <f t="shared" si="54"/>
        <v>82.9369863</v>
      </c>
      <c r="O272" s="63">
        <v>2.0E9</v>
      </c>
      <c r="P272" s="15">
        <f t="shared" si="36"/>
        <v>1658739726</v>
      </c>
      <c r="Q272" s="15">
        <f t="shared" si="23"/>
        <v>1658739726</v>
      </c>
      <c r="R272" s="15" t="str">
        <f t="shared" si="51"/>
        <v/>
      </c>
      <c r="S272" s="15"/>
      <c r="T272" s="62"/>
      <c r="U272" s="62"/>
      <c r="V272" s="1"/>
      <c r="W272" s="1"/>
      <c r="X272" s="1"/>
      <c r="Y272" s="1"/>
      <c r="Z272" s="1"/>
      <c r="AA272" s="1"/>
      <c r="AB272" s="180"/>
      <c r="AC272" s="180"/>
      <c r="AD272" s="180"/>
      <c r="AE272" s="180"/>
      <c r="AF272" s="180"/>
      <c r="AG272" s="180"/>
      <c r="AH272" s="180"/>
      <c r="AI272" s="180"/>
      <c r="AJ272" s="180"/>
      <c r="AK272" s="180"/>
      <c r="AL272" s="180"/>
      <c r="AM272" s="180"/>
      <c r="AN272" s="180"/>
      <c r="AO272" s="180"/>
      <c r="AP272" s="180"/>
    </row>
    <row r="273" ht="13.5" customHeight="1">
      <c r="A273" s="180"/>
      <c r="B273" s="3">
        <f t="shared" si="6"/>
        <v>270</v>
      </c>
      <c r="C273" s="72" t="s">
        <v>83</v>
      </c>
      <c r="D273" s="57" t="s">
        <v>58</v>
      </c>
      <c r="E273" s="110" t="s">
        <v>139</v>
      </c>
      <c r="F273" s="72" t="s">
        <v>230</v>
      </c>
      <c r="G273" s="57" t="s">
        <v>12</v>
      </c>
      <c r="H273" s="57" t="s">
        <v>237</v>
      </c>
      <c r="I273" s="87">
        <v>0.1545</v>
      </c>
      <c r="J273" s="167">
        <v>50577.0</v>
      </c>
      <c r="K273" s="168">
        <v>46251.0</v>
      </c>
      <c r="L273" s="168">
        <v>46253.0</v>
      </c>
      <c r="M273" s="87">
        <f>IFERROR(YIELD(L273,J273,I273,N273,100,2,1),"")</f>
        <v>0.1778999999</v>
      </c>
      <c r="N273" s="63">
        <v>88.5239756343</v>
      </c>
      <c r="O273" s="63">
        <v>2.0E9</v>
      </c>
      <c r="P273" s="15">
        <f t="shared" si="36"/>
        <v>1820290988</v>
      </c>
      <c r="Q273" s="15">
        <f t="shared" si="23"/>
        <v>1770479513</v>
      </c>
      <c r="R273" s="15">
        <f t="shared" si="51"/>
        <v>49811475.41</v>
      </c>
      <c r="S273" s="15">
        <f>(P273/O273)*100</f>
        <v>91.0145494</v>
      </c>
      <c r="T273" s="15">
        <f>(Q273/O273)*100</f>
        <v>88.52397563</v>
      </c>
      <c r="U273" s="62"/>
      <c r="V273" s="1"/>
      <c r="W273" s="1"/>
      <c r="X273" s="1"/>
      <c r="Y273" s="1"/>
      <c r="Z273" s="1"/>
      <c r="AA273" s="1"/>
      <c r="AB273" s="180"/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  <c r="AN273" s="180"/>
      <c r="AO273" s="180"/>
      <c r="AP273" s="180"/>
    </row>
    <row r="274" ht="13.5" customHeight="1">
      <c r="A274" s="180"/>
      <c r="B274" s="3">
        <f t="shared" si="6"/>
        <v>271</v>
      </c>
      <c r="C274" s="1" t="s">
        <v>235</v>
      </c>
      <c r="D274" s="57" t="s">
        <v>58</v>
      </c>
      <c r="E274" s="110" t="s">
        <v>139</v>
      </c>
      <c r="F274" s="72" t="s">
        <v>230</v>
      </c>
      <c r="G274" s="57" t="s">
        <v>12</v>
      </c>
      <c r="H274" s="57" t="s">
        <v>240</v>
      </c>
      <c r="I274" s="87"/>
      <c r="J274" s="167">
        <v>46611.0</v>
      </c>
      <c r="K274" s="168">
        <v>46253.0</v>
      </c>
      <c r="L274" s="168">
        <v>46254.0</v>
      </c>
      <c r="M274" s="87">
        <v>0.1716</v>
      </c>
      <c r="N274" s="171">
        <f t="shared" ref="N274:N277" si="55">PRICEDISC(L274,J274,M274,100,1)</f>
        <v>83.21610959</v>
      </c>
      <c r="O274" s="63">
        <v>1.0E9</v>
      </c>
      <c r="P274" s="15">
        <f t="shared" si="36"/>
        <v>832161095.9</v>
      </c>
      <c r="Q274" s="15">
        <f t="shared" si="23"/>
        <v>832161095.9</v>
      </c>
      <c r="R274" s="15" t="str">
        <f t="shared" si="51"/>
        <v/>
      </c>
      <c r="S274" s="15"/>
      <c r="T274" s="62"/>
      <c r="U274" s="62"/>
      <c r="V274" s="1"/>
      <c r="W274" s="1"/>
      <c r="X274" s="1"/>
      <c r="Y274" s="1"/>
      <c r="Z274" s="1"/>
      <c r="AA274" s="1"/>
      <c r="AB274" s="180"/>
      <c r="AC274" s="180"/>
      <c r="AD274" s="180"/>
      <c r="AE274" s="180"/>
      <c r="AF274" s="180"/>
      <c r="AG274" s="180"/>
      <c r="AH274" s="180"/>
      <c r="AI274" s="180"/>
      <c r="AJ274" s="180"/>
      <c r="AK274" s="180"/>
      <c r="AL274" s="180"/>
      <c r="AM274" s="180"/>
      <c r="AN274" s="180"/>
      <c r="AO274" s="180"/>
      <c r="AP274" s="180"/>
    </row>
    <row r="275" ht="13.5" customHeight="1">
      <c r="A275" s="180"/>
      <c r="B275" s="3">
        <f t="shared" si="6"/>
        <v>272</v>
      </c>
      <c r="C275" s="1" t="s">
        <v>225</v>
      </c>
      <c r="D275" s="57" t="s">
        <v>58</v>
      </c>
      <c r="E275" s="110" t="s">
        <v>139</v>
      </c>
      <c r="F275" s="72" t="s">
        <v>230</v>
      </c>
      <c r="G275" s="57" t="s">
        <v>12</v>
      </c>
      <c r="H275" s="57" t="s">
        <v>240</v>
      </c>
      <c r="I275" s="87"/>
      <c r="J275" s="167">
        <v>46611.0</v>
      </c>
      <c r="K275" s="168">
        <v>46253.0</v>
      </c>
      <c r="L275" s="168">
        <v>46254.0</v>
      </c>
      <c r="M275" s="87">
        <v>0.1718</v>
      </c>
      <c r="N275" s="171">
        <f t="shared" si="55"/>
        <v>83.19654795</v>
      </c>
      <c r="O275" s="63">
        <v>1.0E9</v>
      </c>
      <c r="P275" s="15">
        <f t="shared" si="36"/>
        <v>831965479.5</v>
      </c>
      <c r="Q275" s="15">
        <f t="shared" si="23"/>
        <v>831965479.5</v>
      </c>
      <c r="R275" s="15" t="str">
        <f t="shared" si="51"/>
        <v/>
      </c>
      <c r="S275" s="15"/>
      <c r="T275" s="62"/>
      <c r="U275" s="62"/>
      <c r="V275" s="1"/>
      <c r="W275" s="1"/>
      <c r="X275" s="1"/>
      <c r="Y275" s="1"/>
      <c r="Z275" s="1"/>
      <c r="AA275" s="1"/>
      <c r="AB275" s="180"/>
      <c r="AC275" s="180"/>
      <c r="AD275" s="180"/>
      <c r="AE275" s="180"/>
      <c r="AF275" s="180"/>
      <c r="AG275" s="180"/>
      <c r="AH275" s="180"/>
      <c r="AI275" s="180"/>
      <c r="AJ275" s="180"/>
      <c r="AK275" s="180"/>
      <c r="AL275" s="180"/>
      <c r="AM275" s="180"/>
      <c r="AN275" s="180"/>
      <c r="AO275" s="180"/>
      <c r="AP275" s="180"/>
    </row>
    <row r="276" ht="13.5" customHeight="1">
      <c r="A276" s="180"/>
      <c r="B276" s="3">
        <f t="shared" si="6"/>
        <v>273</v>
      </c>
      <c r="C276" s="1" t="s">
        <v>225</v>
      </c>
      <c r="D276" s="57" t="s">
        <v>58</v>
      </c>
      <c r="E276" s="110" t="s">
        <v>139</v>
      </c>
      <c r="F276" s="72" t="s">
        <v>230</v>
      </c>
      <c r="G276" s="57" t="s">
        <v>12</v>
      </c>
      <c r="H276" s="57" t="s">
        <v>240</v>
      </c>
      <c r="I276" s="87"/>
      <c r="J276" s="167">
        <v>46611.0</v>
      </c>
      <c r="K276" s="168">
        <v>46253.0</v>
      </c>
      <c r="L276" s="168">
        <v>46255.0</v>
      </c>
      <c r="M276" s="87">
        <v>0.1718</v>
      </c>
      <c r="N276" s="171">
        <f t="shared" si="55"/>
        <v>83.24361644</v>
      </c>
      <c r="O276" s="63">
        <v>1.0E9</v>
      </c>
      <c r="P276" s="15">
        <f t="shared" si="36"/>
        <v>832436164.4</v>
      </c>
      <c r="Q276" s="15">
        <f t="shared" si="23"/>
        <v>832436164.4</v>
      </c>
      <c r="R276" s="15" t="str">
        <f t="shared" si="51"/>
        <v/>
      </c>
      <c r="S276" s="15"/>
      <c r="T276" s="62"/>
      <c r="U276" s="62"/>
      <c r="V276" s="1"/>
      <c r="W276" s="1"/>
      <c r="X276" s="1"/>
      <c r="Y276" s="1"/>
      <c r="Z276" s="1"/>
      <c r="AA276" s="1"/>
      <c r="AB276" s="180"/>
      <c r="AC276" s="180"/>
      <c r="AD276" s="180"/>
      <c r="AE276" s="180"/>
      <c r="AF276" s="180"/>
      <c r="AG276" s="180"/>
      <c r="AH276" s="180"/>
      <c r="AI276" s="180"/>
      <c r="AJ276" s="180"/>
      <c r="AK276" s="180"/>
      <c r="AL276" s="180"/>
      <c r="AM276" s="180"/>
      <c r="AN276" s="180"/>
      <c r="AO276" s="180"/>
      <c r="AP276" s="180"/>
    </row>
    <row r="277" ht="13.5" customHeight="1">
      <c r="A277" s="180"/>
      <c r="B277" s="3">
        <f t="shared" si="6"/>
        <v>274</v>
      </c>
      <c r="C277" s="1" t="s">
        <v>225</v>
      </c>
      <c r="D277" s="57" t="s">
        <v>58</v>
      </c>
      <c r="E277" s="110" t="s">
        <v>139</v>
      </c>
      <c r="F277" s="72" t="s">
        <v>230</v>
      </c>
      <c r="G277" s="57" t="s">
        <v>12</v>
      </c>
      <c r="H277" s="57" t="s">
        <v>240</v>
      </c>
      <c r="I277" s="87"/>
      <c r="J277" s="167">
        <v>46611.0</v>
      </c>
      <c r="K277" s="168">
        <v>46253.0</v>
      </c>
      <c r="L277" s="168">
        <v>46255.0</v>
      </c>
      <c r="M277" s="87">
        <v>0.1717</v>
      </c>
      <c r="N277" s="171">
        <f t="shared" si="55"/>
        <v>83.25336986</v>
      </c>
      <c r="O277" s="63">
        <v>1.5E9</v>
      </c>
      <c r="P277" s="15">
        <f t="shared" si="36"/>
        <v>1248800548</v>
      </c>
      <c r="Q277" s="15">
        <f t="shared" si="23"/>
        <v>1248800548</v>
      </c>
      <c r="R277" s="15" t="str">
        <f t="shared" si="51"/>
        <v/>
      </c>
      <c r="S277" s="15"/>
      <c r="T277" s="62"/>
      <c r="U277" s="62"/>
      <c r="V277" s="1"/>
      <c r="W277" s="1"/>
      <c r="X277" s="1"/>
      <c r="Y277" s="1"/>
      <c r="Z277" s="1"/>
      <c r="AA277" s="1"/>
      <c r="AB277" s="180"/>
      <c r="AC277" s="180"/>
      <c r="AD277" s="180"/>
      <c r="AE277" s="180"/>
      <c r="AF277" s="180"/>
      <c r="AG277" s="180"/>
      <c r="AH277" s="180"/>
      <c r="AI277" s="180"/>
      <c r="AJ277" s="180"/>
      <c r="AK277" s="180"/>
      <c r="AL277" s="180"/>
      <c r="AM277" s="180"/>
      <c r="AN277" s="180"/>
      <c r="AO277" s="180"/>
      <c r="AP277" s="180"/>
    </row>
    <row r="278" ht="13.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3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3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62"/>
      <c r="M280" s="1"/>
      <c r="N280" s="23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30"/>
      <c r="O281" s="1"/>
      <c r="P281" s="15">
        <v>3.74536328767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3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3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62">
        <v>0.17789999990641825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3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3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3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3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3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3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3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3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3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3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3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3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3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3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30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3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3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3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3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3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3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3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3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3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3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3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3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3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3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3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3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3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3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3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3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3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3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3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3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3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3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3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3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3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3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3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3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3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3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3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3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3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3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3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3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3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3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3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3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3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3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3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3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3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3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3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3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3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3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3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3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3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3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3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3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3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3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3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3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3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3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3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3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3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3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3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3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3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3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3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3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3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3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3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3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3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3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3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3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3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3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3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3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3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3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3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3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3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3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3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3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3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3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3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3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3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3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3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3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3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3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3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3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3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3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3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3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3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3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3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3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3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3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3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3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3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3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3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3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3.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3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3.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3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3.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3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3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3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3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A430" s="231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3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1"/>
      <c r="AC430" s="231"/>
      <c r="AD430" s="231"/>
      <c r="AE430" s="231"/>
      <c r="AF430" s="231"/>
      <c r="AG430" s="231"/>
      <c r="AH430" s="231"/>
      <c r="AI430" s="231"/>
      <c r="AJ430" s="231"/>
      <c r="AK430" s="231"/>
      <c r="AL430" s="231"/>
      <c r="AM430" s="231"/>
      <c r="AN430" s="231"/>
      <c r="AO430" s="231"/>
      <c r="AP430" s="231"/>
    </row>
    <row r="431" ht="13.5" customHeight="1">
      <c r="A431" s="231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3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1"/>
      <c r="AC431" s="231"/>
      <c r="AD431" s="231"/>
      <c r="AE431" s="231"/>
      <c r="AF431" s="231"/>
      <c r="AG431" s="231"/>
      <c r="AH431" s="231"/>
      <c r="AI431" s="231"/>
      <c r="AJ431" s="231"/>
      <c r="AK431" s="231"/>
      <c r="AL431" s="231"/>
      <c r="AM431" s="231"/>
      <c r="AN431" s="231"/>
      <c r="AO431" s="231"/>
      <c r="AP431" s="231"/>
    </row>
    <row r="432" ht="13.5" customHeight="1">
      <c r="A432" s="231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3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1"/>
      <c r="AC432" s="231"/>
      <c r="AD432" s="231"/>
      <c r="AE432" s="231"/>
      <c r="AF432" s="231"/>
      <c r="AG432" s="231"/>
      <c r="AH432" s="231"/>
      <c r="AI432" s="231"/>
      <c r="AJ432" s="231"/>
      <c r="AK432" s="231"/>
      <c r="AL432" s="231"/>
      <c r="AM432" s="231"/>
      <c r="AN432" s="231"/>
      <c r="AO432" s="231"/>
      <c r="AP432" s="231"/>
    </row>
    <row r="433" ht="13.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3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3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3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3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3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6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3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3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3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3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3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3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3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3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3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3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3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3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3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3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3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3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3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3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3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3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3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3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3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3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3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3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3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3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3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3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3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3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3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3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3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3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3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3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3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3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3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3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3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3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3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3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3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3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3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3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3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3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3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3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3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3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3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3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3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3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3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3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3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3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3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3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3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3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3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3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3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3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3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3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3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3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3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3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3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3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3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3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3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3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3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3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3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3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3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3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3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3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3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3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3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3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3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3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3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3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3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3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3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3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3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3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3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3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3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3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3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3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3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3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3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3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3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3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3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3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3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3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3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3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3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3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3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3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3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3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3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3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3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3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3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3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3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3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3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3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3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3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3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3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3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3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3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3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3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3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3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3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30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3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3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3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3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3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3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30"/>
      <c r="O598" s="1"/>
      <c r="P598" s="234">
        <v>1715979.17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3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3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3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3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3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3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3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3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3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3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3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3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3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3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3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3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3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3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3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3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3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3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3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3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3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3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3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3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3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3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3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3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3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3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3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3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3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3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3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3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3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3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3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3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3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3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3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3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3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3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3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3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3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3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3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3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3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3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3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3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3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3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3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3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3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3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3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3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3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3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3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3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3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3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3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3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3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3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3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3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3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3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3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3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3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3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3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3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3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3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3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3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3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3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3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3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3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3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3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3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3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3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3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3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3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3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3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3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3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3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3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3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3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3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3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3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3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3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3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3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3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3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3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3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3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3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3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3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3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3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3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3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3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3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3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3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3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3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3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3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3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3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3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3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3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3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3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3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3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3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3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3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3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3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3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3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3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3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3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3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3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3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3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3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3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3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3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3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3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3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3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3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3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3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3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3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3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3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3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3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3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3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3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3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3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3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3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3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3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3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3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3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3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3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3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3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3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3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3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3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3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3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3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3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3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3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3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3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3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3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3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3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3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3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3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3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3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3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3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3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3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3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3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3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3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3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3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3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3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3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3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3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3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3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3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3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3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3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3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3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3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3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3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3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3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3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3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3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3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3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3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3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3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3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3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3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3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3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3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3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3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3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3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3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3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3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3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3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3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3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3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3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3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3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3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3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3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3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3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3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3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3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3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3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3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3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3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3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3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3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3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3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3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3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3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3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3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3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3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3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3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3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3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3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3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3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3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3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3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3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3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3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3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3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3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3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3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3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3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3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3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3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3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3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3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3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3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3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3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3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3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3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3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3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3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3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3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3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3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3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3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3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3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3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3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3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3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3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3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3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3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3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3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3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3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3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3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30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30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30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30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30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30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30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30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30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30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30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30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30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30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30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30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30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30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30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30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30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30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30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30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30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1000">
      <c r="R1000" s="248"/>
    </row>
  </sheetData>
  <autoFilter ref="$B$3:$T$224"/>
  <dataValidations>
    <dataValidation type="list" allowBlank="1" showErrorMessage="1" sqref="C1:C3 C22 C24:C53 C58:C62 C78 C82 C87:C88 C100:C101 C103 C115 C117 C288:C981">
      <formula1>'Prev. Dashboard'!C$20:C$43</formula1>
    </dataValidation>
    <dataValidation type="list" allowBlank="1" showErrorMessage="1" sqref="D1:D981">
      <formula1>"Stanbic,Rencap,Mauritius"</formula1>
    </dataValidation>
    <dataValidation type="list" allowBlank="1" showErrorMessage="1" sqref="C77">
      <formula1>'Prev. Dashboard'!C$20:C$58</formula1>
    </dataValidation>
    <dataValidation type="list" allowBlank="1" showErrorMessage="1" sqref="F1:F64 F196 F200:F227 F251:F254 F259:F981">
      <formula1>"Kingsley,Kamil,Rasheed,Gimba,Wahab"</formula1>
    </dataValidation>
    <dataValidation type="list" allowBlank="1" showErrorMessage="1" sqref="F69:F76 F117:F130 F228:F250 F255:F258">
      <formula1>"Kingsley,Kamil,Rasheed,Victor,William"</formula1>
    </dataValidation>
    <dataValidation type="list" allowBlank="1" showErrorMessage="1" sqref="G1:G981">
      <formula1>"Sell,Buy"</formula1>
    </dataValidation>
    <dataValidation type="list" allowBlank="1" showErrorMessage="1" sqref="F77:F110 F116 F150:F157 F162:F166">
      <formula1>"Kingsley,Kamil,Rasheed,Victor,Oise"</formula1>
    </dataValidation>
    <dataValidation type="list" allowBlank="1" showErrorMessage="1" sqref="C65:C76 C79:C81 C83:C86 C89:C99 C102 C104:C114 C116 C118:C130 C140">
      <formula1>'Prev. Dashboard'!C$20:C$455</formula1>
    </dataValidation>
    <dataValidation type="list" allowBlank="1" showErrorMessage="1" sqref="F65:F68">
      <formula1>"Kingsley,Kamil,Rasheed,Victor"</formula1>
    </dataValidation>
    <dataValidation type="list" allowBlank="1" showErrorMessage="1" sqref="F144:F149 F158:F161 F167:F179 F184:F192 F194 F198:F199">
      <formula1>"Kingsley,Kamil,Rasheed,Dapo,Victor,Fareed"</formula1>
    </dataValidation>
    <dataValidation type="list" allowBlank="1" showErrorMessage="1" sqref="C4:C14 C63:C64">
      <formula1>'Prev. Dashboard'!C$20:C$47</formula1>
    </dataValidation>
    <dataValidation type="list" allowBlank="1" showErrorMessage="1" sqref="E4:E21 E26:E180 E260:E277">
      <formula1>"SMA - Chidi Iwuchukwu,GIF₦,SMA - Consonance,SMA - OneFi,Leverage,SMA - Lion&amp;Lily"</formula1>
    </dataValidation>
    <dataValidation type="list" allowBlank="1" showErrorMessage="1" sqref="C54:C57">
      <formula1>'Prev. Dashboard'!C$20:C$52</formula1>
    </dataValidation>
    <dataValidation type="list" allowBlank="1" showErrorMessage="1" sqref="C131:C139 C141:C287">
      <formula1>'Prev. Dashboard'!C$20:C$79</formula1>
    </dataValidation>
    <dataValidation type="list" allowBlank="1" showErrorMessage="1" sqref="F111:F115">
      <formula1>"Kingsley,Kamil,Rasheed,Victor,Oise,Ife"</formula1>
    </dataValidation>
    <dataValidation type="list" allowBlank="1" showErrorMessage="1" sqref="F180">
      <formula1>"Kingsley,Kamil,Rasheed,Dapo,Victor,Fareed,Femi Adisa"</formula1>
    </dataValidation>
    <dataValidation type="list" allowBlank="1" showErrorMessage="1" sqref="E1:E3 E22:E25 E181:E259 E278:E981">
      <formula1>"SMA - Chidi Iwuchukwu,SADF$,GIF$,SMA - Consonance,SMA - OneFi,Leverage,SMA - Lion&amp;Lily"</formula1>
    </dataValidation>
    <dataValidation type="list" allowBlank="1" showErrorMessage="1" sqref="F131:F143 F181:F183 F193 F195 F197">
      <formula1>"Kingsley,Kamil,Rasheed,Dapo,Victor"</formula1>
    </dataValidation>
    <dataValidation type="list" allowBlank="1" showErrorMessage="1" sqref="V4:V62">
      <formula1>"Settled,Cancelled"</formula1>
    </dataValidation>
    <dataValidation type="list" allowBlank="1" showErrorMessage="1" sqref="C16:C21 C23">
      <formula1>'Prev. Dashboard'!C$20:C$50</formula1>
    </dataValidation>
    <dataValidation type="list" allowBlank="1" showErrorMessage="1" sqref="C15">
      <formula1>'Prev. Dashboard'!C$20:C$49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showGridLines="0"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2" max="2" width="4.43"/>
    <col customWidth="1" min="3" max="3" width="25.71"/>
    <col customWidth="1" min="4" max="4" width="10.0"/>
    <col customWidth="1" min="5" max="5" width="8.86"/>
    <col customWidth="1" min="6" max="6" width="9.71"/>
    <col customWidth="1" min="7" max="7" width="8.43"/>
    <col customWidth="1" min="8" max="8" width="22.0"/>
    <col customWidth="1" min="9" max="9" width="12.43"/>
    <col customWidth="1" min="10" max="10" width="13.43"/>
    <col customWidth="1" min="11" max="11" width="10.86"/>
    <col customWidth="1" min="12" max="12" width="15.43"/>
    <col customWidth="1" min="13" max="13" width="12.14"/>
    <col customWidth="1" min="14" max="14" width="9.57"/>
    <col customWidth="1" min="15" max="15" width="20.71"/>
    <col customWidth="1" min="16" max="16" width="22.29"/>
    <col customWidth="1" min="17" max="19" width="17.71"/>
    <col customWidth="1" min="20" max="20" width="22.29"/>
    <col customWidth="1" min="21" max="21" width="5.14"/>
    <col customWidth="1" min="22" max="22" width="7.0"/>
    <col customWidth="1" min="23" max="23" width="13.57"/>
    <col customWidth="1" min="24" max="27" width="9.14"/>
  </cols>
  <sheetData>
    <row r="1" ht="13.5" customHeight="1">
      <c r="B1" s="41" t="s">
        <v>13</v>
      </c>
      <c r="C1" s="81" t="s">
        <v>16</v>
      </c>
      <c r="D1" s="81" t="s">
        <v>17</v>
      </c>
      <c r="E1" s="81" t="s">
        <v>19</v>
      </c>
      <c r="F1" s="81" t="s">
        <v>11</v>
      </c>
      <c r="G1" s="81" t="s">
        <v>20</v>
      </c>
      <c r="H1" s="81" t="s">
        <v>22</v>
      </c>
      <c r="I1" s="81" t="s">
        <v>24</v>
      </c>
      <c r="J1" s="81" t="s">
        <v>28</v>
      </c>
      <c r="K1" s="81" t="s">
        <v>29</v>
      </c>
      <c r="L1" s="81" t="s">
        <v>30</v>
      </c>
      <c r="M1" s="81" t="s">
        <v>31</v>
      </c>
      <c r="N1" s="81" t="s">
        <v>32</v>
      </c>
      <c r="O1" s="81" t="s">
        <v>33</v>
      </c>
      <c r="P1" s="81" t="s">
        <v>54</v>
      </c>
      <c r="Q1" s="41" t="s">
        <v>55</v>
      </c>
      <c r="R1" s="41" t="s">
        <v>35</v>
      </c>
      <c r="S1" s="41" t="s">
        <v>138</v>
      </c>
      <c r="T1" s="41" t="s">
        <v>54</v>
      </c>
      <c r="U1" s="41"/>
      <c r="V1" s="41" t="s">
        <v>43</v>
      </c>
      <c r="W1" s="3"/>
      <c r="X1" s="3"/>
      <c r="Y1" s="3"/>
      <c r="Z1" s="3"/>
      <c r="AA1" s="3"/>
    </row>
    <row r="2" ht="13.5" customHeight="1">
      <c r="B2" s="3">
        <v>1.0</v>
      </c>
      <c r="C2" s="3" t="s">
        <v>92</v>
      </c>
      <c r="D2" s="3" t="s">
        <v>58</v>
      </c>
      <c r="E2" s="3" t="s">
        <v>139</v>
      </c>
      <c r="F2" s="3" t="s">
        <v>70</v>
      </c>
      <c r="G2" s="3" t="s">
        <v>12</v>
      </c>
      <c r="H2" s="3" t="s">
        <v>140</v>
      </c>
      <c r="I2" s="48">
        <v>0.125</v>
      </c>
      <c r="J2" s="49">
        <v>46044.0</v>
      </c>
      <c r="K2" s="49">
        <v>44327.0</v>
      </c>
      <c r="L2" s="49">
        <v>44330.0</v>
      </c>
      <c r="M2" s="48">
        <f t="shared" ref="M2:M3" si="1">IFERROR(YIELD(L2,J2,I2,N2,100,2,1),"")</f>
        <v>0.1289945045</v>
      </c>
      <c r="N2" s="54">
        <v>98.58</v>
      </c>
      <c r="O2" s="54">
        <v>1.94E8</v>
      </c>
      <c r="P2" s="84">
        <f t="shared" ref="P2:P108" si="2">IFERROR((O2*N2/100)+ACCRINT(COUPPCD(L2,J2,2,1),COUPNCD(L2,J2,2,1),L2,I2,O2,2,1),O2*N2/100)</f>
        <v>198747962.4</v>
      </c>
      <c r="Q2" s="9">
        <f t="shared" ref="Q2:Q108" si="3">O2*N2/100</f>
        <v>191245200</v>
      </c>
      <c r="R2" s="9">
        <f t="shared" ref="R2:R74" si="4">IFERROR(ACCRINT(COUPPCD(L2,J2,2,1),COUPNCD(L2,J2,2,0),L2,I2,O2,2,1),"")</f>
        <v>7502762.431</v>
      </c>
      <c r="S2" s="9"/>
      <c r="T2" s="9">
        <f t="shared" ref="T2:T65" si="5">IFERROR(Q2+R2,Q2)</f>
        <v>198747962.4</v>
      </c>
      <c r="U2" s="9"/>
      <c r="V2" s="9" t="s">
        <v>143</v>
      </c>
      <c r="W2" s="9"/>
      <c r="X2" s="3"/>
      <c r="Y2" s="9"/>
      <c r="Z2" s="3"/>
      <c r="AA2" s="3"/>
    </row>
    <row r="3" ht="13.5" customHeight="1">
      <c r="B3" s="3">
        <f t="shared" ref="B3:B218" si="6">B2+1</f>
        <v>2</v>
      </c>
      <c r="C3" s="3" t="s">
        <v>92</v>
      </c>
      <c r="D3" s="3" t="s">
        <v>58</v>
      </c>
      <c r="E3" s="3" t="s">
        <v>139</v>
      </c>
      <c r="F3" s="3" t="s">
        <v>70</v>
      </c>
      <c r="G3" s="3" t="s">
        <v>12</v>
      </c>
      <c r="H3" s="3" t="s">
        <v>144</v>
      </c>
      <c r="I3" s="48">
        <v>0.125</v>
      </c>
      <c r="J3" s="49">
        <v>49395.0</v>
      </c>
      <c r="K3" s="49">
        <v>44327.0</v>
      </c>
      <c r="L3" s="49">
        <v>44333.0</v>
      </c>
      <c r="M3" s="48">
        <f t="shared" si="1"/>
        <v>0.1385949543</v>
      </c>
      <c r="N3" s="54">
        <v>91.68</v>
      </c>
      <c r="O3" s="54">
        <v>2.0E8</v>
      </c>
      <c r="P3" s="84">
        <f t="shared" si="2"/>
        <v>186824673.9</v>
      </c>
      <c r="Q3" s="9">
        <f t="shared" si="3"/>
        <v>183360000</v>
      </c>
      <c r="R3" s="9">
        <f t="shared" si="4"/>
        <v>3464673.913</v>
      </c>
      <c r="S3" s="9"/>
      <c r="T3" s="9">
        <f t="shared" si="5"/>
        <v>186824673.9</v>
      </c>
      <c r="U3" s="9"/>
      <c r="V3" s="9" t="s">
        <v>143</v>
      </c>
      <c r="W3" s="9"/>
      <c r="X3" s="3"/>
      <c r="Y3" s="9"/>
      <c r="Z3" s="9"/>
      <c r="AA3" s="3"/>
    </row>
    <row r="4" ht="13.5" customHeight="1">
      <c r="B4" s="3">
        <f t="shared" si="6"/>
        <v>3</v>
      </c>
      <c r="C4" s="3" t="s">
        <v>93</v>
      </c>
      <c r="D4" s="3" t="s">
        <v>58</v>
      </c>
      <c r="E4" s="3" t="s">
        <v>139</v>
      </c>
      <c r="F4" s="3" t="s">
        <v>70</v>
      </c>
      <c r="G4" s="3" t="s">
        <v>12</v>
      </c>
      <c r="H4" s="3" t="s">
        <v>145</v>
      </c>
      <c r="I4" s="48">
        <v>0.098</v>
      </c>
      <c r="J4" s="49">
        <v>53167.0</v>
      </c>
      <c r="K4" s="49">
        <v>44334.0</v>
      </c>
      <c r="L4" s="49">
        <v>44336.0</v>
      </c>
      <c r="M4" s="48">
        <f t="shared" ref="M4:M6" si="7">YIELD(L4,J4,I4,N4,100,2,1)</f>
        <v>0.1399994984</v>
      </c>
      <c r="N4" s="54">
        <v>71.1</v>
      </c>
      <c r="O4" s="54">
        <v>2.0E8</v>
      </c>
      <c r="P4" s="84">
        <f t="shared" si="2"/>
        <v>148480663</v>
      </c>
      <c r="Q4" s="9">
        <f t="shared" si="3"/>
        <v>142200000</v>
      </c>
      <c r="R4" s="9">
        <f t="shared" si="4"/>
        <v>6280662.983</v>
      </c>
      <c r="S4" s="9"/>
      <c r="T4" s="9">
        <f t="shared" si="5"/>
        <v>148480663</v>
      </c>
      <c r="U4" s="9"/>
      <c r="V4" s="9" t="s">
        <v>143</v>
      </c>
      <c r="W4" s="9"/>
      <c r="X4" s="3"/>
      <c r="Y4" s="9"/>
      <c r="Z4" s="3"/>
      <c r="AA4" s="3"/>
    </row>
    <row r="5" ht="13.5" customHeight="1">
      <c r="B5" s="3">
        <f t="shared" si="6"/>
        <v>4</v>
      </c>
      <c r="C5" s="3" t="s">
        <v>92</v>
      </c>
      <c r="D5" s="3" t="s">
        <v>58</v>
      </c>
      <c r="E5" s="3" t="s">
        <v>139</v>
      </c>
      <c r="F5" s="3" t="s">
        <v>70</v>
      </c>
      <c r="G5" s="3" t="s">
        <v>12</v>
      </c>
      <c r="H5" s="3" t="s">
        <v>146</v>
      </c>
      <c r="I5" s="48">
        <v>0.162884</v>
      </c>
      <c r="J5" s="49">
        <v>46463.0</v>
      </c>
      <c r="K5" s="49">
        <v>44337.0</v>
      </c>
      <c r="L5" s="49">
        <v>44341.0</v>
      </c>
      <c r="M5" s="48">
        <f t="shared" si="7"/>
        <v>0.1309941755</v>
      </c>
      <c r="N5" s="54">
        <v>112.64</v>
      </c>
      <c r="O5" s="54">
        <v>1.0E8</v>
      </c>
      <c r="P5" s="84">
        <f t="shared" si="2"/>
        <v>115694075</v>
      </c>
      <c r="Q5" s="9">
        <f t="shared" si="3"/>
        <v>112640000</v>
      </c>
      <c r="R5" s="9">
        <f t="shared" si="4"/>
        <v>3054075</v>
      </c>
      <c r="S5" s="9"/>
      <c r="T5" s="9">
        <f t="shared" si="5"/>
        <v>115694075</v>
      </c>
      <c r="U5" s="9"/>
      <c r="V5" s="9" t="s">
        <v>143</v>
      </c>
      <c r="W5" s="9"/>
      <c r="X5" s="3"/>
      <c r="Y5" s="9"/>
      <c r="Z5" s="3"/>
      <c r="AA5" s="3"/>
    </row>
    <row r="6" ht="13.5" customHeight="1">
      <c r="B6" s="3">
        <f t="shared" si="6"/>
        <v>5</v>
      </c>
      <c r="C6" s="3" t="s">
        <v>93</v>
      </c>
      <c r="D6" s="3" t="s">
        <v>58</v>
      </c>
      <c r="E6" s="3" t="s">
        <v>139</v>
      </c>
      <c r="F6" s="3" t="s">
        <v>70</v>
      </c>
      <c r="G6" s="3" t="s">
        <v>12</v>
      </c>
      <c r="H6" s="3" t="s">
        <v>147</v>
      </c>
      <c r="I6" s="48">
        <v>0.148</v>
      </c>
      <c r="J6" s="49">
        <v>54539.0</v>
      </c>
      <c r="K6" s="49">
        <v>44347.0</v>
      </c>
      <c r="L6" s="49">
        <v>44349.0</v>
      </c>
      <c r="M6" s="48">
        <f t="shared" si="7"/>
        <v>0.1398003476</v>
      </c>
      <c r="N6" s="54">
        <v>105.69</v>
      </c>
      <c r="O6" s="54">
        <v>5.0E8</v>
      </c>
      <c r="P6" s="84">
        <f t="shared" si="2"/>
        <v>535930874.3</v>
      </c>
      <c r="Q6" s="9">
        <f t="shared" si="3"/>
        <v>528450000</v>
      </c>
      <c r="R6" s="9">
        <f t="shared" si="4"/>
        <v>7480874.317</v>
      </c>
      <c r="S6" s="9"/>
      <c r="T6" s="9">
        <f t="shared" si="5"/>
        <v>535930874.3</v>
      </c>
      <c r="U6" s="9"/>
      <c r="V6" s="9" t="s">
        <v>143</v>
      </c>
      <c r="W6" s="9"/>
      <c r="X6" s="3"/>
      <c r="Y6" s="9"/>
      <c r="Z6" s="3"/>
      <c r="AA6" s="3"/>
    </row>
    <row r="7" ht="13.5" customHeight="1">
      <c r="B7" s="3">
        <f t="shared" si="6"/>
        <v>6</v>
      </c>
      <c r="C7" s="3" t="s">
        <v>92</v>
      </c>
      <c r="D7" s="3" t="s">
        <v>58</v>
      </c>
      <c r="E7" s="3" t="s">
        <v>139</v>
      </c>
      <c r="F7" s="3" t="s">
        <v>70</v>
      </c>
      <c r="G7" s="3" t="s">
        <v>12</v>
      </c>
      <c r="H7" s="3" t="s">
        <v>144</v>
      </c>
      <c r="I7" s="48">
        <v>0.125</v>
      </c>
      <c r="J7" s="49">
        <v>49395.0</v>
      </c>
      <c r="K7" s="49">
        <v>44348.0</v>
      </c>
      <c r="L7" s="49">
        <f>K7+2</f>
        <v>44350</v>
      </c>
      <c r="M7" s="48">
        <f t="shared" ref="M7:M9" si="8">IFERROR(YIELD(L7,J7,I7,N7,100,2,1),"")</f>
        <v>0.1381959545</v>
      </c>
      <c r="N7" s="54">
        <v>91.91</v>
      </c>
      <c r="O7" s="54">
        <v>1.0E8</v>
      </c>
      <c r="P7" s="84">
        <f t="shared" si="2"/>
        <v>94219782.61</v>
      </c>
      <c r="Q7" s="9">
        <f t="shared" si="3"/>
        <v>91910000</v>
      </c>
      <c r="R7" s="9">
        <f t="shared" si="4"/>
        <v>2309782.609</v>
      </c>
      <c r="S7" s="9"/>
      <c r="T7" s="9">
        <f t="shared" si="5"/>
        <v>94219782.61</v>
      </c>
      <c r="U7" s="9"/>
      <c r="V7" s="9" t="s">
        <v>143</v>
      </c>
      <c r="W7" s="9"/>
      <c r="X7" s="3"/>
      <c r="Y7" s="9"/>
      <c r="Z7" s="9"/>
      <c r="AA7" s="3"/>
    </row>
    <row r="8" ht="13.5" customHeight="1">
      <c r="B8" s="3">
        <f t="shared" si="6"/>
        <v>7</v>
      </c>
      <c r="C8" s="3" t="s">
        <v>92</v>
      </c>
      <c r="D8" s="3" t="s">
        <v>58</v>
      </c>
      <c r="E8" s="3" t="s">
        <v>139</v>
      </c>
      <c r="F8" s="3" t="s">
        <v>70</v>
      </c>
      <c r="G8" s="3" t="s">
        <v>12</v>
      </c>
      <c r="H8" s="3" t="s">
        <v>150</v>
      </c>
      <c r="I8" s="48">
        <v>0.1298</v>
      </c>
      <c r="J8" s="49">
        <v>54874.0</v>
      </c>
      <c r="K8" s="49">
        <v>44348.0</v>
      </c>
      <c r="L8" s="49">
        <v>44350.0</v>
      </c>
      <c r="M8" s="48">
        <f t="shared" si="8"/>
        <v>0.139194229</v>
      </c>
      <c r="N8" s="54">
        <v>93.34</v>
      </c>
      <c r="O8" s="54">
        <v>3.0E8</v>
      </c>
      <c r="P8" s="84">
        <f t="shared" si="2"/>
        <v>287215434.8</v>
      </c>
      <c r="Q8" s="9">
        <f t="shared" si="3"/>
        <v>280020000</v>
      </c>
      <c r="R8" s="9">
        <f t="shared" si="4"/>
        <v>7195434.783</v>
      </c>
      <c r="S8" s="9"/>
      <c r="T8" s="9">
        <f t="shared" si="5"/>
        <v>287215434.8</v>
      </c>
      <c r="U8" s="9"/>
      <c r="V8" s="9" t="s">
        <v>143</v>
      </c>
      <c r="W8" s="9"/>
      <c r="X8" s="3"/>
      <c r="Y8" s="9"/>
      <c r="Z8" s="9"/>
      <c r="AA8" s="3"/>
    </row>
    <row r="9" ht="13.5" customHeight="1">
      <c r="B9" s="3">
        <f t="shared" si="6"/>
        <v>8</v>
      </c>
      <c r="C9" s="3" t="s">
        <v>92</v>
      </c>
      <c r="D9" s="3" t="s">
        <v>58</v>
      </c>
      <c r="E9" s="3" t="s">
        <v>139</v>
      </c>
      <c r="F9" s="3" t="s">
        <v>70</v>
      </c>
      <c r="G9" s="3" t="s">
        <v>12</v>
      </c>
      <c r="H9" s="3" t="s">
        <v>150</v>
      </c>
      <c r="I9" s="48">
        <v>0.1298</v>
      </c>
      <c r="J9" s="49">
        <v>54874.0</v>
      </c>
      <c r="K9" s="49">
        <v>44348.0</v>
      </c>
      <c r="L9" s="49">
        <v>44350.0</v>
      </c>
      <c r="M9" s="48">
        <f t="shared" si="8"/>
        <v>0.139194229</v>
      </c>
      <c r="N9" s="54">
        <v>93.34</v>
      </c>
      <c r="O9" s="54">
        <v>2.0E8</v>
      </c>
      <c r="P9" s="84">
        <f t="shared" si="2"/>
        <v>191476956.5</v>
      </c>
      <c r="Q9" s="9">
        <f t="shared" si="3"/>
        <v>186680000</v>
      </c>
      <c r="R9" s="9">
        <f t="shared" si="4"/>
        <v>4796956.522</v>
      </c>
      <c r="S9" s="9"/>
      <c r="T9" s="9">
        <f t="shared" si="5"/>
        <v>191476956.5</v>
      </c>
      <c r="U9" s="9"/>
      <c r="V9" s="9" t="s">
        <v>143</v>
      </c>
      <c r="W9" s="9"/>
      <c r="X9" s="3"/>
      <c r="Y9" s="9"/>
      <c r="Z9" s="9"/>
      <c r="AA9" s="3"/>
    </row>
    <row r="10" ht="13.5" customHeight="1">
      <c r="B10" s="3">
        <f t="shared" si="6"/>
        <v>9</v>
      </c>
      <c r="C10" s="3" t="s">
        <v>93</v>
      </c>
      <c r="D10" s="3" t="s">
        <v>58</v>
      </c>
      <c r="E10" s="3" t="s">
        <v>139</v>
      </c>
      <c r="F10" s="3" t="s">
        <v>70</v>
      </c>
      <c r="G10" s="3" t="s">
        <v>12</v>
      </c>
      <c r="H10" s="3" t="s">
        <v>147</v>
      </c>
      <c r="I10" s="48">
        <v>0.148</v>
      </c>
      <c r="J10" s="49">
        <v>54539.0</v>
      </c>
      <c r="K10" s="49">
        <v>44344.0</v>
      </c>
      <c r="L10" s="49">
        <v>44351.0</v>
      </c>
      <c r="M10" s="48">
        <f t="shared" ref="M10:M11" si="9">YIELD(L10,J10,I10,N10,100,2,1)</f>
        <v>0.140302018</v>
      </c>
      <c r="N10" s="54">
        <v>105.32</v>
      </c>
      <c r="O10" s="54">
        <v>5.0E8</v>
      </c>
      <c r="P10" s="84">
        <f t="shared" si="2"/>
        <v>534485245.9</v>
      </c>
      <c r="Q10" s="9">
        <f t="shared" si="3"/>
        <v>526600000</v>
      </c>
      <c r="R10" s="9">
        <f t="shared" si="4"/>
        <v>7885245.902</v>
      </c>
      <c r="S10" s="9"/>
      <c r="T10" s="9">
        <f t="shared" si="5"/>
        <v>534485245.9</v>
      </c>
      <c r="U10" s="9"/>
      <c r="V10" s="9" t="s">
        <v>143</v>
      </c>
      <c r="W10" s="9"/>
      <c r="X10" s="3"/>
      <c r="Y10" s="9"/>
      <c r="Z10" s="9"/>
      <c r="AA10" s="3"/>
    </row>
    <row r="11" ht="13.5" customHeight="1">
      <c r="B11" s="3">
        <f t="shared" si="6"/>
        <v>10</v>
      </c>
      <c r="C11" s="3" t="s">
        <v>93</v>
      </c>
      <c r="D11" s="3" t="s">
        <v>58</v>
      </c>
      <c r="E11" s="3" t="s">
        <v>139</v>
      </c>
      <c r="F11" s="3" t="s">
        <v>70</v>
      </c>
      <c r="G11" s="3" t="s">
        <v>12</v>
      </c>
      <c r="H11" s="3" t="s">
        <v>147</v>
      </c>
      <c r="I11" s="48">
        <v>0.148</v>
      </c>
      <c r="J11" s="49">
        <v>54539.0</v>
      </c>
      <c r="K11" s="49">
        <v>44347.0</v>
      </c>
      <c r="L11" s="49">
        <v>44351.0</v>
      </c>
      <c r="M11" s="48">
        <f t="shared" si="9"/>
        <v>0.139798044</v>
      </c>
      <c r="N11" s="54">
        <v>105.69</v>
      </c>
      <c r="O11" s="54">
        <v>3.0E8</v>
      </c>
      <c r="P11" s="84">
        <f t="shared" si="2"/>
        <v>321801147.5</v>
      </c>
      <c r="Q11" s="9">
        <f t="shared" si="3"/>
        <v>317070000</v>
      </c>
      <c r="R11" s="9">
        <f t="shared" si="4"/>
        <v>4731147.541</v>
      </c>
      <c r="S11" s="9"/>
      <c r="T11" s="9">
        <f t="shared" si="5"/>
        <v>321801147.5</v>
      </c>
      <c r="U11" s="9"/>
      <c r="V11" s="9" t="s">
        <v>143</v>
      </c>
      <c r="W11" s="9"/>
      <c r="X11" s="3"/>
      <c r="Y11" s="9"/>
      <c r="Z11" s="3"/>
      <c r="AA11" s="3"/>
    </row>
    <row r="12" ht="13.5" customHeight="1">
      <c r="B12" s="3">
        <f t="shared" si="6"/>
        <v>11</v>
      </c>
      <c r="C12" s="3" t="s">
        <v>93</v>
      </c>
      <c r="D12" s="3" t="s">
        <v>58</v>
      </c>
      <c r="E12" s="3" t="s">
        <v>139</v>
      </c>
      <c r="F12" s="3" t="s">
        <v>70</v>
      </c>
      <c r="G12" s="3" t="s">
        <v>12</v>
      </c>
      <c r="H12" s="3" t="s">
        <v>150</v>
      </c>
      <c r="I12" s="48">
        <v>0.1298</v>
      </c>
      <c r="J12" s="49">
        <v>54874.0</v>
      </c>
      <c r="K12" s="49">
        <v>44348.0</v>
      </c>
      <c r="L12" s="49">
        <v>44354.0</v>
      </c>
      <c r="M12" s="48">
        <f t="shared" ref="M12:M79" si="10">IFERROR(YIELD(L12,J12,I12,N12,100,2,1),"")</f>
        <v>0.1392988922</v>
      </c>
      <c r="N12" s="54">
        <v>93.27</v>
      </c>
      <c r="O12" s="54">
        <v>3.0E8</v>
      </c>
      <c r="P12" s="84">
        <f t="shared" si="2"/>
        <v>287428695.7</v>
      </c>
      <c r="Q12" s="9">
        <f t="shared" si="3"/>
        <v>279810000</v>
      </c>
      <c r="R12" s="9">
        <f t="shared" si="4"/>
        <v>7618695.652</v>
      </c>
      <c r="S12" s="9"/>
      <c r="T12" s="9">
        <f t="shared" si="5"/>
        <v>287428695.7</v>
      </c>
      <c r="U12" s="9"/>
      <c r="V12" s="9" t="s">
        <v>143</v>
      </c>
      <c r="W12" s="9"/>
      <c r="X12" s="3"/>
      <c r="Y12" s="9"/>
      <c r="Z12" s="9"/>
      <c r="AA12" s="3"/>
    </row>
    <row r="13" ht="13.5" customHeight="1">
      <c r="B13" s="3">
        <f t="shared" si="6"/>
        <v>12</v>
      </c>
      <c r="C13" s="3" t="s">
        <v>95</v>
      </c>
      <c r="D13" s="3" t="s">
        <v>58</v>
      </c>
      <c r="E13" s="3" t="s">
        <v>139</v>
      </c>
      <c r="F13" s="3" t="s">
        <v>70</v>
      </c>
      <c r="G13" s="3" t="s">
        <v>12</v>
      </c>
      <c r="H13" s="3" t="s">
        <v>150</v>
      </c>
      <c r="I13" s="48">
        <v>0.1298</v>
      </c>
      <c r="J13" s="49">
        <v>54874.0</v>
      </c>
      <c r="K13" s="49">
        <v>44371.0</v>
      </c>
      <c r="L13" s="49">
        <v>44372.0</v>
      </c>
      <c r="M13" s="48">
        <f t="shared" si="10"/>
        <v>0.137</v>
      </c>
      <c r="N13" s="54">
        <v>94.8071680713</v>
      </c>
      <c r="O13" s="54">
        <v>1.0E9</v>
      </c>
      <c r="P13" s="84">
        <f t="shared" si="2"/>
        <v>979816245.9</v>
      </c>
      <c r="Q13" s="9">
        <f t="shared" si="3"/>
        <v>948071680.7</v>
      </c>
      <c r="R13" s="9">
        <f t="shared" si="4"/>
        <v>31744565.22</v>
      </c>
      <c r="S13" s="9"/>
      <c r="T13" s="9">
        <f t="shared" si="5"/>
        <v>979816245.9</v>
      </c>
      <c r="U13" s="9"/>
      <c r="V13" s="9" t="s">
        <v>143</v>
      </c>
      <c r="W13" s="9"/>
      <c r="X13" s="3"/>
      <c r="Y13" s="9"/>
      <c r="Z13" s="9"/>
      <c r="AA13" s="3"/>
    </row>
    <row r="14" ht="13.5" customHeight="1">
      <c r="B14" s="3">
        <f t="shared" si="6"/>
        <v>13</v>
      </c>
      <c r="C14" s="3" t="s">
        <v>96</v>
      </c>
      <c r="D14" s="3" t="s">
        <v>58</v>
      </c>
      <c r="E14" s="3" t="s">
        <v>139</v>
      </c>
      <c r="F14" s="3" t="s">
        <v>70</v>
      </c>
      <c r="G14" s="3" t="s">
        <v>12</v>
      </c>
      <c r="H14" s="3" t="s">
        <v>150</v>
      </c>
      <c r="I14" s="48">
        <v>0.1298</v>
      </c>
      <c r="J14" s="49">
        <v>54874.0</v>
      </c>
      <c r="K14" s="49">
        <v>44378.0</v>
      </c>
      <c r="L14" s="49">
        <v>44382.0</v>
      </c>
      <c r="M14" s="48">
        <f t="shared" si="10"/>
        <v>0.1300000497</v>
      </c>
      <c r="N14" s="54">
        <v>99.7995</v>
      </c>
      <c r="O14" s="54">
        <v>5.0E8</v>
      </c>
      <c r="P14" s="84">
        <f t="shared" si="2"/>
        <v>516633369.6</v>
      </c>
      <c r="Q14" s="9">
        <f t="shared" si="3"/>
        <v>498997500</v>
      </c>
      <c r="R14" s="9">
        <f t="shared" si="4"/>
        <v>17635869.57</v>
      </c>
      <c r="S14" s="9"/>
      <c r="T14" s="9">
        <f t="shared" si="5"/>
        <v>516633369.6</v>
      </c>
      <c r="U14" s="9"/>
      <c r="V14" s="9" t="s">
        <v>143</v>
      </c>
      <c r="W14" s="9"/>
      <c r="X14" s="3"/>
      <c r="Y14" s="9"/>
      <c r="Z14" s="9"/>
      <c r="AA14" s="3"/>
    </row>
    <row r="15" ht="13.5" customHeight="1">
      <c r="B15" s="3">
        <f t="shared" si="6"/>
        <v>14</v>
      </c>
      <c r="C15" s="3" t="s">
        <v>93</v>
      </c>
      <c r="D15" s="3" t="s">
        <v>58</v>
      </c>
      <c r="E15" s="3" t="s">
        <v>139</v>
      </c>
      <c r="F15" s="3" t="s">
        <v>70</v>
      </c>
      <c r="G15" s="3" t="s">
        <v>12</v>
      </c>
      <c r="H15" s="3" t="s">
        <v>150</v>
      </c>
      <c r="I15" s="48">
        <v>0.1298</v>
      </c>
      <c r="J15" s="49">
        <v>54874.0</v>
      </c>
      <c r="K15" s="49">
        <v>44379.0</v>
      </c>
      <c r="L15" s="49">
        <v>44383.0</v>
      </c>
      <c r="M15" s="48">
        <f t="shared" si="10"/>
        <v>0.1299995127</v>
      </c>
      <c r="N15" s="54">
        <v>99.8</v>
      </c>
      <c r="O15" s="54">
        <v>1.5E9</v>
      </c>
      <c r="P15" s="84">
        <f t="shared" si="2"/>
        <v>1550436685</v>
      </c>
      <c r="Q15" s="9">
        <f t="shared" si="3"/>
        <v>1497000000</v>
      </c>
      <c r="R15" s="9">
        <f t="shared" si="4"/>
        <v>53436684.78</v>
      </c>
      <c r="S15" s="9"/>
      <c r="T15" s="9">
        <f t="shared" si="5"/>
        <v>1550436685</v>
      </c>
      <c r="U15" s="9"/>
      <c r="V15" s="9" t="s">
        <v>143</v>
      </c>
      <c r="W15" s="9"/>
      <c r="X15" s="3"/>
      <c r="Y15" s="9"/>
      <c r="Z15" s="9"/>
      <c r="AA15" s="3"/>
    </row>
    <row r="16" ht="13.5" customHeight="1">
      <c r="B16" s="3">
        <f t="shared" si="6"/>
        <v>15</v>
      </c>
      <c r="C16" s="3" t="s">
        <v>93</v>
      </c>
      <c r="D16" s="3" t="s">
        <v>58</v>
      </c>
      <c r="E16" s="3" t="s">
        <v>139</v>
      </c>
      <c r="F16" s="3" t="s">
        <v>70</v>
      </c>
      <c r="G16" s="3" t="s">
        <v>14</v>
      </c>
      <c r="H16" s="3" t="s">
        <v>147</v>
      </c>
      <c r="I16" s="48">
        <v>0.148</v>
      </c>
      <c r="J16" s="49">
        <v>54539.0</v>
      </c>
      <c r="K16" s="49">
        <v>44382.0</v>
      </c>
      <c r="L16" s="49">
        <v>44383.0</v>
      </c>
      <c r="M16" s="48">
        <f t="shared" si="10"/>
        <v>0.1300044626</v>
      </c>
      <c r="N16" s="54">
        <v>113.37</v>
      </c>
      <c r="O16" s="54">
        <v>7.0E8</v>
      </c>
      <c r="P16" s="84">
        <f t="shared" si="2"/>
        <v>813687267.8</v>
      </c>
      <c r="Q16" s="9">
        <f t="shared" si="3"/>
        <v>793590000</v>
      </c>
      <c r="R16" s="9">
        <f t="shared" si="4"/>
        <v>20097267.76</v>
      </c>
      <c r="S16" s="9"/>
      <c r="T16" s="9">
        <f t="shared" si="5"/>
        <v>813687267.8</v>
      </c>
      <c r="U16" s="9"/>
      <c r="V16" s="9" t="s">
        <v>143</v>
      </c>
      <c r="W16" s="9"/>
      <c r="X16" s="3"/>
      <c r="Y16" s="9"/>
      <c r="Z16" s="9"/>
      <c r="AA16" s="3"/>
    </row>
    <row r="17" ht="13.5" customHeight="1">
      <c r="B17" s="3">
        <f t="shared" si="6"/>
        <v>16</v>
      </c>
      <c r="C17" s="3" t="s">
        <v>93</v>
      </c>
      <c r="D17" s="3" t="s">
        <v>58</v>
      </c>
      <c r="E17" s="3" t="s">
        <v>139</v>
      </c>
      <c r="F17" s="3" t="s">
        <v>70</v>
      </c>
      <c r="G17" s="3" t="s">
        <v>14</v>
      </c>
      <c r="H17" s="3" t="s">
        <v>144</v>
      </c>
      <c r="I17" s="48">
        <v>0.125</v>
      </c>
      <c r="J17" s="49">
        <v>49395.0</v>
      </c>
      <c r="K17" s="49">
        <v>44382.0</v>
      </c>
      <c r="L17" s="49">
        <v>44383.0</v>
      </c>
      <c r="M17" s="48">
        <f t="shared" si="10"/>
        <v>0.1294956871</v>
      </c>
      <c r="N17" s="54">
        <v>97.1</v>
      </c>
      <c r="O17" s="54">
        <v>1.0E8</v>
      </c>
      <c r="P17" s="84">
        <f t="shared" si="2"/>
        <v>100530706.5</v>
      </c>
      <c r="Q17" s="9">
        <f t="shared" si="3"/>
        <v>97100000</v>
      </c>
      <c r="R17" s="9">
        <f t="shared" si="4"/>
        <v>3430706.522</v>
      </c>
      <c r="S17" s="9"/>
      <c r="T17" s="9">
        <f t="shared" si="5"/>
        <v>100530706.5</v>
      </c>
      <c r="U17" s="9"/>
      <c r="V17" s="9" t="s">
        <v>143</v>
      </c>
      <c r="W17" s="9"/>
      <c r="X17" s="3"/>
      <c r="Y17" s="9"/>
      <c r="Z17" s="9"/>
      <c r="AA17" s="3"/>
    </row>
    <row r="18" ht="13.5" customHeight="1">
      <c r="B18" s="3">
        <f t="shared" si="6"/>
        <v>17</v>
      </c>
      <c r="C18" s="3" t="s">
        <v>93</v>
      </c>
      <c r="D18" s="3" t="s">
        <v>58</v>
      </c>
      <c r="E18" s="3" t="s">
        <v>139</v>
      </c>
      <c r="F18" s="3" t="s">
        <v>70</v>
      </c>
      <c r="G18" s="3" t="s">
        <v>14</v>
      </c>
      <c r="H18" s="3" t="s">
        <v>144</v>
      </c>
      <c r="I18" s="48">
        <v>0.125</v>
      </c>
      <c r="J18" s="49">
        <v>49395.0</v>
      </c>
      <c r="K18" s="49">
        <v>44382.0</v>
      </c>
      <c r="L18" s="49">
        <v>44383.0</v>
      </c>
      <c r="M18" s="48">
        <f t="shared" si="10"/>
        <v>0.1294956871</v>
      </c>
      <c r="N18" s="54">
        <v>97.1</v>
      </c>
      <c r="O18" s="54">
        <v>2.0E8</v>
      </c>
      <c r="P18" s="84">
        <f t="shared" si="2"/>
        <v>201061413</v>
      </c>
      <c r="Q18" s="9">
        <f t="shared" si="3"/>
        <v>194200000</v>
      </c>
      <c r="R18" s="9">
        <f t="shared" si="4"/>
        <v>6861413.043</v>
      </c>
      <c r="S18" s="9"/>
      <c r="T18" s="9">
        <f t="shared" si="5"/>
        <v>201061413</v>
      </c>
      <c r="U18" s="9"/>
      <c r="V18" s="9" t="s">
        <v>143</v>
      </c>
      <c r="W18" s="9"/>
      <c r="X18" s="3"/>
      <c r="Y18" s="9"/>
      <c r="Z18" s="9"/>
      <c r="AA18" s="3"/>
    </row>
    <row r="19" ht="13.5" customHeight="1">
      <c r="B19" s="3">
        <f t="shared" si="6"/>
        <v>18</v>
      </c>
      <c r="C19" s="3" t="s">
        <v>96</v>
      </c>
      <c r="D19" s="3" t="s">
        <v>58</v>
      </c>
      <c r="E19" s="3" t="s">
        <v>139</v>
      </c>
      <c r="F19" s="3" t="s">
        <v>70</v>
      </c>
      <c r="G19" s="3" t="s">
        <v>12</v>
      </c>
      <c r="H19" s="3" t="s">
        <v>150</v>
      </c>
      <c r="I19" s="48">
        <v>0.1298</v>
      </c>
      <c r="J19" s="49">
        <v>54874.0</v>
      </c>
      <c r="K19" s="49">
        <v>44378.0</v>
      </c>
      <c r="L19" s="49">
        <v>44383.0</v>
      </c>
      <c r="M19" s="48">
        <f t="shared" si="10"/>
        <v>0.1300000475</v>
      </c>
      <c r="N19" s="54">
        <v>99.7996</v>
      </c>
      <c r="O19" s="54">
        <v>1.2E9</v>
      </c>
      <c r="P19" s="84">
        <f t="shared" si="2"/>
        <v>1240344548</v>
      </c>
      <c r="Q19" s="9">
        <f t="shared" si="3"/>
        <v>1197595200</v>
      </c>
      <c r="R19" s="9">
        <f t="shared" si="4"/>
        <v>42749347.83</v>
      </c>
      <c r="S19" s="9"/>
      <c r="T19" s="9">
        <f t="shared" si="5"/>
        <v>1240344548</v>
      </c>
      <c r="U19" s="9"/>
      <c r="V19" s="9" t="s">
        <v>143</v>
      </c>
      <c r="W19" s="9"/>
      <c r="X19" s="3"/>
      <c r="Y19" s="9"/>
      <c r="Z19" s="9"/>
      <c r="AA19" s="3"/>
    </row>
    <row r="20" ht="13.5" customHeight="1">
      <c r="B20" s="3">
        <f t="shared" si="6"/>
        <v>19</v>
      </c>
      <c r="C20" s="95" t="s">
        <v>83</v>
      </c>
      <c r="D20" s="95" t="s">
        <v>58</v>
      </c>
      <c r="E20" s="95" t="s">
        <v>74</v>
      </c>
      <c r="F20" s="95" t="s">
        <v>70</v>
      </c>
      <c r="G20" s="95" t="s">
        <v>12</v>
      </c>
      <c r="H20" s="95" t="s">
        <v>150</v>
      </c>
      <c r="I20" s="96">
        <v>0.1298</v>
      </c>
      <c r="J20" s="97">
        <v>54874.0</v>
      </c>
      <c r="K20" s="97">
        <v>44426.0</v>
      </c>
      <c r="L20" s="97">
        <f>K20+2</f>
        <v>44428</v>
      </c>
      <c r="M20" s="96">
        <f t="shared" si="10"/>
        <v>0.128</v>
      </c>
      <c r="N20" s="99">
        <v>101.3326222759</v>
      </c>
      <c r="O20" s="99">
        <v>9.0E8</v>
      </c>
      <c r="P20" s="101">
        <f t="shared" si="2"/>
        <v>958340665.7</v>
      </c>
      <c r="Q20" s="101">
        <f t="shared" si="3"/>
        <v>911993600.5</v>
      </c>
      <c r="R20" s="101">
        <f t="shared" si="4"/>
        <v>46347065.22</v>
      </c>
      <c r="S20" s="101"/>
      <c r="T20" s="101">
        <f t="shared" si="5"/>
        <v>958340665.7</v>
      </c>
      <c r="U20" s="101"/>
      <c r="V20" s="101" t="s">
        <v>143</v>
      </c>
      <c r="W20" s="102"/>
      <c r="X20" s="102"/>
      <c r="Y20" s="102"/>
      <c r="Z20" s="102"/>
      <c r="AA20" s="102"/>
    </row>
    <row r="21" ht="13.5" customHeight="1">
      <c r="B21" s="3">
        <f t="shared" si="6"/>
        <v>20</v>
      </c>
      <c r="C21" s="95" t="s">
        <v>93</v>
      </c>
      <c r="D21" s="95" t="s">
        <v>58</v>
      </c>
      <c r="E21" s="95" t="s">
        <v>74</v>
      </c>
      <c r="F21" s="95" t="s">
        <v>70</v>
      </c>
      <c r="G21" s="95" t="s">
        <v>12</v>
      </c>
      <c r="H21" s="95" t="s">
        <v>150</v>
      </c>
      <c r="I21" s="96">
        <v>0.1298</v>
      </c>
      <c r="J21" s="97">
        <v>54874.0</v>
      </c>
      <c r="K21" s="97">
        <v>44427.0</v>
      </c>
      <c r="L21" s="97">
        <v>44431.0</v>
      </c>
      <c r="M21" s="96">
        <f t="shared" si="10"/>
        <v>0.1275002619</v>
      </c>
      <c r="N21" s="99">
        <v>101.72</v>
      </c>
      <c r="O21" s="99">
        <v>1.0E9</v>
      </c>
      <c r="P21" s="101">
        <f t="shared" si="2"/>
        <v>1069754891</v>
      </c>
      <c r="Q21" s="101">
        <f t="shared" si="3"/>
        <v>1017200000</v>
      </c>
      <c r="R21" s="101">
        <f t="shared" si="4"/>
        <v>52554891.3</v>
      </c>
      <c r="S21" s="101"/>
      <c r="T21" s="101">
        <f t="shared" si="5"/>
        <v>1069754891</v>
      </c>
      <c r="U21" s="101"/>
      <c r="V21" s="101" t="s">
        <v>143</v>
      </c>
      <c r="W21" s="102"/>
      <c r="X21" s="102"/>
      <c r="Y21" s="102"/>
      <c r="Z21" s="102"/>
      <c r="AA21" s="102"/>
    </row>
    <row r="22" ht="13.5" customHeight="1">
      <c r="B22" s="3">
        <f t="shared" si="6"/>
        <v>21</v>
      </c>
      <c r="C22" s="95" t="s">
        <v>98</v>
      </c>
      <c r="D22" s="95" t="s">
        <v>58</v>
      </c>
      <c r="E22" s="95" t="s">
        <v>74</v>
      </c>
      <c r="F22" s="95" t="s">
        <v>70</v>
      </c>
      <c r="G22" s="95" t="s">
        <v>12</v>
      </c>
      <c r="H22" s="95" t="s">
        <v>150</v>
      </c>
      <c r="I22" s="96">
        <v>0.1298</v>
      </c>
      <c r="J22" s="97">
        <v>54874.0</v>
      </c>
      <c r="K22" s="97">
        <v>44427.0</v>
      </c>
      <c r="L22" s="97">
        <v>44428.0</v>
      </c>
      <c r="M22" s="96">
        <f t="shared" si="10"/>
        <v>0.1274977803</v>
      </c>
      <c r="N22" s="103">
        <v>101.72</v>
      </c>
      <c r="O22" s="103">
        <v>5.0E8</v>
      </c>
      <c r="P22" s="101">
        <f t="shared" si="2"/>
        <v>534348369.6</v>
      </c>
      <c r="Q22" s="101">
        <f t="shared" si="3"/>
        <v>508600000</v>
      </c>
      <c r="R22" s="101">
        <f t="shared" si="4"/>
        <v>25748369.57</v>
      </c>
      <c r="S22" s="101"/>
      <c r="T22" s="101">
        <f t="shared" si="5"/>
        <v>534348369.6</v>
      </c>
      <c r="U22" s="101"/>
      <c r="V22" s="101" t="s">
        <v>143</v>
      </c>
      <c r="W22" s="102"/>
      <c r="X22" s="102"/>
      <c r="Y22" s="102"/>
      <c r="Z22" s="102"/>
      <c r="AA22" s="102"/>
    </row>
    <row r="23" ht="13.5" customHeight="1">
      <c r="B23" s="3">
        <f t="shared" si="6"/>
        <v>22</v>
      </c>
      <c r="C23" s="95" t="s">
        <v>98</v>
      </c>
      <c r="D23" s="95" t="s">
        <v>58</v>
      </c>
      <c r="E23" s="95" t="s">
        <v>74</v>
      </c>
      <c r="F23" s="95" t="s">
        <v>70</v>
      </c>
      <c r="G23" s="95" t="s">
        <v>12</v>
      </c>
      <c r="H23" s="95" t="s">
        <v>150</v>
      </c>
      <c r="I23" s="96">
        <v>0.1298</v>
      </c>
      <c r="J23" s="97">
        <v>54874.0</v>
      </c>
      <c r="K23" s="97">
        <v>44427.0</v>
      </c>
      <c r="L23" s="97">
        <v>44428.0</v>
      </c>
      <c r="M23" s="96">
        <f t="shared" si="10"/>
        <v>0.1274977803</v>
      </c>
      <c r="N23" s="103">
        <v>101.72</v>
      </c>
      <c r="O23" s="103">
        <v>2.110615E7</v>
      </c>
      <c r="P23" s="101">
        <f t="shared" si="2"/>
        <v>22556073.68</v>
      </c>
      <c r="Q23" s="101">
        <f t="shared" si="3"/>
        <v>21469175.78</v>
      </c>
      <c r="R23" s="101">
        <f t="shared" si="4"/>
        <v>1086897.901</v>
      </c>
      <c r="S23" s="101"/>
      <c r="T23" s="101">
        <f t="shared" si="5"/>
        <v>22556073.68</v>
      </c>
      <c r="U23" s="101"/>
      <c r="V23" s="101" t="s">
        <v>143</v>
      </c>
      <c r="W23" s="102"/>
      <c r="X23" s="102"/>
      <c r="Y23" s="102"/>
      <c r="Z23" s="102"/>
      <c r="AA23" s="102"/>
    </row>
    <row r="24" ht="13.5" customHeight="1">
      <c r="B24" s="3">
        <f t="shared" si="6"/>
        <v>23</v>
      </c>
      <c r="C24" s="95" t="s">
        <v>98</v>
      </c>
      <c r="D24" s="95" t="s">
        <v>58</v>
      </c>
      <c r="E24" s="95" t="s">
        <v>139</v>
      </c>
      <c r="F24" s="95" t="s">
        <v>70</v>
      </c>
      <c r="G24" s="95" t="s">
        <v>12</v>
      </c>
      <c r="H24" s="95" t="s">
        <v>150</v>
      </c>
      <c r="I24" s="96">
        <v>0.1298</v>
      </c>
      <c r="J24" s="97">
        <v>54874.0</v>
      </c>
      <c r="K24" s="97">
        <v>44427.0</v>
      </c>
      <c r="L24" s="97">
        <v>44428.0</v>
      </c>
      <c r="M24" s="96">
        <f t="shared" si="10"/>
        <v>0.1274977803</v>
      </c>
      <c r="N24" s="103">
        <v>101.72</v>
      </c>
      <c r="O24" s="103">
        <v>2.7889385E8</v>
      </c>
      <c r="P24" s="101">
        <f t="shared" si="2"/>
        <v>298052948.1</v>
      </c>
      <c r="Q24" s="101">
        <f t="shared" si="3"/>
        <v>283690824.2</v>
      </c>
      <c r="R24" s="101">
        <f t="shared" si="4"/>
        <v>14362123.84</v>
      </c>
      <c r="S24" s="101"/>
      <c r="T24" s="101">
        <f t="shared" si="5"/>
        <v>298052948.1</v>
      </c>
      <c r="U24" s="101"/>
      <c r="V24" s="101" t="s">
        <v>143</v>
      </c>
      <c r="W24" s="102"/>
      <c r="X24" s="102"/>
      <c r="Y24" s="102"/>
      <c r="Z24" s="102"/>
      <c r="AA24" s="102"/>
    </row>
    <row r="25" ht="13.5" customHeight="1">
      <c r="B25" s="3">
        <f t="shared" si="6"/>
        <v>24</v>
      </c>
      <c r="C25" s="90" t="s">
        <v>77</v>
      </c>
      <c r="D25" s="90" t="s">
        <v>58</v>
      </c>
      <c r="E25" s="90" t="s">
        <v>139</v>
      </c>
      <c r="F25" s="90" t="s">
        <v>70</v>
      </c>
      <c r="G25" s="90" t="s">
        <v>14</v>
      </c>
      <c r="H25" s="90" t="s">
        <v>150</v>
      </c>
      <c r="I25" s="91">
        <v>0.1298</v>
      </c>
      <c r="J25" s="92">
        <v>54874.0</v>
      </c>
      <c r="K25" s="92">
        <v>44448.0</v>
      </c>
      <c r="L25" s="92">
        <v>44452.0</v>
      </c>
      <c r="M25" s="91">
        <f t="shared" si="10"/>
        <v>0.1311955052</v>
      </c>
      <c r="N25" s="94">
        <v>98.95</v>
      </c>
      <c r="O25" s="94">
        <v>1.0E9</v>
      </c>
      <c r="P25" s="106">
        <f t="shared" si="2"/>
        <v>1049461957</v>
      </c>
      <c r="Q25" s="93">
        <f t="shared" si="3"/>
        <v>989500000</v>
      </c>
      <c r="R25" s="93">
        <f t="shared" si="4"/>
        <v>59961956.52</v>
      </c>
      <c r="S25" s="93"/>
      <c r="T25" s="93">
        <f t="shared" si="5"/>
        <v>1049461957</v>
      </c>
      <c r="U25" s="107"/>
      <c r="V25" s="93" t="s">
        <v>143</v>
      </c>
      <c r="W25" s="108"/>
      <c r="X25" s="108"/>
      <c r="Y25" s="108"/>
      <c r="Z25" s="108"/>
      <c r="AA25" s="108"/>
    </row>
    <row r="26" ht="13.5" customHeight="1">
      <c r="B26" s="3">
        <f t="shared" si="6"/>
        <v>25</v>
      </c>
      <c r="C26" s="3" t="s">
        <v>77</v>
      </c>
      <c r="D26" s="3" t="s">
        <v>58</v>
      </c>
      <c r="E26" s="3" t="s">
        <v>139</v>
      </c>
      <c r="F26" s="3" t="s">
        <v>70</v>
      </c>
      <c r="G26" s="3" t="s">
        <v>14</v>
      </c>
      <c r="H26" s="3" t="s">
        <v>150</v>
      </c>
      <c r="I26" s="48">
        <v>0.1298</v>
      </c>
      <c r="J26" s="49">
        <v>54874.0</v>
      </c>
      <c r="K26" s="49">
        <v>44448.0</v>
      </c>
      <c r="L26" s="49">
        <v>44452.0</v>
      </c>
      <c r="M26" s="48">
        <f t="shared" si="10"/>
        <v>0.1311955052</v>
      </c>
      <c r="N26" s="98">
        <v>98.95</v>
      </c>
      <c r="O26" s="98">
        <v>5.0E8</v>
      </c>
      <c r="P26" s="84">
        <f t="shared" si="2"/>
        <v>524730978.3</v>
      </c>
      <c r="Q26" s="9">
        <f t="shared" si="3"/>
        <v>494750000</v>
      </c>
      <c r="R26" s="9">
        <f t="shared" si="4"/>
        <v>29980978.26</v>
      </c>
      <c r="S26" s="9"/>
      <c r="T26" s="9">
        <f t="shared" si="5"/>
        <v>524730978.3</v>
      </c>
      <c r="U26" s="62"/>
      <c r="V26" s="9" t="s">
        <v>143</v>
      </c>
      <c r="W26" s="1"/>
      <c r="X26" s="1"/>
      <c r="Y26" s="1"/>
      <c r="Z26" s="1"/>
      <c r="AA26" s="1"/>
    </row>
    <row r="27" ht="13.5" customHeight="1">
      <c r="B27" s="3">
        <f t="shared" si="6"/>
        <v>26</v>
      </c>
      <c r="C27" s="3" t="s">
        <v>77</v>
      </c>
      <c r="D27" s="3" t="s">
        <v>58</v>
      </c>
      <c r="E27" s="3" t="s">
        <v>139</v>
      </c>
      <c r="F27" s="3" t="s">
        <v>70</v>
      </c>
      <c r="G27" s="3" t="s">
        <v>14</v>
      </c>
      <c r="H27" s="3" t="s">
        <v>150</v>
      </c>
      <c r="I27" s="48">
        <v>0.1298</v>
      </c>
      <c r="J27" s="49">
        <v>54874.0</v>
      </c>
      <c r="K27" s="49">
        <v>44448.0</v>
      </c>
      <c r="L27" s="49">
        <v>44452.0</v>
      </c>
      <c r="M27" s="48">
        <f t="shared" si="10"/>
        <v>0.1311955052</v>
      </c>
      <c r="N27" s="98">
        <v>98.95</v>
      </c>
      <c r="O27" s="98">
        <v>2.0E8</v>
      </c>
      <c r="P27" s="84">
        <f t="shared" si="2"/>
        <v>209892391.3</v>
      </c>
      <c r="Q27" s="9">
        <f t="shared" si="3"/>
        <v>197900000</v>
      </c>
      <c r="R27" s="9">
        <f t="shared" si="4"/>
        <v>11992391.3</v>
      </c>
      <c r="S27" s="9"/>
      <c r="T27" s="9">
        <f t="shared" si="5"/>
        <v>209892391.3</v>
      </c>
      <c r="U27" s="62"/>
      <c r="V27" s="9" t="s">
        <v>143</v>
      </c>
      <c r="W27" s="1"/>
      <c r="X27" s="1"/>
      <c r="Y27" s="1"/>
      <c r="Z27" s="1"/>
      <c r="AA27" s="1"/>
    </row>
    <row r="28" ht="13.5" customHeight="1">
      <c r="B28" s="3">
        <f t="shared" si="6"/>
        <v>27</v>
      </c>
      <c r="C28" s="3" t="s">
        <v>77</v>
      </c>
      <c r="D28" s="3" t="s">
        <v>58</v>
      </c>
      <c r="E28" s="3" t="s">
        <v>139</v>
      </c>
      <c r="F28" s="3" t="s">
        <v>70</v>
      </c>
      <c r="G28" s="3" t="s">
        <v>14</v>
      </c>
      <c r="H28" s="3" t="s">
        <v>150</v>
      </c>
      <c r="I28" s="48">
        <v>0.1298</v>
      </c>
      <c r="J28" s="49">
        <v>54874.0</v>
      </c>
      <c r="K28" s="49">
        <v>44448.0</v>
      </c>
      <c r="L28" s="49">
        <v>44453.0</v>
      </c>
      <c r="M28" s="48">
        <f t="shared" si="10"/>
        <v>0.131196829</v>
      </c>
      <c r="N28" s="98">
        <v>98.95</v>
      </c>
      <c r="O28" s="98">
        <v>5.0E8</v>
      </c>
      <c r="P28" s="84">
        <f t="shared" si="2"/>
        <v>524907337</v>
      </c>
      <c r="Q28" s="9">
        <f t="shared" si="3"/>
        <v>494750000</v>
      </c>
      <c r="R28" s="9">
        <f t="shared" si="4"/>
        <v>30157336.96</v>
      </c>
      <c r="S28" s="9"/>
      <c r="T28" s="9">
        <f t="shared" si="5"/>
        <v>524907337</v>
      </c>
      <c r="U28" s="62"/>
      <c r="V28" s="9" t="s">
        <v>143</v>
      </c>
      <c r="W28" s="1"/>
      <c r="X28" s="1"/>
      <c r="Y28" s="1"/>
      <c r="Z28" s="1"/>
      <c r="AA28" s="1"/>
    </row>
    <row r="29" ht="13.5" customHeight="1">
      <c r="B29" s="3">
        <f t="shared" si="6"/>
        <v>28</v>
      </c>
      <c r="C29" s="3" t="s">
        <v>77</v>
      </c>
      <c r="D29" s="3" t="s">
        <v>58</v>
      </c>
      <c r="E29" s="3" t="s">
        <v>139</v>
      </c>
      <c r="F29" s="3" t="s">
        <v>70</v>
      </c>
      <c r="G29" s="3" t="s">
        <v>14</v>
      </c>
      <c r="H29" s="3" t="s">
        <v>150</v>
      </c>
      <c r="I29" s="48">
        <v>0.1298</v>
      </c>
      <c r="J29" s="49">
        <v>54874.0</v>
      </c>
      <c r="K29" s="49">
        <v>44448.0</v>
      </c>
      <c r="L29" s="49">
        <v>44452.0</v>
      </c>
      <c r="M29" s="48">
        <f t="shared" si="10"/>
        <v>0.1311955052</v>
      </c>
      <c r="N29" s="98">
        <v>98.95</v>
      </c>
      <c r="O29" s="98">
        <v>3.0E8</v>
      </c>
      <c r="P29" s="84">
        <f t="shared" si="2"/>
        <v>314838587</v>
      </c>
      <c r="Q29" s="9">
        <f t="shared" si="3"/>
        <v>296850000</v>
      </c>
      <c r="R29" s="9">
        <f t="shared" si="4"/>
        <v>17988586.96</v>
      </c>
      <c r="S29" s="9"/>
      <c r="T29" s="9">
        <f t="shared" si="5"/>
        <v>314838587</v>
      </c>
      <c r="U29" s="62"/>
      <c r="V29" s="9" t="s">
        <v>62</v>
      </c>
      <c r="W29" s="1"/>
      <c r="X29" s="1"/>
      <c r="Y29" s="1"/>
      <c r="Z29" s="1"/>
      <c r="AA29" s="1"/>
    </row>
    <row r="30" ht="13.5" customHeight="1">
      <c r="B30" s="3">
        <f t="shared" si="6"/>
        <v>29</v>
      </c>
      <c r="C30" s="3" t="s">
        <v>77</v>
      </c>
      <c r="D30" s="3" t="s">
        <v>58</v>
      </c>
      <c r="E30" s="3" t="s">
        <v>139</v>
      </c>
      <c r="F30" s="3" t="s">
        <v>70</v>
      </c>
      <c r="G30" s="3" t="s">
        <v>14</v>
      </c>
      <c r="H30" s="3" t="s">
        <v>147</v>
      </c>
      <c r="I30" s="48">
        <v>0.148</v>
      </c>
      <c r="J30" s="49">
        <v>54539.0</v>
      </c>
      <c r="K30" s="49">
        <v>44453.0</v>
      </c>
      <c r="L30" s="49">
        <v>44455.0</v>
      </c>
      <c r="M30" s="48">
        <f t="shared" si="10"/>
        <v>0.1299981373</v>
      </c>
      <c r="N30" s="98">
        <v>113.38</v>
      </c>
      <c r="O30" s="98">
        <v>5.0E8</v>
      </c>
      <c r="P30" s="84">
        <f t="shared" si="2"/>
        <v>595812568.3</v>
      </c>
      <c r="Q30" s="9">
        <f t="shared" si="3"/>
        <v>566900000</v>
      </c>
      <c r="R30" s="9">
        <f t="shared" si="4"/>
        <v>28912568.31</v>
      </c>
      <c r="S30" s="9"/>
      <c r="T30" s="9">
        <f t="shared" si="5"/>
        <v>595812568.3</v>
      </c>
      <c r="U30" s="62"/>
      <c r="V30" s="9" t="s">
        <v>62</v>
      </c>
      <c r="W30" s="1"/>
      <c r="X30" s="1"/>
      <c r="Y30" s="1"/>
      <c r="Z30" s="1"/>
      <c r="AA30" s="1"/>
    </row>
    <row r="31" ht="13.5" customHeight="1">
      <c r="B31" s="3">
        <f t="shared" si="6"/>
        <v>30</v>
      </c>
      <c r="C31" s="3" t="s">
        <v>77</v>
      </c>
      <c r="D31" s="3" t="s">
        <v>58</v>
      </c>
      <c r="E31" s="3" t="s">
        <v>139</v>
      </c>
      <c r="F31" s="3" t="s">
        <v>70</v>
      </c>
      <c r="G31" s="3" t="s">
        <v>14</v>
      </c>
      <c r="H31" s="3" t="s">
        <v>147</v>
      </c>
      <c r="I31" s="48">
        <v>0.148</v>
      </c>
      <c r="J31" s="49">
        <v>54539.0</v>
      </c>
      <c r="K31" s="49">
        <v>44453.0</v>
      </c>
      <c r="L31" s="49">
        <v>44455.0</v>
      </c>
      <c r="M31" s="48">
        <f t="shared" si="10"/>
        <v>0.1299981373</v>
      </c>
      <c r="N31" s="98">
        <v>113.38</v>
      </c>
      <c r="O31" s="98">
        <v>1.0E8</v>
      </c>
      <c r="P31" s="84">
        <f t="shared" si="2"/>
        <v>119162513.7</v>
      </c>
      <c r="Q31" s="9">
        <f t="shared" si="3"/>
        <v>113380000</v>
      </c>
      <c r="R31" s="9">
        <f t="shared" si="4"/>
        <v>5782513.661</v>
      </c>
      <c r="S31" s="9"/>
      <c r="T31" s="9">
        <f t="shared" si="5"/>
        <v>119162513.7</v>
      </c>
      <c r="U31" s="62"/>
      <c r="V31" s="9" t="s">
        <v>62</v>
      </c>
      <c r="W31" s="1"/>
      <c r="X31" s="1"/>
      <c r="Y31" s="1"/>
      <c r="Z31" s="1"/>
      <c r="AA31" s="1"/>
    </row>
    <row r="32" ht="13.5" customHeight="1">
      <c r="B32" s="3">
        <f t="shared" si="6"/>
        <v>31</v>
      </c>
      <c r="C32" s="3" t="s">
        <v>77</v>
      </c>
      <c r="D32" s="3" t="s">
        <v>58</v>
      </c>
      <c r="E32" s="3" t="s">
        <v>139</v>
      </c>
      <c r="F32" s="3" t="s">
        <v>70</v>
      </c>
      <c r="G32" s="3" t="s">
        <v>12</v>
      </c>
      <c r="H32" s="3" t="s">
        <v>161</v>
      </c>
      <c r="I32" s="48">
        <v>0.1398</v>
      </c>
      <c r="J32" s="49">
        <v>46806.0</v>
      </c>
      <c r="K32" s="49">
        <v>44455.0</v>
      </c>
      <c r="L32" s="49">
        <v>44459.0</v>
      </c>
      <c r="M32" s="48">
        <f t="shared" si="10"/>
        <v>0.1151994944</v>
      </c>
      <c r="N32" s="98">
        <v>110.93</v>
      </c>
      <c r="O32" s="98">
        <v>5.0E8</v>
      </c>
      <c r="P32" s="84">
        <f t="shared" si="2"/>
        <v>559968478.3</v>
      </c>
      <c r="Q32" s="9">
        <f t="shared" si="3"/>
        <v>554650000</v>
      </c>
      <c r="R32" s="9">
        <f t="shared" si="4"/>
        <v>5318478.261</v>
      </c>
      <c r="S32" s="9"/>
      <c r="T32" s="9">
        <f t="shared" si="5"/>
        <v>559968478.3</v>
      </c>
      <c r="U32" s="62"/>
      <c r="V32" s="9" t="s">
        <v>62</v>
      </c>
      <c r="W32" s="1"/>
      <c r="X32" s="1"/>
      <c r="Y32" s="1"/>
      <c r="Z32" s="1"/>
      <c r="AA32" s="1"/>
    </row>
    <row r="33" ht="13.5" customHeight="1">
      <c r="B33" s="3">
        <f t="shared" si="6"/>
        <v>32</v>
      </c>
      <c r="C33" s="3" t="s">
        <v>77</v>
      </c>
      <c r="D33" s="3" t="s">
        <v>58</v>
      </c>
      <c r="E33" s="3" t="s">
        <v>139</v>
      </c>
      <c r="F33" s="3" t="s">
        <v>70</v>
      </c>
      <c r="G33" s="3" t="s">
        <v>12</v>
      </c>
      <c r="H33" s="3" t="s">
        <v>161</v>
      </c>
      <c r="I33" s="48">
        <v>0.1398</v>
      </c>
      <c r="J33" s="49">
        <v>46806.0</v>
      </c>
      <c r="K33" s="49">
        <v>44455.0</v>
      </c>
      <c r="L33" s="49">
        <v>44459.0</v>
      </c>
      <c r="M33" s="48">
        <f t="shared" si="10"/>
        <v>0.1151994944</v>
      </c>
      <c r="N33" s="98">
        <v>110.93</v>
      </c>
      <c r="O33" s="98">
        <v>2.0E8</v>
      </c>
      <c r="P33" s="84">
        <f t="shared" si="2"/>
        <v>223987391.3</v>
      </c>
      <c r="Q33" s="9">
        <f t="shared" si="3"/>
        <v>221860000</v>
      </c>
      <c r="R33" s="9">
        <f t="shared" si="4"/>
        <v>2127391.304</v>
      </c>
      <c r="S33" s="9"/>
      <c r="T33" s="9">
        <f t="shared" si="5"/>
        <v>223987391.3</v>
      </c>
      <c r="U33" s="62"/>
      <c r="V33" s="9" t="s">
        <v>62</v>
      </c>
      <c r="W33" s="1"/>
      <c r="X33" s="1"/>
      <c r="Y33" s="1"/>
      <c r="Z33" s="1"/>
      <c r="AA33" s="1"/>
    </row>
    <row r="34" ht="13.5" customHeight="1">
      <c r="B34" s="3">
        <f t="shared" si="6"/>
        <v>33</v>
      </c>
      <c r="C34" s="3" t="s">
        <v>77</v>
      </c>
      <c r="D34" s="3" t="s">
        <v>58</v>
      </c>
      <c r="E34" s="3" t="s">
        <v>139</v>
      </c>
      <c r="F34" s="3" t="s">
        <v>70</v>
      </c>
      <c r="G34" s="3" t="s">
        <v>12</v>
      </c>
      <c r="H34" s="3" t="s">
        <v>161</v>
      </c>
      <c r="I34" s="48">
        <v>0.1398</v>
      </c>
      <c r="J34" s="49">
        <v>46806.0</v>
      </c>
      <c r="K34" s="49">
        <v>44455.0</v>
      </c>
      <c r="L34" s="49">
        <v>44459.0</v>
      </c>
      <c r="M34" s="48">
        <f t="shared" si="10"/>
        <v>0.1145097011</v>
      </c>
      <c r="N34" s="98">
        <v>111.26</v>
      </c>
      <c r="O34" s="98">
        <v>3.0E8</v>
      </c>
      <c r="P34" s="84">
        <f t="shared" si="2"/>
        <v>336971087</v>
      </c>
      <c r="Q34" s="9">
        <f t="shared" si="3"/>
        <v>333780000</v>
      </c>
      <c r="R34" s="9">
        <f t="shared" si="4"/>
        <v>3191086.957</v>
      </c>
      <c r="S34" s="9"/>
      <c r="T34" s="9">
        <f t="shared" si="5"/>
        <v>336971087</v>
      </c>
      <c r="U34" s="62"/>
      <c r="V34" s="9" t="s">
        <v>62</v>
      </c>
      <c r="W34" s="1"/>
      <c r="X34" s="1"/>
      <c r="Y34" s="1"/>
      <c r="Z34" s="1"/>
      <c r="AA34" s="1"/>
    </row>
    <row r="35" ht="13.5" customHeight="1">
      <c r="B35" s="3">
        <f t="shared" si="6"/>
        <v>34</v>
      </c>
      <c r="C35" s="3" t="s">
        <v>77</v>
      </c>
      <c r="D35" s="3" t="s">
        <v>58</v>
      </c>
      <c r="E35" s="3" t="s">
        <v>139</v>
      </c>
      <c r="F35" s="3" t="s">
        <v>70</v>
      </c>
      <c r="G35" s="3" t="s">
        <v>12</v>
      </c>
      <c r="H35" s="3" t="s">
        <v>161</v>
      </c>
      <c r="I35" s="48">
        <v>0.1398</v>
      </c>
      <c r="J35" s="49">
        <v>46806.0</v>
      </c>
      <c r="K35" s="49">
        <v>44455.0</v>
      </c>
      <c r="L35" s="49">
        <v>44456.0</v>
      </c>
      <c r="M35" s="48">
        <f t="shared" si="10"/>
        <v>0.1144931339</v>
      </c>
      <c r="N35" s="98">
        <v>111.28</v>
      </c>
      <c r="O35" s="98">
        <v>1.0E8</v>
      </c>
      <c r="P35" s="84">
        <f t="shared" si="2"/>
        <v>112229728.3</v>
      </c>
      <c r="Q35" s="9">
        <f t="shared" si="3"/>
        <v>111280000</v>
      </c>
      <c r="R35" s="9">
        <f t="shared" si="4"/>
        <v>949728.2609</v>
      </c>
      <c r="S35" s="9"/>
      <c r="T35" s="9">
        <f t="shared" si="5"/>
        <v>112229728.3</v>
      </c>
      <c r="U35" s="62"/>
      <c r="V35" s="9" t="s">
        <v>62</v>
      </c>
      <c r="W35" s="1"/>
      <c r="X35" s="1"/>
      <c r="Y35" s="1"/>
      <c r="Z35" s="1"/>
      <c r="AA35" s="1"/>
    </row>
    <row r="36" ht="13.5" customHeight="1">
      <c r="B36" s="3">
        <f t="shared" si="6"/>
        <v>35</v>
      </c>
      <c r="C36" s="3" t="s">
        <v>77</v>
      </c>
      <c r="D36" s="3" t="s">
        <v>58</v>
      </c>
      <c r="E36" s="3" t="s">
        <v>139</v>
      </c>
      <c r="F36" s="3" t="s">
        <v>70</v>
      </c>
      <c r="G36" s="3" t="s">
        <v>12</v>
      </c>
      <c r="H36" s="3" t="s">
        <v>161</v>
      </c>
      <c r="I36" s="48">
        <v>0.1398</v>
      </c>
      <c r="J36" s="49">
        <v>46806.0</v>
      </c>
      <c r="K36" s="49">
        <v>44455.0</v>
      </c>
      <c r="L36" s="49">
        <v>44459.0</v>
      </c>
      <c r="M36" s="48">
        <f t="shared" si="10"/>
        <v>0.1141970584</v>
      </c>
      <c r="N36" s="98">
        <v>111.41</v>
      </c>
      <c r="O36" s="98">
        <v>4.0E8</v>
      </c>
      <c r="P36" s="84">
        <f t="shared" si="2"/>
        <v>449894782.6</v>
      </c>
      <c r="Q36" s="9">
        <f t="shared" si="3"/>
        <v>445640000</v>
      </c>
      <c r="R36" s="9">
        <f t="shared" si="4"/>
        <v>4254782.609</v>
      </c>
      <c r="S36" s="9"/>
      <c r="T36" s="9">
        <f t="shared" si="5"/>
        <v>449894782.6</v>
      </c>
      <c r="U36" s="62"/>
      <c r="V36" s="9" t="s">
        <v>62</v>
      </c>
      <c r="W36" s="1"/>
      <c r="X36" s="1"/>
      <c r="Y36" s="1"/>
      <c r="Z36" s="1"/>
      <c r="AA36" s="1"/>
    </row>
    <row r="37" ht="13.5" customHeight="1">
      <c r="B37" s="3">
        <f t="shared" si="6"/>
        <v>36</v>
      </c>
      <c r="C37" s="3" t="s">
        <v>77</v>
      </c>
      <c r="D37" s="3" t="s">
        <v>58</v>
      </c>
      <c r="E37" s="3" t="s">
        <v>139</v>
      </c>
      <c r="F37" s="3" t="s">
        <v>70</v>
      </c>
      <c r="G37" s="3" t="s">
        <v>14</v>
      </c>
      <c r="H37" s="3" t="s">
        <v>150</v>
      </c>
      <c r="I37" s="48">
        <v>0.1298</v>
      </c>
      <c r="J37" s="49">
        <v>54874.0</v>
      </c>
      <c r="K37" s="49">
        <v>44459.0</v>
      </c>
      <c r="L37" s="49">
        <v>44461.0</v>
      </c>
      <c r="M37" s="48">
        <f t="shared" si="10"/>
        <v>0.1291945672</v>
      </c>
      <c r="N37" s="98">
        <v>100.45</v>
      </c>
      <c r="O37" s="98">
        <v>1.0E8</v>
      </c>
      <c r="P37" s="84">
        <f t="shared" si="2"/>
        <v>106763641.3</v>
      </c>
      <c r="Q37" s="9">
        <f t="shared" si="3"/>
        <v>100450000</v>
      </c>
      <c r="R37" s="9">
        <f t="shared" si="4"/>
        <v>6313641.304</v>
      </c>
      <c r="S37" s="9"/>
      <c r="T37" s="9">
        <f t="shared" si="5"/>
        <v>106763641.3</v>
      </c>
      <c r="U37" s="62"/>
      <c r="V37" s="9" t="s">
        <v>62</v>
      </c>
      <c r="W37" s="1"/>
      <c r="X37" s="1"/>
      <c r="Y37" s="1"/>
      <c r="Z37" s="1"/>
      <c r="AA37" s="1"/>
    </row>
    <row r="38" ht="13.5" customHeight="1">
      <c r="B38" s="3">
        <f t="shared" si="6"/>
        <v>37</v>
      </c>
      <c r="C38" s="3" t="s">
        <v>77</v>
      </c>
      <c r="D38" s="3" t="s">
        <v>58</v>
      </c>
      <c r="E38" s="3" t="s">
        <v>139</v>
      </c>
      <c r="F38" s="3" t="s">
        <v>70</v>
      </c>
      <c r="G38" s="3" t="s">
        <v>14</v>
      </c>
      <c r="H38" s="3" t="s">
        <v>150</v>
      </c>
      <c r="I38" s="48">
        <v>0.1298</v>
      </c>
      <c r="J38" s="49">
        <v>54874.0</v>
      </c>
      <c r="K38" s="49">
        <v>44459.0</v>
      </c>
      <c r="L38" s="49">
        <v>44461.0</v>
      </c>
      <c r="M38" s="48">
        <f t="shared" si="10"/>
        <v>0.1294996725</v>
      </c>
      <c r="N38" s="98">
        <v>100.22</v>
      </c>
      <c r="O38" s="98">
        <v>1.4E9</v>
      </c>
      <c r="P38" s="84">
        <f t="shared" si="2"/>
        <v>1491470978</v>
      </c>
      <c r="Q38" s="9">
        <f t="shared" si="3"/>
        <v>1403080000</v>
      </c>
      <c r="R38" s="9">
        <f t="shared" si="4"/>
        <v>88390978.26</v>
      </c>
      <c r="S38" s="9"/>
      <c r="T38" s="9">
        <f t="shared" si="5"/>
        <v>1491470978</v>
      </c>
      <c r="U38" s="62"/>
      <c r="V38" s="9" t="s">
        <v>62</v>
      </c>
      <c r="W38" s="1"/>
      <c r="X38" s="1"/>
      <c r="Y38" s="1"/>
      <c r="Z38" s="1"/>
      <c r="AA38" s="1"/>
    </row>
    <row r="39" ht="13.5" customHeight="1">
      <c r="B39" s="3">
        <f t="shared" si="6"/>
        <v>38</v>
      </c>
      <c r="C39" s="3" t="s">
        <v>77</v>
      </c>
      <c r="D39" s="3" t="s">
        <v>58</v>
      </c>
      <c r="E39" s="3" t="s">
        <v>139</v>
      </c>
      <c r="F39" s="3" t="s">
        <v>70</v>
      </c>
      <c r="G39" s="3" t="s">
        <v>14</v>
      </c>
      <c r="H39" s="3" t="s">
        <v>150</v>
      </c>
      <c r="I39" s="48">
        <v>0.1298</v>
      </c>
      <c r="J39" s="49">
        <v>54874.0</v>
      </c>
      <c r="K39" s="49">
        <v>44459.0</v>
      </c>
      <c r="L39" s="49">
        <v>44461.0</v>
      </c>
      <c r="M39" s="48">
        <f t="shared" si="10"/>
        <v>0.1296993538</v>
      </c>
      <c r="N39" s="98">
        <v>100.07</v>
      </c>
      <c r="O39" s="98">
        <v>5.0E8</v>
      </c>
      <c r="P39" s="84">
        <f t="shared" si="2"/>
        <v>531918206.5</v>
      </c>
      <c r="Q39" s="9">
        <f t="shared" si="3"/>
        <v>500350000</v>
      </c>
      <c r="R39" s="9">
        <f t="shared" si="4"/>
        <v>31568206.52</v>
      </c>
      <c r="S39" s="9"/>
      <c r="T39" s="9">
        <f t="shared" si="5"/>
        <v>531918206.5</v>
      </c>
      <c r="U39" s="62"/>
      <c r="V39" s="9" t="s">
        <v>62</v>
      </c>
      <c r="W39" s="1"/>
      <c r="X39" s="1"/>
      <c r="Y39" s="1"/>
      <c r="Z39" s="1"/>
      <c r="AA39" s="1"/>
    </row>
    <row r="40" ht="13.5" customHeight="1">
      <c r="B40" s="3">
        <f t="shared" si="6"/>
        <v>39</v>
      </c>
      <c r="C40" s="3" t="s">
        <v>77</v>
      </c>
      <c r="D40" s="3" t="s">
        <v>58</v>
      </c>
      <c r="E40" s="3" t="s">
        <v>139</v>
      </c>
      <c r="F40" s="3" t="s">
        <v>70</v>
      </c>
      <c r="G40" s="3" t="s">
        <v>14</v>
      </c>
      <c r="H40" s="3" t="s">
        <v>150</v>
      </c>
      <c r="I40" s="48">
        <v>0.1298</v>
      </c>
      <c r="J40" s="49">
        <v>54874.0</v>
      </c>
      <c r="K40" s="49">
        <v>44459.0</v>
      </c>
      <c r="L40" s="49">
        <v>44461.0</v>
      </c>
      <c r="M40" s="48">
        <f t="shared" si="10"/>
        <v>0.1296993538</v>
      </c>
      <c r="N40" s="98">
        <v>100.07</v>
      </c>
      <c r="O40" s="98">
        <v>3.0E8</v>
      </c>
      <c r="P40" s="84">
        <f t="shared" si="2"/>
        <v>319150923.9</v>
      </c>
      <c r="Q40" s="9">
        <f t="shared" si="3"/>
        <v>300210000</v>
      </c>
      <c r="R40" s="9">
        <f t="shared" si="4"/>
        <v>18940923.91</v>
      </c>
      <c r="S40" s="9"/>
      <c r="T40" s="9">
        <f t="shared" si="5"/>
        <v>319150923.9</v>
      </c>
      <c r="U40" s="62"/>
      <c r="V40" s="9" t="s">
        <v>62</v>
      </c>
      <c r="W40" s="1"/>
      <c r="X40" s="1"/>
      <c r="Y40" s="1"/>
      <c r="Z40" s="1"/>
      <c r="AA40" s="1"/>
    </row>
    <row r="41" ht="13.5" customHeight="1">
      <c r="B41" s="3">
        <f t="shared" si="6"/>
        <v>40</v>
      </c>
      <c r="C41" s="3" t="s">
        <v>77</v>
      </c>
      <c r="D41" s="3" t="s">
        <v>58</v>
      </c>
      <c r="E41" s="3" t="s">
        <v>139</v>
      </c>
      <c r="F41" s="3" t="s">
        <v>70</v>
      </c>
      <c r="G41" s="3" t="s">
        <v>14</v>
      </c>
      <c r="H41" s="3" t="s">
        <v>150</v>
      </c>
      <c r="I41" s="48">
        <v>0.1298</v>
      </c>
      <c r="J41" s="49">
        <v>54874.0</v>
      </c>
      <c r="K41" s="49">
        <v>44459.0</v>
      </c>
      <c r="L41" s="49">
        <v>44461.0</v>
      </c>
      <c r="M41" s="48">
        <f t="shared" si="10"/>
        <v>0.1296993538</v>
      </c>
      <c r="N41" s="98">
        <v>100.07</v>
      </c>
      <c r="O41" s="98">
        <v>2.0E8</v>
      </c>
      <c r="P41" s="84">
        <f t="shared" si="2"/>
        <v>212767282.6</v>
      </c>
      <c r="Q41" s="9">
        <f t="shared" si="3"/>
        <v>200140000</v>
      </c>
      <c r="R41" s="9">
        <f t="shared" si="4"/>
        <v>12627282.61</v>
      </c>
      <c r="S41" s="9"/>
      <c r="T41" s="9">
        <f t="shared" si="5"/>
        <v>212767282.6</v>
      </c>
      <c r="U41" s="62"/>
      <c r="V41" s="9" t="s">
        <v>62</v>
      </c>
      <c r="W41" s="1"/>
      <c r="X41" s="1"/>
      <c r="Y41" s="1"/>
      <c r="Z41" s="1"/>
      <c r="AA41" s="1"/>
    </row>
    <row r="42" ht="13.5" customHeight="1">
      <c r="B42" s="3">
        <f t="shared" si="6"/>
        <v>41</v>
      </c>
      <c r="C42" s="3" t="s">
        <v>77</v>
      </c>
      <c r="D42" s="3" t="s">
        <v>58</v>
      </c>
      <c r="E42" s="3" t="s">
        <v>139</v>
      </c>
      <c r="F42" s="3" t="s">
        <v>70</v>
      </c>
      <c r="G42" s="3" t="s">
        <v>14</v>
      </c>
      <c r="H42" s="3" t="s">
        <v>150</v>
      </c>
      <c r="I42" s="48">
        <v>0.1298</v>
      </c>
      <c r="J42" s="49">
        <v>54874.0</v>
      </c>
      <c r="K42" s="49">
        <v>44459.0</v>
      </c>
      <c r="L42" s="49">
        <v>44461.0</v>
      </c>
      <c r="M42" s="48">
        <f t="shared" si="10"/>
        <v>0.1296993538</v>
      </c>
      <c r="N42" s="98">
        <v>100.07</v>
      </c>
      <c r="O42" s="98">
        <v>3.0E8</v>
      </c>
      <c r="P42" s="84">
        <f t="shared" si="2"/>
        <v>319150923.9</v>
      </c>
      <c r="Q42" s="9">
        <f t="shared" si="3"/>
        <v>300210000</v>
      </c>
      <c r="R42" s="9">
        <f t="shared" si="4"/>
        <v>18940923.91</v>
      </c>
      <c r="S42" s="9"/>
      <c r="T42" s="9">
        <f t="shared" si="5"/>
        <v>319150923.9</v>
      </c>
      <c r="U42" s="62"/>
      <c r="V42" s="9" t="s">
        <v>62</v>
      </c>
      <c r="W42" s="1"/>
      <c r="X42" s="1"/>
      <c r="Y42" s="1"/>
      <c r="Z42" s="1"/>
      <c r="AA42" s="1"/>
    </row>
    <row r="43" ht="13.5" customHeight="1">
      <c r="B43" s="3">
        <f t="shared" si="6"/>
        <v>42</v>
      </c>
      <c r="C43" s="3" t="s">
        <v>77</v>
      </c>
      <c r="D43" s="3" t="s">
        <v>58</v>
      </c>
      <c r="E43" s="3" t="s">
        <v>139</v>
      </c>
      <c r="F43" s="3" t="s">
        <v>70</v>
      </c>
      <c r="G43" s="3" t="s">
        <v>14</v>
      </c>
      <c r="H43" s="3" t="s">
        <v>150</v>
      </c>
      <c r="I43" s="48">
        <v>0.1298</v>
      </c>
      <c r="J43" s="49">
        <v>54874.0</v>
      </c>
      <c r="K43" s="49">
        <v>44460.0</v>
      </c>
      <c r="L43" s="49">
        <v>44462.0</v>
      </c>
      <c r="M43" s="48">
        <f t="shared" si="10"/>
        <v>0.1299010158</v>
      </c>
      <c r="N43" s="98">
        <v>99.92</v>
      </c>
      <c r="O43" s="98">
        <v>5.0E8</v>
      </c>
      <c r="P43" s="84">
        <f t="shared" si="2"/>
        <v>531344565.2</v>
      </c>
      <c r="Q43" s="9">
        <f t="shared" si="3"/>
        <v>499600000</v>
      </c>
      <c r="R43" s="9">
        <f t="shared" si="4"/>
        <v>31744565.22</v>
      </c>
      <c r="S43" s="9"/>
      <c r="T43" s="9">
        <f t="shared" si="5"/>
        <v>531344565.2</v>
      </c>
      <c r="U43" s="62"/>
      <c r="V43" s="9" t="s">
        <v>62</v>
      </c>
      <c r="W43" s="1"/>
      <c r="X43" s="1"/>
      <c r="Y43" s="1"/>
      <c r="Z43" s="1"/>
      <c r="AA43" s="1"/>
    </row>
    <row r="44" ht="13.5" customHeight="1">
      <c r="B44" s="3">
        <f t="shared" si="6"/>
        <v>43</v>
      </c>
      <c r="C44" s="3" t="s">
        <v>77</v>
      </c>
      <c r="D44" s="3" t="s">
        <v>58</v>
      </c>
      <c r="E44" s="3" t="s">
        <v>139</v>
      </c>
      <c r="F44" s="3" t="s">
        <v>70</v>
      </c>
      <c r="G44" s="3" t="s">
        <v>14</v>
      </c>
      <c r="H44" s="3" t="s">
        <v>150</v>
      </c>
      <c r="I44" s="48">
        <v>0.1298</v>
      </c>
      <c r="J44" s="49">
        <v>54874.0</v>
      </c>
      <c r="K44" s="49">
        <v>44460.0</v>
      </c>
      <c r="L44" s="49">
        <v>44462.0</v>
      </c>
      <c r="M44" s="48">
        <f t="shared" si="10"/>
        <v>0.1299946541</v>
      </c>
      <c r="N44" s="98">
        <v>99.85</v>
      </c>
      <c r="O44" s="98">
        <v>5.0E8</v>
      </c>
      <c r="P44" s="84">
        <f t="shared" si="2"/>
        <v>530994565.2</v>
      </c>
      <c r="Q44" s="9">
        <f t="shared" si="3"/>
        <v>499250000</v>
      </c>
      <c r="R44" s="9">
        <f t="shared" si="4"/>
        <v>31744565.22</v>
      </c>
      <c r="S44" s="9"/>
      <c r="T44" s="9">
        <f t="shared" si="5"/>
        <v>530994565.2</v>
      </c>
      <c r="U44" s="62"/>
      <c r="V44" s="9" t="s">
        <v>62</v>
      </c>
      <c r="W44" s="1"/>
      <c r="X44" s="1"/>
      <c r="Y44" s="1"/>
      <c r="Z44" s="1"/>
      <c r="AA44" s="1"/>
    </row>
    <row r="45" ht="13.5" customHeight="1">
      <c r="B45" s="3">
        <f t="shared" si="6"/>
        <v>44</v>
      </c>
      <c r="C45" s="3" t="s">
        <v>77</v>
      </c>
      <c r="D45" s="3" t="s">
        <v>58</v>
      </c>
      <c r="E45" s="3" t="s">
        <v>139</v>
      </c>
      <c r="F45" s="3" t="s">
        <v>70</v>
      </c>
      <c r="G45" s="3" t="s">
        <v>14</v>
      </c>
      <c r="H45" s="3" t="s">
        <v>150</v>
      </c>
      <c r="I45" s="48">
        <v>0.1298</v>
      </c>
      <c r="J45" s="49">
        <v>54874.0</v>
      </c>
      <c r="K45" s="49">
        <v>44460.0</v>
      </c>
      <c r="L45" s="49">
        <v>44462.0</v>
      </c>
      <c r="M45" s="48">
        <f t="shared" si="10"/>
        <v>0.1299946541</v>
      </c>
      <c r="N45" s="98">
        <v>99.85</v>
      </c>
      <c r="O45" s="98">
        <v>5.0E8</v>
      </c>
      <c r="P45" s="84">
        <f t="shared" si="2"/>
        <v>530994565.2</v>
      </c>
      <c r="Q45" s="9">
        <f t="shared" si="3"/>
        <v>499250000</v>
      </c>
      <c r="R45" s="9">
        <f t="shared" si="4"/>
        <v>31744565.22</v>
      </c>
      <c r="S45" s="9"/>
      <c r="T45" s="9">
        <f t="shared" si="5"/>
        <v>530994565.2</v>
      </c>
      <c r="U45" s="62"/>
      <c r="V45" s="9" t="s">
        <v>62</v>
      </c>
      <c r="W45" s="1"/>
      <c r="X45" s="1"/>
      <c r="Y45" s="1"/>
      <c r="Z45" s="1"/>
      <c r="AA45" s="1"/>
    </row>
    <row r="46" ht="13.5" customHeight="1">
      <c r="B46" s="3">
        <f t="shared" si="6"/>
        <v>45</v>
      </c>
      <c r="C46" s="3" t="s">
        <v>77</v>
      </c>
      <c r="D46" s="3" t="s">
        <v>58</v>
      </c>
      <c r="E46" s="3" t="s">
        <v>139</v>
      </c>
      <c r="F46" s="3" t="s">
        <v>70</v>
      </c>
      <c r="G46" s="3" t="s">
        <v>14</v>
      </c>
      <c r="H46" s="3" t="s">
        <v>150</v>
      </c>
      <c r="I46" s="48">
        <v>0.1298</v>
      </c>
      <c r="J46" s="49">
        <v>54874.0</v>
      </c>
      <c r="K46" s="49">
        <v>44460.0</v>
      </c>
      <c r="L46" s="49">
        <v>44463.0</v>
      </c>
      <c r="M46" s="48">
        <f t="shared" si="10"/>
        <v>0.1299960999</v>
      </c>
      <c r="N46" s="98">
        <v>99.85</v>
      </c>
      <c r="O46" s="98">
        <v>3.0E8</v>
      </c>
      <c r="P46" s="84">
        <f t="shared" si="2"/>
        <v>318702554.3</v>
      </c>
      <c r="Q46" s="9">
        <f t="shared" si="3"/>
        <v>299550000</v>
      </c>
      <c r="R46" s="9">
        <f t="shared" si="4"/>
        <v>19152554.35</v>
      </c>
      <c r="S46" s="9"/>
      <c r="T46" s="9">
        <f t="shared" si="5"/>
        <v>318702554.3</v>
      </c>
      <c r="U46" s="62"/>
      <c r="V46" s="9" t="s">
        <v>62</v>
      </c>
      <c r="W46" s="1"/>
      <c r="X46" s="1"/>
      <c r="Y46" s="1"/>
      <c r="Z46" s="1"/>
      <c r="AA46" s="1"/>
    </row>
    <row r="47" ht="13.5" customHeight="1">
      <c r="B47" s="3">
        <f t="shared" si="6"/>
        <v>46</v>
      </c>
      <c r="C47" s="3" t="s">
        <v>77</v>
      </c>
      <c r="D47" s="3" t="s">
        <v>58</v>
      </c>
      <c r="E47" s="3" t="s">
        <v>139</v>
      </c>
      <c r="F47" s="3" t="s">
        <v>70</v>
      </c>
      <c r="G47" s="3" t="s">
        <v>14</v>
      </c>
      <c r="H47" s="3" t="s">
        <v>150</v>
      </c>
      <c r="I47" s="48">
        <v>0.1298</v>
      </c>
      <c r="J47" s="49">
        <v>54874.0</v>
      </c>
      <c r="K47" s="49">
        <v>44460.0</v>
      </c>
      <c r="L47" s="49">
        <v>44462.0</v>
      </c>
      <c r="M47" s="48">
        <f t="shared" si="10"/>
        <v>0.1299946541</v>
      </c>
      <c r="N47" s="98">
        <v>99.85</v>
      </c>
      <c r="O47" s="98">
        <v>2.0E8</v>
      </c>
      <c r="P47" s="84">
        <f t="shared" si="2"/>
        <v>212397826.1</v>
      </c>
      <c r="Q47" s="9">
        <f t="shared" si="3"/>
        <v>199700000</v>
      </c>
      <c r="R47" s="9">
        <f t="shared" si="4"/>
        <v>12697826.09</v>
      </c>
      <c r="S47" s="9"/>
      <c r="T47" s="9">
        <f t="shared" si="5"/>
        <v>212397826.1</v>
      </c>
      <c r="U47" s="62"/>
      <c r="V47" s="9" t="s">
        <v>62</v>
      </c>
      <c r="W47" s="1"/>
      <c r="X47" s="1"/>
      <c r="Y47" s="1"/>
      <c r="Z47" s="1"/>
      <c r="AA47" s="1"/>
    </row>
    <row r="48" ht="13.5" customHeight="1">
      <c r="B48" s="3">
        <f t="shared" si="6"/>
        <v>47</v>
      </c>
      <c r="C48" s="3" t="s">
        <v>77</v>
      </c>
      <c r="D48" s="3" t="s">
        <v>58</v>
      </c>
      <c r="E48" s="3" t="s">
        <v>139</v>
      </c>
      <c r="F48" s="3" t="s">
        <v>70</v>
      </c>
      <c r="G48" s="3" t="s">
        <v>14</v>
      </c>
      <c r="H48" s="3" t="s">
        <v>150</v>
      </c>
      <c r="I48" s="48">
        <v>0.1298</v>
      </c>
      <c r="J48" s="49">
        <v>54874.0</v>
      </c>
      <c r="K48" s="49">
        <v>44460.0</v>
      </c>
      <c r="L48" s="49">
        <v>44462.0</v>
      </c>
      <c r="M48" s="48">
        <f t="shared" si="10"/>
        <v>0.1299946541</v>
      </c>
      <c r="N48" s="98">
        <v>99.85</v>
      </c>
      <c r="O48" s="98">
        <v>2.0E8</v>
      </c>
      <c r="P48" s="84">
        <f t="shared" si="2"/>
        <v>212397826.1</v>
      </c>
      <c r="Q48" s="9">
        <f t="shared" si="3"/>
        <v>199700000</v>
      </c>
      <c r="R48" s="9">
        <f t="shared" si="4"/>
        <v>12697826.09</v>
      </c>
      <c r="S48" s="9"/>
      <c r="T48" s="9">
        <f t="shared" si="5"/>
        <v>212397826.1</v>
      </c>
      <c r="U48" s="62"/>
      <c r="V48" s="9" t="s">
        <v>62</v>
      </c>
      <c r="W48" s="1"/>
      <c r="X48" s="1"/>
      <c r="Y48" s="1"/>
      <c r="Z48" s="1"/>
      <c r="AA48" s="1"/>
    </row>
    <row r="49" ht="13.5" customHeight="1">
      <c r="B49" s="3">
        <f t="shared" si="6"/>
        <v>48</v>
      </c>
      <c r="C49" s="3" t="s">
        <v>77</v>
      </c>
      <c r="D49" s="3" t="s">
        <v>58</v>
      </c>
      <c r="E49" s="3" t="s">
        <v>139</v>
      </c>
      <c r="F49" s="3" t="s">
        <v>70</v>
      </c>
      <c r="G49" s="3" t="s">
        <v>14</v>
      </c>
      <c r="H49" s="3" t="s">
        <v>150</v>
      </c>
      <c r="I49" s="48">
        <v>0.1298</v>
      </c>
      <c r="J49" s="49">
        <v>54874.0</v>
      </c>
      <c r="K49" s="49">
        <v>44460.0</v>
      </c>
      <c r="L49" s="49">
        <v>44463.0</v>
      </c>
      <c r="M49" s="48">
        <f t="shared" si="10"/>
        <v>0.1299960999</v>
      </c>
      <c r="N49" s="98">
        <v>99.85</v>
      </c>
      <c r="O49" s="98">
        <v>2.0E8</v>
      </c>
      <c r="P49" s="84">
        <f t="shared" si="2"/>
        <v>212468369.6</v>
      </c>
      <c r="Q49" s="9">
        <f t="shared" si="3"/>
        <v>199700000</v>
      </c>
      <c r="R49" s="9">
        <f t="shared" si="4"/>
        <v>12768369.57</v>
      </c>
      <c r="S49" s="9"/>
      <c r="T49" s="9">
        <f t="shared" si="5"/>
        <v>212468369.6</v>
      </c>
      <c r="U49" s="62"/>
      <c r="V49" s="9" t="s">
        <v>62</v>
      </c>
      <c r="W49" s="1"/>
      <c r="X49" s="1"/>
      <c r="Y49" s="1"/>
      <c r="Z49" s="1"/>
      <c r="AA49" s="1"/>
    </row>
    <row r="50" ht="13.5" customHeight="1">
      <c r="B50" s="3">
        <f t="shared" si="6"/>
        <v>49</v>
      </c>
      <c r="C50" s="3" t="s">
        <v>83</v>
      </c>
      <c r="D50" s="3" t="s">
        <v>58</v>
      </c>
      <c r="E50" s="3" t="s">
        <v>139</v>
      </c>
      <c r="F50" s="3" t="s">
        <v>70</v>
      </c>
      <c r="G50" s="3" t="s">
        <v>12</v>
      </c>
      <c r="H50" s="3" t="s">
        <v>161</v>
      </c>
      <c r="I50" s="48">
        <v>0.1398</v>
      </c>
      <c r="J50" s="49">
        <v>46806.0</v>
      </c>
      <c r="K50" s="49">
        <v>44461.0</v>
      </c>
      <c r="L50" s="49">
        <v>44463.0</v>
      </c>
      <c r="M50" s="48">
        <f t="shared" si="10"/>
        <v>0.116</v>
      </c>
      <c r="N50" s="98">
        <v>110.5335929177</v>
      </c>
      <c r="O50" s="98">
        <v>3.579E9</v>
      </c>
      <c r="P50" s="84">
        <f t="shared" si="2"/>
        <v>3999505482</v>
      </c>
      <c r="Q50" s="9">
        <f t="shared" si="3"/>
        <v>3955997291</v>
      </c>
      <c r="R50" s="9">
        <f t="shared" si="4"/>
        <v>43508191.3</v>
      </c>
      <c r="S50" s="9"/>
      <c r="T50" s="9">
        <f t="shared" si="5"/>
        <v>3999505482</v>
      </c>
      <c r="U50" s="62"/>
      <c r="V50" s="9" t="s">
        <v>62</v>
      </c>
      <c r="W50" s="1"/>
      <c r="X50" s="1"/>
      <c r="Y50" s="1"/>
      <c r="Z50" s="1"/>
      <c r="AA50" s="1"/>
    </row>
    <row r="51" ht="13.5" customHeight="1">
      <c r="B51" s="3">
        <f t="shared" si="6"/>
        <v>50</v>
      </c>
      <c r="C51" s="3" t="s">
        <v>83</v>
      </c>
      <c r="D51" s="3" t="s">
        <v>58</v>
      </c>
      <c r="E51" s="3" t="s">
        <v>139</v>
      </c>
      <c r="F51" s="3" t="s">
        <v>70</v>
      </c>
      <c r="G51" s="3" t="s">
        <v>12</v>
      </c>
      <c r="H51" s="3" t="s">
        <v>167</v>
      </c>
      <c r="I51" s="48">
        <v>0.124</v>
      </c>
      <c r="J51" s="49">
        <v>49752.0</v>
      </c>
      <c r="K51" s="49">
        <v>44461.0</v>
      </c>
      <c r="L51" s="49">
        <v>44463.0</v>
      </c>
      <c r="M51" s="48">
        <f t="shared" si="10"/>
        <v>0.1275</v>
      </c>
      <c r="N51" s="98">
        <v>97.7070681707</v>
      </c>
      <c r="O51" s="98">
        <v>3.033E9</v>
      </c>
      <c r="P51" s="84">
        <f t="shared" si="2"/>
        <v>2969688947</v>
      </c>
      <c r="Q51" s="9">
        <f t="shared" si="3"/>
        <v>2963455378</v>
      </c>
      <c r="R51" s="9">
        <f t="shared" si="4"/>
        <v>6233569.061</v>
      </c>
      <c r="S51" s="9"/>
      <c r="T51" s="9">
        <f t="shared" si="5"/>
        <v>2969688947</v>
      </c>
      <c r="U51" s="62"/>
      <c r="V51" s="9" t="s">
        <v>62</v>
      </c>
      <c r="W51" s="1"/>
      <c r="X51" s="1"/>
      <c r="Y51" s="1"/>
      <c r="Z51" s="1"/>
      <c r="AA51" s="1"/>
    </row>
    <row r="52" ht="13.5" customHeight="1">
      <c r="B52" s="3">
        <f t="shared" si="6"/>
        <v>51</v>
      </c>
      <c r="C52" s="3" t="s">
        <v>115</v>
      </c>
      <c r="D52" s="3" t="s">
        <v>58</v>
      </c>
      <c r="E52" s="3" t="s">
        <v>139</v>
      </c>
      <c r="F52" s="3" t="s">
        <v>70</v>
      </c>
      <c r="G52" s="3" t="s">
        <v>14</v>
      </c>
      <c r="H52" s="3" t="s">
        <v>167</v>
      </c>
      <c r="I52" s="48">
        <v>0.124</v>
      </c>
      <c r="J52" s="49">
        <v>49752.0</v>
      </c>
      <c r="K52" s="49">
        <v>44477.0</v>
      </c>
      <c r="L52" s="49">
        <v>44481.0</v>
      </c>
      <c r="M52" s="48">
        <f t="shared" si="10"/>
        <v>0.1295078999</v>
      </c>
      <c r="N52" s="98">
        <v>96.42</v>
      </c>
      <c r="O52" s="98">
        <v>5.0E8</v>
      </c>
      <c r="P52" s="84">
        <f t="shared" si="2"/>
        <v>486210497.2</v>
      </c>
      <c r="Q52" s="9">
        <f t="shared" si="3"/>
        <v>482100000</v>
      </c>
      <c r="R52" s="9">
        <f t="shared" si="4"/>
        <v>4110497.238</v>
      </c>
      <c r="S52" s="9"/>
      <c r="T52" s="9">
        <f t="shared" si="5"/>
        <v>486210497.2</v>
      </c>
      <c r="U52" s="62"/>
      <c r="V52" s="9" t="s">
        <v>62</v>
      </c>
      <c r="W52" s="1"/>
      <c r="X52" s="1"/>
      <c r="Y52" s="1"/>
      <c r="Z52" s="1"/>
      <c r="AA52" s="1"/>
    </row>
    <row r="53" ht="13.5" customHeight="1">
      <c r="B53" s="3">
        <f t="shared" si="6"/>
        <v>52</v>
      </c>
      <c r="C53" s="3" t="s">
        <v>115</v>
      </c>
      <c r="D53" s="3" t="s">
        <v>58</v>
      </c>
      <c r="E53" s="3" t="s">
        <v>139</v>
      </c>
      <c r="F53" s="3" t="s">
        <v>70</v>
      </c>
      <c r="G53" s="3" t="s">
        <v>14</v>
      </c>
      <c r="H53" s="3" t="s">
        <v>167</v>
      </c>
      <c r="I53" s="48">
        <v>0.124</v>
      </c>
      <c r="J53" s="49">
        <v>49752.0</v>
      </c>
      <c r="K53" s="49">
        <v>44477.0</v>
      </c>
      <c r="L53" s="49">
        <v>44481.0</v>
      </c>
      <c r="M53" s="48">
        <f t="shared" si="10"/>
        <v>0.1300027285</v>
      </c>
      <c r="N53" s="98">
        <v>96.11</v>
      </c>
      <c r="O53" s="98">
        <v>2.533E9</v>
      </c>
      <c r="P53" s="84">
        <f t="shared" si="2"/>
        <v>2455290079</v>
      </c>
      <c r="Q53" s="9">
        <f t="shared" si="3"/>
        <v>2434466300</v>
      </c>
      <c r="R53" s="9">
        <f t="shared" si="4"/>
        <v>20823779.01</v>
      </c>
      <c r="S53" s="9"/>
      <c r="T53" s="9">
        <f t="shared" si="5"/>
        <v>2455290079</v>
      </c>
      <c r="U53" s="62"/>
      <c r="V53" s="9" t="s">
        <v>62</v>
      </c>
      <c r="W53" s="1"/>
      <c r="X53" s="1"/>
      <c r="Y53" s="1"/>
      <c r="Z53" s="1"/>
      <c r="AA53" s="1"/>
    </row>
    <row r="54" ht="13.5" customHeight="1">
      <c r="B54" s="3">
        <f t="shared" si="6"/>
        <v>53</v>
      </c>
      <c r="C54" s="3" t="s">
        <v>115</v>
      </c>
      <c r="D54" s="3" t="s">
        <v>58</v>
      </c>
      <c r="E54" s="3" t="s">
        <v>139</v>
      </c>
      <c r="F54" s="3" t="s">
        <v>70</v>
      </c>
      <c r="G54" s="3" t="s">
        <v>14</v>
      </c>
      <c r="H54" s="3" t="s">
        <v>161</v>
      </c>
      <c r="I54" s="48">
        <v>0.1398</v>
      </c>
      <c r="J54" s="49">
        <v>46806.0</v>
      </c>
      <c r="K54" s="49">
        <v>44483.0</v>
      </c>
      <c r="L54" s="49">
        <v>44487.0</v>
      </c>
      <c r="M54" s="48">
        <f t="shared" si="10"/>
        <v>0.12</v>
      </c>
      <c r="N54" s="98">
        <v>108.5827945203</v>
      </c>
      <c r="O54" s="98">
        <v>1.0E9</v>
      </c>
      <c r="P54" s="84">
        <f t="shared" si="2"/>
        <v>1107101858</v>
      </c>
      <c r="Q54" s="9">
        <f t="shared" si="3"/>
        <v>1085827945</v>
      </c>
      <c r="R54" s="9">
        <f t="shared" si="4"/>
        <v>21273913.04</v>
      </c>
      <c r="S54" s="9"/>
      <c r="T54" s="9">
        <f t="shared" si="5"/>
        <v>1107101858</v>
      </c>
      <c r="U54" s="62"/>
      <c r="V54" s="9" t="s">
        <v>62</v>
      </c>
      <c r="W54" s="1"/>
      <c r="X54" s="1"/>
      <c r="Y54" s="1"/>
      <c r="Z54" s="1"/>
      <c r="AA54" s="1"/>
    </row>
    <row r="55" ht="13.5" customHeight="1">
      <c r="B55" s="3">
        <f t="shared" si="6"/>
        <v>54</v>
      </c>
      <c r="C55" s="3" t="s">
        <v>115</v>
      </c>
      <c r="D55" s="3" t="s">
        <v>58</v>
      </c>
      <c r="E55" s="3" t="s">
        <v>139</v>
      </c>
      <c r="F55" s="3" t="s">
        <v>70</v>
      </c>
      <c r="G55" s="3" t="s">
        <v>14</v>
      </c>
      <c r="H55" s="3" t="s">
        <v>161</v>
      </c>
      <c r="I55" s="48">
        <v>0.1398</v>
      </c>
      <c r="J55" s="49">
        <v>46806.0</v>
      </c>
      <c r="K55" s="49">
        <v>44489.0</v>
      </c>
      <c r="L55" s="49">
        <v>44491.0</v>
      </c>
      <c r="M55" s="48">
        <f t="shared" si="10"/>
        <v>0.12</v>
      </c>
      <c r="N55" s="98">
        <v>108.5711651537</v>
      </c>
      <c r="O55" s="98">
        <v>5.0E8</v>
      </c>
      <c r="P55" s="84">
        <f t="shared" si="2"/>
        <v>554252564.9</v>
      </c>
      <c r="Q55" s="9">
        <f t="shared" si="3"/>
        <v>542855825.8</v>
      </c>
      <c r="R55" s="9">
        <f t="shared" si="4"/>
        <v>11396739.13</v>
      </c>
      <c r="S55" s="9"/>
      <c r="T55" s="9">
        <f t="shared" si="5"/>
        <v>554252564.9</v>
      </c>
      <c r="U55" s="62"/>
      <c r="V55" s="9" t="s">
        <v>62</v>
      </c>
      <c r="W55" s="1"/>
      <c r="X55" s="1"/>
      <c r="Y55" s="1"/>
      <c r="Z55" s="1"/>
      <c r="AA55" s="1"/>
    </row>
    <row r="56" ht="13.5" customHeight="1">
      <c r="B56" s="3">
        <f t="shared" si="6"/>
        <v>55</v>
      </c>
      <c r="C56" s="3" t="s">
        <v>77</v>
      </c>
      <c r="D56" s="3" t="s">
        <v>58</v>
      </c>
      <c r="E56" s="3" t="s">
        <v>139</v>
      </c>
      <c r="F56" s="3" t="s">
        <v>70</v>
      </c>
      <c r="G56" s="3" t="s">
        <v>14</v>
      </c>
      <c r="H56" s="3" t="s">
        <v>145</v>
      </c>
      <c r="I56" s="48">
        <v>0.098</v>
      </c>
      <c r="J56" s="49">
        <v>53167.0</v>
      </c>
      <c r="K56" s="49">
        <v>44490.0</v>
      </c>
      <c r="L56" s="49">
        <v>44494.0</v>
      </c>
      <c r="M56" s="48">
        <f t="shared" si="10"/>
        <v>0.1249938359</v>
      </c>
      <c r="N56" s="98">
        <v>79.58</v>
      </c>
      <c r="O56" s="98">
        <v>2.0E8</v>
      </c>
      <c r="P56" s="84">
        <f t="shared" si="2"/>
        <v>164113260.9</v>
      </c>
      <c r="Q56" s="9">
        <f t="shared" si="3"/>
        <v>159160000</v>
      </c>
      <c r="R56" s="9">
        <f t="shared" si="4"/>
        <v>4953260.87</v>
      </c>
      <c r="S56" s="9"/>
      <c r="T56" s="9">
        <f t="shared" si="5"/>
        <v>164113260.9</v>
      </c>
      <c r="U56" s="62"/>
      <c r="V56" s="9" t="s">
        <v>62</v>
      </c>
      <c r="W56" s="1"/>
      <c r="X56" s="1"/>
      <c r="Y56" s="1"/>
      <c r="Z56" s="1"/>
      <c r="AA56" s="1"/>
    </row>
    <row r="57" ht="13.5" customHeight="1">
      <c r="B57" s="3">
        <f t="shared" si="6"/>
        <v>56</v>
      </c>
      <c r="C57" s="3" t="s">
        <v>115</v>
      </c>
      <c r="D57" s="3" t="s">
        <v>58</v>
      </c>
      <c r="E57" s="3" t="s">
        <v>139</v>
      </c>
      <c r="F57" s="3" t="s">
        <v>70</v>
      </c>
      <c r="G57" s="3" t="s">
        <v>14</v>
      </c>
      <c r="H57" s="3" t="s">
        <v>161</v>
      </c>
      <c r="I57" s="48">
        <v>0.1398</v>
      </c>
      <c r="J57" s="49">
        <v>46806.0</v>
      </c>
      <c r="K57" s="49">
        <v>44490.0</v>
      </c>
      <c r="L57" s="49">
        <v>44494.0</v>
      </c>
      <c r="M57" s="48">
        <f t="shared" si="10"/>
        <v>0.1225</v>
      </c>
      <c r="N57" s="98">
        <v>107.4212526843</v>
      </c>
      <c r="O57" s="98">
        <v>1.2E9</v>
      </c>
      <c r="P57" s="84">
        <f t="shared" si="2"/>
        <v>1317774815</v>
      </c>
      <c r="Q57" s="9">
        <f t="shared" si="3"/>
        <v>1289055032</v>
      </c>
      <c r="R57" s="9">
        <f t="shared" si="4"/>
        <v>28719782.61</v>
      </c>
      <c r="S57" s="9"/>
      <c r="T57" s="9">
        <f t="shared" si="5"/>
        <v>1317774815</v>
      </c>
      <c r="U57" s="62"/>
      <c r="V57" s="9" t="s">
        <v>62</v>
      </c>
      <c r="W57" s="1"/>
      <c r="X57" s="1"/>
      <c r="Y57" s="1"/>
      <c r="Z57" s="1"/>
      <c r="AA57" s="1"/>
    </row>
    <row r="58" ht="13.5" customHeight="1">
      <c r="B58" s="3">
        <f t="shared" si="6"/>
        <v>57</v>
      </c>
      <c r="C58" s="3" t="s">
        <v>115</v>
      </c>
      <c r="D58" s="3" t="s">
        <v>58</v>
      </c>
      <c r="E58" s="3" t="s">
        <v>139</v>
      </c>
      <c r="F58" s="3" t="s">
        <v>70</v>
      </c>
      <c r="G58" s="3" t="s">
        <v>14</v>
      </c>
      <c r="H58" s="3" t="s">
        <v>161</v>
      </c>
      <c r="I58" s="48">
        <v>0.1398</v>
      </c>
      <c r="J58" s="49">
        <v>46806.0</v>
      </c>
      <c r="K58" s="49">
        <v>44494.0</v>
      </c>
      <c r="L58" s="49">
        <v>44496.0</v>
      </c>
      <c r="M58" s="48">
        <f t="shared" si="10"/>
        <v>0.123</v>
      </c>
      <c r="N58" s="98">
        <v>107.190051348</v>
      </c>
      <c r="O58" s="98">
        <v>1.0E9</v>
      </c>
      <c r="P58" s="84">
        <f t="shared" si="2"/>
        <v>1096593448</v>
      </c>
      <c r="Q58" s="9">
        <f t="shared" si="3"/>
        <v>1071900513</v>
      </c>
      <c r="R58" s="9">
        <f t="shared" si="4"/>
        <v>24692934.78</v>
      </c>
      <c r="S58" s="9"/>
      <c r="T58" s="9">
        <f t="shared" si="5"/>
        <v>1096593448</v>
      </c>
      <c r="U58" s="62"/>
      <c r="V58" s="9" t="s">
        <v>62</v>
      </c>
      <c r="W58" s="1"/>
      <c r="X58" s="1"/>
      <c r="Y58" s="1"/>
      <c r="Z58" s="1"/>
      <c r="AA58" s="1"/>
    </row>
    <row r="59" ht="13.5" customHeight="1">
      <c r="B59" s="3">
        <f t="shared" si="6"/>
        <v>58</v>
      </c>
      <c r="C59" s="3" t="s">
        <v>83</v>
      </c>
      <c r="D59" s="3" t="s">
        <v>58</v>
      </c>
      <c r="E59" s="3" t="s">
        <v>139</v>
      </c>
      <c r="F59" s="3" t="s">
        <v>70</v>
      </c>
      <c r="G59" s="3" t="s">
        <v>14</v>
      </c>
      <c r="H59" s="3" t="s">
        <v>161</v>
      </c>
      <c r="I59" s="48">
        <v>0.1398</v>
      </c>
      <c r="J59" s="49">
        <v>46806.0</v>
      </c>
      <c r="K59" s="49">
        <v>44496.0</v>
      </c>
      <c r="L59" s="49">
        <v>44498.0</v>
      </c>
      <c r="M59" s="48">
        <f t="shared" si="10"/>
        <v>0.123</v>
      </c>
      <c r="N59" s="98">
        <v>107.1852352858</v>
      </c>
      <c r="O59" s="98">
        <v>5.0E8</v>
      </c>
      <c r="P59" s="84">
        <f t="shared" si="2"/>
        <v>548652535.1</v>
      </c>
      <c r="Q59" s="9">
        <f t="shared" si="3"/>
        <v>535926176.4</v>
      </c>
      <c r="R59" s="9">
        <f t="shared" si="4"/>
        <v>12726358.7</v>
      </c>
      <c r="S59" s="9"/>
      <c r="T59" s="9">
        <f t="shared" si="5"/>
        <v>548652535.1</v>
      </c>
      <c r="U59" s="62"/>
      <c r="V59" s="9" t="s">
        <v>62</v>
      </c>
      <c r="W59" s="1"/>
      <c r="X59" s="1"/>
      <c r="Y59" s="1"/>
      <c r="Z59" s="1"/>
      <c r="AA59" s="1"/>
    </row>
    <row r="60" ht="13.5" customHeight="1">
      <c r="B60" s="3">
        <f t="shared" si="6"/>
        <v>59</v>
      </c>
      <c r="C60" s="3" t="s">
        <v>115</v>
      </c>
      <c r="D60" s="3" t="s">
        <v>58</v>
      </c>
      <c r="E60" s="3" t="s">
        <v>139</v>
      </c>
      <c r="F60" s="3" t="s">
        <v>70</v>
      </c>
      <c r="G60" s="3" t="s">
        <v>14</v>
      </c>
      <c r="H60" s="3" t="s">
        <v>161</v>
      </c>
      <c r="I60" s="48">
        <v>0.1398</v>
      </c>
      <c r="J60" s="49">
        <v>46806.0</v>
      </c>
      <c r="K60" s="49">
        <v>44498.0</v>
      </c>
      <c r="L60" s="49">
        <v>44502.0</v>
      </c>
      <c r="M60" s="48">
        <f t="shared" si="10"/>
        <v>0.123</v>
      </c>
      <c r="N60" s="98">
        <v>107.1757417309</v>
      </c>
      <c r="O60" s="98">
        <v>8.79E8</v>
      </c>
      <c r="P60" s="84">
        <f t="shared" si="2"/>
        <v>965783406.2</v>
      </c>
      <c r="Q60" s="9">
        <f t="shared" si="3"/>
        <v>942074769.8</v>
      </c>
      <c r="R60" s="9">
        <f t="shared" si="4"/>
        <v>23708636.41</v>
      </c>
      <c r="S60" s="9"/>
      <c r="T60" s="9">
        <f t="shared" si="5"/>
        <v>965783406.2</v>
      </c>
      <c r="U60" s="62"/>
      <c r="V60" s="9" t="s">
        <v>62</v>
      </c>
      <c r="W60" s="1"/>
      <c r="X60" s="1"/>
      <c r="Y60" s="1"/>
      <c r="Z60" s="1"/>
      <c r="AA60" s="1"/>
    </row>
    <row r="61" ht="13.5" customHeight="1">
      <c r="B61" s="3">
        <f t="shared" si="6"/>
        <v>60</v>
      </c>
      <c r="C61" s="3" t="s">
        <v>92</v>
      </c>
      <c r="D61" s="3" t="s">
        <v>58</v>
      </c>
      <c r="E61" s="3" t="s">
        <v>139</v>
      </c>
      <c r="F61" s="3" t="s">
        <v>70</v>
      </c>
      <c r="G61" s="3" t="s">
        <v>14</v>
      </c>
      <c r="H61" s="3" t="s">
        <v>140</v>
      </c>
      <c r="I61" s="48">
        <v>0.125</v>
      </c>
      <c r="J61" s="49">
        <v>46044.0</v>
      </c>
      <c r="K61" s="49">
        <v>44579.0</v>
      </c>
      <c r="L61" s="49">
        <v>44581.0</v>
      </c>
      <c r="M61" s="48">
        <f t="shared" si="10"/>
        <v>0.1156483662</v>
      </c>
      <c r="N61" s="98">
        <v>102.93</v>
      </c>
      <c r="O61" s="98">
        <v>1.94E8</v>
      </c>
      <c r="P61" s="84">
        <f t="shared" si="2"/>
        <v>211677406.5</v>
      </c>
      <c r="Q61" s="9">
        <f t="shared" si="3"/>
        <v>199684200</v>
      </c>
      <c r="R61" s="9">
        <f t="shared" si="4"/>
        <v>11993206.52</v>
      </c>
      <c r="S61" s="9"/>
      <c r="T61" s="9">
        <f t="shared" si="5"/>
        <v>211677406.5</v>
      </c>
      <c r="U61" s="62"/>
      <c r="V61" s="9"/>
      <c r="W61" s="1"/>
      <c r="X61" s="1"/>
      <c r="Y61" s="1"/>
      <c r="Z61" s="1"/>
      <c r="AA61" s="1"/>
    </row>
    <row r="62" ht="13.5" customHeight="1">
      <c r="B62" s="3">
        <f t="shared" si="6"/>
        <v>61</v>
      </c>
      <c r="C62" s="3" t="s">
        <v>92</v>
      </c>
      <c r="D62" s="3" t="s">
        <v>58</v>
      </c>
      <c r="E62" s="3" t="s">
        <v>139</v>
      </c>
      <c r="F62" s="3" t="s">
        <v>70</v>
      </c>
      <c r="G62" s="3" t="s">
        <v>14</v>
      </c>
      <c r="H62" s="3" t="s">
        <v>146</v>
      </c>
      <c r="I62" s="48">
        <v>0.162884</v>
      </c>
      <c r="J62" s="49">
        <v>46463.0</v>
      </c>
      <c r="K62" s="49">
        <v>44579.0</v>
      </c>
      <c r="L62" s="49">
        <v>44581.0</v>
      </c>
      <c r="M62" s="48">
        <f t="shared" si="10"/>
        <v>0.1226302202</v>
      </c>
      <c r="N62" s="98">
        <v>115.0</v>
      </c>
      <c r="O62" s="98">
        <v>1.0E8</v>
      </c>
      <c r="P62" s="84">
        <f t="shared" si="2"/>
        <v>120624447.5</v>
      </c>
      <c r="Q62" s="9">
        <f t="shared" si="3"/>
        <v>115000000</v>
      </c>
      <c r="R62" s="9">
        <f t="shared" si="4"/>
        <v>5624447.514</v>
      </c>
      <c r="S62" s="9"/>
      <c r="T62" s="9">
        <f t="shared" si="5"/>
        <v>120624447.5</v>
      </c>
      <c r="U62" s="62"/>
      <c r="V62" s="9"/>
      <c r="W62" s="1"/>
      <c r="X62" s="1"/>
      <c r="Y62" s="1"/>
      <c r="Z62" s="1"/>
      <c r="AA62" s="1"/>
    </row>
    <row r="63" ht="13.5" customHeight="1">
      <c r="B63" s="3">
        <f t="shared" si="6"/>
        <v>62</v>
      </c>
      <c r="C63" s="1" t="s">
        <v>57</v>
      </c>
      <c r="D63" s="1" t="s">
        <v>58</v>
      </c>
      <c r="E63" s="3" t="s">
        <v>139</v>
      </c>
      <c r="F63" s="1" t="s">
        <v>60</v>
      </c>
      <c r="G63" s="1" t="s">
        <v>12</v>
      </c>
      <c r="H63" s="1" t="s">
        <v>171</v>
      </c>
      <c r="I63" s="62">
        <v>0.162499</v>
      </c>
      <c r="J63" s="52">
        <v>50148.0</v>
      </c>
      <c r="K63" s="122">
        <v>44915.0</v>
      </c>
      <c r="L63" s="122">
        <v>44917.0</v>
      </c>
      <c r="M63" s="62">
        <f t="shared" si="10"/>
        <v>0.1419973798</v>
      </c>
      <c r="N63" s="63">
        <v>112.35</v>
      </c>
      <c r="O63" s="63">
        <v>2.0E9</v>
      </c>
      <c r="P63" s="15">
        <f t="shared" si="2"/>
        <v>2305035357</v>
      </c>
      <c r="Q63" s="15">
        <f t="shared" si="3"/>
        <v>2247000000</v>
      </c>
      <c r="R63" s="15">
        <f t="shared" si="4"/>
        <v>58035357.14</v>
      </c>
      <c r="S63" s="15"/>
      <c r="T63" s="15">
        <f t="shared" si="5"/>
        <v>2305035357</v>
      </c>
      <c r="U63" s="62"/>
      <c r="V63" s="1"/>
      <c r="W63" s="1"/>
      <c r="X63" s="1"/>
      <c r="Y63" s="1"/>
      <c r="Z63" s="1"/>
      <c r="AA63" s="1"/>
    </row>
    <row r="64" ht="13.5" customHeight="1">
      <c r="B64" s="3">
        <f t="shared" si="6"/>
        <v>63</v>
      </c>
      <c r="C64" s="1" t="s">
        <v>57</v>
      </c>
      <c r="D64" s="1" t="s">
        <v>58</v>
      </c>
      <c r="E64" s="3" t="s">
        <v>139</v>
      </c>
      <c r="F64" s="1" t="s">
        <v>60</v>
      </c>
      <c r="G64" s="1" t="s">
        <v>12</v>
      </c>
      <c r="H64" s="1" t="s">
        <v>171</v>
      </c>
      <c r="I64" s="62">
        <v>0.162499</v>
      </c>
      <c r="J64" s="52">
        <v>50148.0</v>
      </c>
      <c r="K64" s="122">
        <v>44944.0</v>
      </c>
      <c r="L64" s="122">
        <v>44946.0</v>
      </c>
      <c r="M64" s="62">
        <f t="shared" si="10"/>
        <v>0.1455018278</v>
      </c>
      <c r="N64" s="63">
        <v>110.03</v>
      </c>
      <c r="O64" s="63">
        <v>2.0E9</v>
      </c>
      <c r="P64" s="15">
        <f t="shared" si="2"/>
        <v>2284528055</v>
      </c>
      <c r="Q64" s="15">
        <f t="shared" si="3"/>
        <v>2200600000</v>
      </c>
      <c r="R64" s="15">
        <f t="shared" si="4"/>
        <v>83928054.95</v>
      </c>
      <c r="S64" s="15"/>
      <c r="T64" s="15">
        <f t="shared" si="5"/>
        <v>2284528055</v>
      </c>
      <c r="U64" s="62"/>
      <c r="V64" s="1"/>
      <c r="W64" s="1"/>
      <c r="X64" s="1"/>
      <c r="Y64" s="1"/>
      <c r="Z64" s="1"/>
      <c r="AA64" s="1"/>
    </row>
    <row r="65" ht="13.5" customHeight="1">
      <c r="B65" s="3">
        <f t="shared" si="6"/>
        <v>64</v>
      </c>
      <c r="C65" s="1" t="s">
        <v>57</v>
      </c>
      <c r="D65" s="1" t="s">
        <v>58</v>
      </c>
      <c r="E65" s="3" t="s">
        <v>139</v>
      </c>
      <c r="F65" s="1" t="s">
        <v>60</v>
      </c>
      <c r="G65" s="1" t="s">
        <v>12</v>
      </c>
      <c r="H65" s="1" t="s">
        <v>173</v>
      </c>
      <c r="I65" s="62">
        <v>0.148</v>
      </c>
      <c r="J65" s="52">
        <v>54539.0</v>
      </c>
      <c r="K65" s="122">
        <v>44965.0</v>
      </c>
      <c r="L65" s="122">
        <v>44967.0</v>
      </c>
      <c r="M65" s="62">
        <f t="shared" si="10"/>
        <v>0.1564928296</v>
      </c>
      <c r="N65" s="63">
        <v>94.61</v>
      </c>
      <c r="O65" s="63">
        <v>5.0E9</v>
      </c>
      <c r="P65" s="15">
        <f t="shared" si="2"/>
        <v>4948027473</v>
      </c>
      <c r="Q65" s="15">
        <f t="shared" si="3"/>
        <v>4730500000</v>
      </c>
      <c r="R65" s="15">
        <f t="shared" si="4"/>
        <v>217527472.5</v>
      </c>
      <c r="S65" s="15"/>
      <c r="T65" s="15">
        <f t="shared" si="5"/>
        <v>4948027473</v>
      </c>
      <c r="U65" s="62"/>
      <c r="V65" s="1"/>
      <c r="W65" s="1"/>
      <c r="X65" s="1"/>
      <c r="Y65" s="1"/>
      <c r="Z65" s="1"/>
      <c r="AA65" s="1"/>
    </row>
    <row r="66" ht="13.5" customHeight="1">
      <c r="B66" s="3">
        <f t="shared" si="6"/>
        <v>65</v>
      </c>
      <c r="C66" s="1" t="s">
        <v>57</v>
      </c>
      <c r="D66" s="1" t="s">
        <v>58</v>
      </c>
      <c r="E66" s="3" t="s">
        <v>139</v>
      </c>
      <c r="F66" s="1" t="s">
        <v>60</v>
      </c>
      <c r="G66" s="1" t="s">
        <v>12</v>
      </c>
      <c r="H66" s="1" t="s">
        <v>173</v>
      </c>
      <c r="I66" s="62">
        <v>0.148</v>
      </c>
      <c r="J66" s="52">
        <v>54539.0</v>
      </c>
      <c r="K66" s="122">
        <v>44973.0</v>
      </c>
      <c r="L66" s="122">
        <v>44977.0</v>
      </c>
      <c r="M66" s="62">
        <f t="shared" si="10"/>
        <v>0.157495936</v>
      </c>
      <c r="N66" s="63">
        <v>94.02</v>
      </c>
      <c r="O66" s="63">
        <v>1.0E9</v>
      </c>
      <c r="P66" s="15">
        <f t="shared" si="2"/>
        <v>987771428.6</v>
      </c>
      <c r="Q66" s="15">
        <f t="shared" si="3"/>
        <v>940200000</v>
      </c>
      <c r="R66" s="15">
        <f t="shared" si="4"/>
        <v>47571428.57</v>
      </c>
      <c r="S66" s="15" t="str">
        <f t="shared" ref="S66:S67" si="11">#REF!*O66</f>
        <v>#REF!</v>
      </c>
      <c r="T66" s="15">
        <f t="shared" ref="T66:T67" si="12">IFERROR(Q66+R66+S66,Q66)</f>
        <v>940200000</v>
      </c>
      <c r="U66" s="62"/>
      <c r="V66" s="1"/>
      <c r="W66" s="1"/>
      <c r="X66" s="1"/>
      <c r="Y66" s="1"/>
      <c r="Z66" s="1"/>
      <c r="AA66" s="1"/>
    </row>
    <row r="67" ht="13.5" customHeight="1">
      <c r="B67" s="3">
        <f t="shared" si="6"/>
        <v>66</v>
      </c>
      <c r="C67" s="1" t="s">
        <v>123</v>
      </c>
      <c r="D67" s="1" t="s">
        <v>58</v>
      </c>
      <c r="E67" s="3" t="s">
        <v>139</v>
      </c>
      <c r="F67" s="1" t="s">
        <v>153</v>
      </c>
      <c r="G67" s="1" t="s">
        <v>12</v>
      </c>
      <c r="H67" s="1" t="s">
        <v>171</v>
      </c>
      <c r="I67" s="62">
        <v>0.1625</v>
      </c>
      <c r="J67" s="52">
        <v>50148.0</v>
      </c>
      <c r="K67" s="122">
        <v>44993.0</v>
      </c>
      <c r="L67" s="122">
        <v>44998.0</v>
      </c>
      <c r="M67" s="62">
        <f t="shared" si="10"/>
        <v>0.1514949382</v>
      </c>
      <c r="N67" s="63">
        <v>106.29</v>
      </c>
      <c r="O67" s="63">
        <v>8.0E8</v>
      </c>
      <c r="P67" s="15">
        <f t="shared" si="2"/>
        <v>902462857.1</v>
      </c>
      <c r="Q67" s="15">
        <f t="shared" si="3"/>
        <v>850320000</v>
      </c>
      <c r="R67" s="15">
        <f t="shared" si="4"/>
        <v>52142857.14</v>
      </c>
      <c r="S67" s="15" t="str">
        <f t="shared" si="11"/>
        <v>#REF!</v>
      </c>
      <c r="T67" s="15">
        <f t="shared" si="12"/>
        <v>850320000</v>
      </c>
      <c r="U67" s="62"/>
      <c r="V67" s="1"/>
      <c r="W67" s="1"/>
      <c r="X67" s="1"/>
      <c r="Y67" s="1"/>
      <c r="Z67" s="1"/>
      <c r="AA67" s="1"/>
    </row>
    <row r="68" ht="13.5" customHeight="1">
      <c r="B68" s="3">
        <f t="shared" si="6"/>
        <v>67</v>
      </c>
      <c r="C68" s="1" t="s">
        <v>123</v>
      </c>
      <c r="D68" s="1" t="s">
        <v>58</v>
      </c>
      <c r="E68" s="3" t="s">
        <v>139</v>
      </c>
      <c r="F68" s="1" t="s">
        <v>153</v>
      </c>
      <c r="G68" s="1" t="s">
        <v>14</v>
      </c>
      <c r="H68" s="1" t="s">
        <v>173</v>
      </c>
      <c r="I68" s="62">
        <v>0.148</v>
      </c>
      <c r="J68" s="52">
        <v>54539.0</v>
      </c>
      <c r="K68" s="122">
        <v>45100.0</v>
      </c>
      <c r="L68" s="122">
        <v>45104.0</v>
      </c>
      <c r="M68" s="62">
        <f t="shared" si="10"/>
        <v>0.155992793</v>
      </c>
      <c r="N68" s="63">
        <v>94.92</v>
      </c>
      <c r="O68" s="63">
        <v>6.0E9</v>
      </c>
      <c r="P68" s="15">
        <f t="shared" si="2"/>
        <v>5845626230</v>
      </c>
      <c r="Q68" s="15">
        <f t="shared" si="3"/>
        <v>5695200000</v>
      </c>
      <c r="R68" s="15">
        <f t="shared" si="4"/>
        <v>150426229.5</v>
      </c>
      <c r="S68" s="15"/>
      <c r="T68" s="15">
        <f t="shared" ref="T68:T144" si="13">IFERROR(Q68+R68,Q68)</f>
        <v>5845626230</v>
      </c>
      <c r="U68" s="62"/>
      <c r="V68" s="1"/>
      <c r="W68" s="1"/>
      <c r="X68" s="1"/>
      <c r="Y68" s="1"/>
      <c r="Z68" s="1"/>
      <c r="AA68" s="1"/>
    </row>
    <row r="69" ht="13.5" customHeight="1">
      <c r="B69" s="3">
        <f t="shared" si="6"/>
        <v>68</v>
      </c>
      <c r="C69" s="1" t="s">
        <v>123</v>
      </c>
      <c r="D69" s="1" t="s">
        <v>58</v>
      </c>
      <c r="E69" s="3" t="s">
        <v>139</v>
      </c>
      <c r="F69" s="1" t="s">
        <v>153</v>
      </c>
      <c r="G69" s="1" t="s">
        <v>12</v>
      </c>
      <c r="H69" s="3" t="s">
        <v>150</v>
      </c>
      <c r="I69" s="62">
        <v>0.1298</v>
      </c>
      <c r="J69" s="52">
        <v>54874.0</v>
      </c>
      <c r="K69" s="122">
        <v>45120.0</v>
      </c>
      <c r="L69" s="122">
        <v>45124.0</v>
      </c>
      <c r="M69" s="62">
        <f t="shared" si="10"/>
        <v>0.1399976772</v>
      </c>
      <c r="N69" s="63">
        <v>92.86</v>
      </c>
      <c r="O69" s="63">
        <v>5.3E9</v>
      </c>
      <c r="P69" s="15">
        <f t="shared" si="2"/>
        <v>5130953043</v>
      </c>
      <c r="Q69" s="15">
        <f t="shared" si="3"/>
        <v>4921580000</v>
      </c>
      <c r="R69" s="15">
        <f t="shared" si="4"/>
        <v>209373043.5</v>
      </c>
      <c r="S69" s="15"/>
      <c r="T69" s="15">
        <f t="shared" si="13"/>
        <v>5130953043</v>
      </c>
      <c r="U69" s="62"/>
      <c r="V69" s="1"/>
      <c r="W69" s="1"/>
      <c r="X69" s="1"/>
      <c r="Y69" s="1"/>
      <c r="Z69" s="1"/>
      <c r="AA69" s="1"/>
    </row>
    <row r="70" ht="13.5" customHeight="1">
      <c r="B70" s="3">
        <f t="shared" si="6"/>
        <v>69</v>
      </c>
      <c r="C70" s="1" t="s">
        <v>123</v>
      </c>
      <c r="D70" s="1" t="s">
        <v>58</v>
      </c>
      <c r="E70" s="3" t="s">
        <v>139</v>
      </c>
      <c r="F70" s="1" t="s">
        <v>60</v>
      </c>
      <c r="G70" s="1" t="s">
        <v>14</v>
      </c>
      <c r="H70" s="1" t="s">
        <v>171</v>
      </c>
      <c r="I70" s="62">
        <v>0.1625</v>
      </c>
      <c r="J70" s="52">
        <v>50148.0</v>
      </c>
      <c r="K70" s="122">
        <v>45230.0</v>
      </c>
      <c r="L70" s="122">
        <v>45231.0</v>
      </c>
      <c r="M70" s="62">
        <f t="shared" si="10"/>
        <v>0.1650030896</v>
      </c>
      <c r="N70" s="63">
        <v>98.64</v>
      </c>
      <c r="O70" s="63">
        <v>8.0E8</v>
      </c>
      <c r="P70" s="15">
        <f t="shared" si="2"/>
        <v>794092677.6</v>
      </c>
      <c r="Q70" s="15">
        <f t="shared" si="3"/>
        <v>789120000</v>
      </c>
      <c r="R70" s="15">
        <f t="shared" si="4"/>
        <v>4972677.596</v>
      </c>
      <c r="S70" s="15"/>
      <c r="T70" s="15">
        <f t="shared" si="13"/>
        <v>794092677.6</v>
      </c>
      <c r="U70" s="62"/>
      <c r="V70" s="1"/>
      <c r="W70" s="1"/>
      <c r="X70" s="1"/>
      <c r="Y70" s="1"/>
      <c r="Z70" s="1"/>
      <c r="AA70" s="1"/>
    </row>
    <row r="71" ht="13.5" customHeight="1">
      <c r="B71" s="3">
        <f t="shared" si="6"/>
        <v>70</v>
      </c>
      <c r="C71" s="1" t="s">
        <v>123</v>
      </c>
      <c r="D71" s="1" t="s">
        <v>58</v>
      </c>
      <c r="E71" s="3" t="s">
        <v>139</v>
      </c>
      <c r="F71" s="1" t="s">
        <v>60</v>
      </c>
      <c r="G71" s="1" t="s">
        <v>14</v>
      </c>
      <c r="H71" s="1" t="s">
        <v>171</v>
      </c>
      <c r="I71" s="62">
        <v>0.1625</v>
      </c>
      <c r="J71" s="52">
        <v>50148.0</v>
      </c>
      <c r="K71" s="122">
        <v>45230.0</v>
      </c>
      <c r="L71" s="122">
        <v>45232.0</v>
      </c>
      <c r="M71" s="62">
        <f t="shared" si="10"/>
        <v>0.1650004599</v>
      </c>
      <c r="N71" s="63">
        <v>98.64</v>
      </c>
      <c r="O71" s="63">
        <v>1.0E9</v>
      </c>
      <c r="P71" s="15">
        <f t="shared" si="2"/>
        <v>993059836.1</v>
      </c>
      <c r="Q71" s="15">
        <f t="shared" si="3"/>
        <v>986400000</v>
      </c>
      <c r="R71" s="15">
        <f t="shared" si="4"/>
        <v>6659836.066</v>
      </c>
      <c r="S71" s="15"/>
      <c r="T71" s="15">
        <f t="shared" si="13"/>
        <v>993059836.1</v>
      </c>
      <c r="U71" s="62"/>
      <c r="V71" s="1"/>
      <c r="W71" s="1"/>
      <c r="X71" s="1"/>
      <c r="Y71" s="1"/>
      <c r="Z71" s="1"/>
      <c r="AA71" s="1"/>
    </row>
    <row r="72" ht="13.5" customHeight="1">
      <c r="B72" s="3">
        <f t="shared" si="6"/>
        <v>71</v>
      </c>
      <c r="C72" s="1" t="s">
        <v>123</v>
      </c>
      <c r="D72" s="1" t="s">
        <v>58</v>
      </c>
      <c r="E72" s="3" t="s">
        <v>139</v>
      </c>
      <c r="F72" s="1" t="s">
        <v>60</v>
      </c>
      <c r="G72" s="1" t="s">
        <v>14</v>
      </c>
      <c r="H72" s="1" t="s">
        <v>171</v>
      </c>
      <c r="I72" s="62">
        <v>0.1625</v>
      </c>
      <c r="J72" s="52">
        <v>50148.0</v>
      </c>
      <c r="K72" s="122">
        <v>45232.0</v>
      </c>
      <c r="L72" s="122">
        <v>45233.0</v>
      </c>
      <c r="M72" s="62">
        <f t="shared" si="10"/>
        <v>0.1650167855</v>
      </c>
      <c r="N72" s="63">
        <v>98.63</v>
      </c>
      <c r="O72" s="63">
        <v>5.0E8</v>
      </c>
      <c r="P72" s="15">
        <f t="shared" si="2"/>
        <v>496701912.6</v>
      </c>
      <c r="Q72" s="15">
        <f t="shared" si="3"/>
        <v>493150000</v>
      </c>
      <c r="R72" s="15">
        <f t="shared" si="4"/>
        <v>3551912.568</v>
      </c>
      <c r="S72" s="15"/>
      <c r="T72" s="15">
        <f t="shared" si="13"/>
        <v>496701912.6</v>
      </c>
      <c r="U72" s="62"/>
      <c r="V72" s="1"/>
      <c r="W72" s="1"/>
      <c r="X72" s="1"/>
      <c r="Y72" s="1"/>
      <c r="Z72" s="1"/>
      <c r="AA72" s="1"/>
    </row>
    <row r="73" ht="13.5" customHeight="1">
      <c r="B73" s="3">
        <f t="shared" si="6"/>
        <v>72</v>
      </c>
      <c r="C73" s="1" t="s">
        <v>123</v>
      </c>
      <c r="D73" s="1" t="s">
        <v>58</v>
      </c>
      <c r="E73" s="3" t="s">
        <v>139</v>
      </c>
      <c r="F73" s="1" t="s">
        <v>60</v>
      </c>
      <c r="G73" s="1" t="s">
        <v>14</v>
      </c>
      <c r="H73" s="1" t="s">
        <v>171</v>
      </c>
      <c r="I73" s="62">
        <v>0.1625</v>
      </c>
      <c r="J73" s="52">
        <v>50148.0</v>
      </c>
      <c r="K73" s="122">
        <v>45233.0</v>
      </c>
      <c r="L73" s="122">
        <v>45237.0</v>
      </c>
      <c r="M73" s="62">
        <f t="shared" si="10"/>
        <v>0.1664732614</v>
      </c>
      <c r="N73" s="63">
        <v>97.86</v>
      </c>
      <c r="O73" s="63">
        <v>3.0E8</v>
      </c>
      <c r="P73" s="15">
        <f t="shared" si="2"/>
        <v>296243934.4</v>
      </c>
      <c r="Q73" s="15">
        <f t="shared" si="3"/>
        <v>293580000</v>
      </c>
      <c r="R73" s="15">
        <f t="shared" si="4"/>
        <v>2663934.426</v>
      </c>
      <c r="S73" s="15"/>
      <c r="T73" s="15">
        <f t="shared" si="13"/>
        <v>296243934.4</v>
      </c>
      <c r="U73" s="62"/>
      <c r="V73" s="1"/>
      <c r="W73" s="1"/>
      <c r="X73" s="1"/>
      <c r="Y73" s="1"/>
      <c r="Z73" s="1"/>
      <c r="AA73" s="1"/>
    </row>
    <row r="74" ht="13.5" customHeight="1">
      <c r="B74" s="3">
        <f t="shared" si="6"/>
        <v>73</v>
      </c>
      <c r="C74" s="1" t="s">
        <v>123</v>
      </c>
      <c r="D74" s="1" t="s">
        <v>58</v>
      </c>
      <c r="E74" s="3" t="s">
        <v>139</v>
      </c>
      <c r="F74" s="1" t="s">
        <v>60</v>
      </c>
      <c r="G74" s="1" t="s">
        <v>14</v>
      </c>
      <c r="H74" s="1" t="s">
        <v>171</v>
      </c>
      <c r="I74" s="62">
        <v>0.1625</v>
      </c>
      <c r="J74" s="52">
        <v>50148.0</v>
      </c>
      <c r="K74" s="122">
        <v>45239.0</v>
      </c>
      <c r="L74" s="122">
        <v>45243.0</v>
      </c>
      <c r="M74" s="62">
        <f t="shared" si="10"/>
        <v>0.1695096134</v>
      </c>
      <c r="N74" s="63">
        <v>96.29</v>
      </c>
      <c r="O74" s="63">
        <v>2.0E9</v>
      </c>
      <c r="P74" s="15">
        <f t="shared" si="2"/>
        <v>1948887432</v>
      </c>
      <c r="Q74" s="15">
        <f t="shared" si="3"/>
        <v>1925800000</v>
      </c>
      <c r="R74" s="15">
        <f t="shared" si="4"/>
        <v>23087431.69</v>
      </c>
      <c r="S74" s="15"/>
      <c r="T74" s="15">
        <f t="shared" si="13"/>
        <v>1948887432</v>
      </c>
      <c r="U74" s="62"/>
      <c r="V74" s="1"/>
      <c r="W74" s="1"/>
      <c r="X74" s="1"/>
      <c r="Y74" s="1"/>
      <c r="Z74" s="1"/>
      <c r="AA74" s="1"/>
    </row>
    <row r="75" ht="13.5" customHeight="1">
      <c r="B75" s="3">
        <f t="shared" si="6"/>
        <v>74</v>
      </c>
      <c r="C75" s="1" t="s">
        <v>92</v>
      </c>
      <c r="D75" s="1" t="s">
        <v>58</v>
      </c>
      <c r="E75" s="3" t="s">
        <v>139</v>
      </c>
      <c r="F75" s="1" t="s">
        <v>148</v>
      </c>
      <c r="G75" s="1" t="s">
        <v>12</v>
      </c>
      <c r="H75" s="1" t="s">
        <v>175</v>
      </c>
      <c r="I75" s="62">
        <v>0.0</v>
      </c>
      <c r="J75" s="52">
        <v>45603.0</v>
      </c>
      <c r="K75" s="122">
        <v>45243.0</v>
      </c>
      <c r="L75" s="122">
        <v>45610.0</v>
      </c>
      <c r="M75" s="62" t="str">
        <f t="shared" si="10"/>
        <v/>
      </c>
      <c r="N75" s="63">
        <v>85.0852</v>
      </c>
      <c r="O75" s="63">
        <v>1.0E9</v>
      </c>
      <c r="P75" s="15">
        <f t="shared" si="2"/>
        <v>850852000</v>
      </c>
      <c r="Q75" s="15">
        <f t="shared" si="3"/>
        <v>850852000</v>
      </c>
      <c r="R75" s="15"/>
      <c r="S75" s="15"/>
      <c r="T75" s="15">
        <f t="shared" si="13"/>
        <v>850852000</v>
      </c>
      <c r="U75" s="62"/>
      <c r="V75" s="1"/>
      <c r="W75" s="1"/>
      <c r="X75" s="1"/>
      <c r="Y75" s="1"/>
      <c r="Z75" s="1"/>
      <c r="AA75" s="1"/>
    </row>
    <row r="76" ht="13.5" customHeight="1">
      <c r="B76" s="3">
        <f t="shared" si="6"/>
        <v>75</v>
      </c>
      <c r="C76" s="1" t="s">
        <v>95</v>
      </c>
      <c r="D76" s="1" t="s">
        <v>58</v>
      </c>
      <c r="E76" s="3" t="s">
        <v>139</v>
      </c>
      <c r="F76" s="1" t="s">
        <v>148</v>
      </c>
      <c r="G76" s="1" t="s">
        <v>12</v>
      </c>
      <c r="H76" s="1" t="s">
        <v>175</v>
      </c>
      <c r="I76" s="62">
        <v>0.0</v>
      </c>
      <c r="J76" s="52">
        <v>45603.0</v>
      </c>
      <c r="K76" s="122">
        <v>45243.0</v>
      </c>
      <c r="L76" s="122">
        <v>45610.0</v>
      </c>
      <c r="M76" s="62" t="str">
        <f t="shared" si="10"/>
        <v/>
      </c>
      <c r="N76" s="63">
        <v>85.0852</v>
      </c>
      <c r="O76" s="63">
        <v>2.0E9</v>
      </c>
      <c r="P76" s="15">
        <f t="shared" si="2"/>
        <v>1701704000</v>
      </c>
      <c r="Q76" s="15">
        <f t="shared" si="3"/>
        <v>1701704000</v>
      </c>
      <c r="R76" s="15" t="str">
        <f t="shared" ref="R76:R218" si="14">IFERROR(ACCRINT(COUPPCD(L76,J76,2,1),COUPNCD(L76,J76,2,0),L76,I76,O76,2,1),"")</f>
        <v/>
      </c>
      <c r="S76" s="15"/>
      <c r="T76" s="15">
        <f t="shared" si="13"/>
        <v>1701704000</v>
      </c>
      <c r="U76" s="62"/>
      <c r="V76" s="1"/>
      <c r="W76" s="1"/>
      <c r="X76" s="1"/>
      <c r="Y76" s="1"/>
      <c r="Z76" s="1"/>
      <c r="AA76" s="1"/>
    </row>
    <row r="77" ht="13.5" customHeight="1">
      <c r="B77" s="3">
        <f t="shared" si="6"/>
        <v>76</v>
      </c>
      <c r="C77" s="1" t="s">
        <v>123</v>
      </c>
      <c r="D77" s="1" t="s">
        <v>58</v>
      </c>
      <c r="E77" s="3" t="s">
        <v>139</v>
      </c>
      <c r="F77" s="1" t="s">
        <v>148</v>
      </c>
      <c r="G77" s="1" t="s">
        <v>14</v>
      </c>
      <c r="H77" s="3" t="s">
        <v>150</v>
      </c>
      <c r="I77" s="62">
        <v>0.1298</v>
      </c>
      <c r="J77" s="52">
        <v>54874.0</v>
      </c>
      <c r="K77" s="122">
        <v>45250.0</v>
      </c>
      <c r="L77" s="122">
        <v>45252.0</v>
      </c>
      <c r="M77" s="62">
        <f t="shared" si="10"/>
        <v>0.1789885494</v>
      </c>
      <c r="N77" s="63">
        <v>72.76</v>
      </c>
      <c r="O77" s="63">
        <v>4.8E9</v>
      </c>
      <c r="P77" s="15">
        <f t="shared" si="2"/>
        <v>3588332308</v>
      </c>
      <c r="Q77" s="15">
        <f t="shared" si="3"/>
        <v>3492480000</v>
      </c>
      <c r="R77" s="15">
        <f t="shared" si="14"/>
        <v>95852307.69</v>
      </c>
      <c r="S77" s="15"/>
      <c r="T77" s="15">
        <f t="shared" si="13"/>
        <v>3588332308</v>
      </c>
      <c r="U77" s="62"/>
      <c r="V77" s="1"/>
      <c r="W77" s="1"/>
      <c r="X77" s="1"/>
      <c r="Y77" s="1"/>
      <c r="Z77" s="1"/>
      <c r="AA77" s="1"/>
    </row>
    <row r="78" ht="13.5" customHeight="1">
      <c r="B78" s="3">
        <f t="shared" si="6"/>
        <v>77</v>
      </c>
      <c r="C78" s="1" t="s">
        <v>123</v>
      </c>
      <c r="D78" s="1" t="s">
        <v>58</v>
      </c>
      <c r="E78" s="3" t="s">
        <v>139</v>
      </c>
      <c r="F78" s="1" t="s">
        <v>148</v>
      </c>
      <c r="G78" s="1" t="s">
        <v>14</v>
      </c>
      <c r="H78" s="3" t="s">
        <v>150</v>
      </c>
      <c r="I78" s="62">
        <v>0.1298</v>
      </c>
      <c r="J78" s="52">
        <v>54874.0</v>
      </c>
      <c r="K78" s="122">
        <v>45250.0</v>
      </c>
      <c r="L78" s="122">
        <v>45253.0</v>
      </c>
      <c r="M78" s="62">
        <f t="shared" si="10"/>
        <v>0.1789874621</v>
      </c>
      <c r="N78" s="63">
        <v>72.76</v>
      </c>
      <c r="O78" s="63">
        <v>5.0E8</v>
      </c>
      <c r="P78" s="15">
        <f t="shared" si="2"/>
        <v>373962912.1</v>
      </c>
      <c r="Q78" s="15">
        <f t="shared" si="3"/>
        <v>363800000</v>
      </c>
      <c r="R78" s="15">
        <f t="shared" si="14"/>
        <v>10162912.09</v>
      </c>
      <c r="S78" s="15"/>
      <c r="T78" s="15">
        <f t="shared" si="13"/>
        <v>373962912.1</v>
      </c>
      <c r="U78" s="62"/>
      <c r="V78" s="1"/>
      <c r="W78" s="1"/>
      <c r="X78" s="1"/>
      <c r="Y78" s="1"/>
      <c r="Z78" s="1"/>
      <c r="AA78" s="1"/>
    </row>
    <row r="79" ht="13.5" customHeight="1">
      <c r="B79" s="3">
        <f t="shared" si="6"/>
        <v>78</v>
      </c>
      <c r="C79" s="1" t="s">
        <v>123</v>
      </c>
      <c r="D79" s="1" t="s">
        <v>58</v>
      </c>
      <c r="E79" s="3" t="s">
        <v>139</v>
      </c>
      <c r="F79" s="1" t="s">
        <v>148</v>
      </c>
      <c r="G79" s="1" t="s">
        <v>14</v>
      </c>
      <c r="H79" s="1" t="s">
        <v>171</v>
      </c>
      <c r="I79" s="62">
        <v>0.162499</v>
      </c>
      <c r="J79" s="52">
        <v>50148.0</v>
      </c>
      <c r="K79" s="122">
        <v>45253.0</v>
      </c>
      <c r="L79" s="122">
        <v>45257.0</v>
      </c>
      <c r="M79" s="62">
        <f t="shared" si="10"/>
        <v>0.1699957578</v>
      </c>
      <c r="N79" s="63">
        <v>96.03</v>
      </c>
      <c r="O79" s="63">
        <v>2.0E8</v>
      </c>
      <c r="P79" s="15">
        <f t="shared" si="2"/>
        <v>195611890.7</v>
      </c>
      <c r="Q79" s="15">
        <f t="shared" si="3"/>
        <v>192060000</v>
      </c>
      <c r="R79" s="15">
        <f t="shared" si="14"/>
        <v>3551890.71</v>
      </c>
      <c r="S79" s="15"/>
      <c r="T79" s="15">
        <f t="shared" si="13"/>
        <v>195611890.7</v>
      </c>
      <c r="U79" s="62"/>
      <c r="V79" s="1"/>
      <c r="W79" s="1"/>
      <c r="X79" s="1"/>
      <c r="Y79" s="1"/>
      <c r="Z79" s="1"/>
      <c r="AA79" s="1"/>
    </row>
    <row r="80" ht="13.5" customHeight="1">
      <c r="B80" s="3">
        <f t="shared" si="6"/>
        <v>79</v>
      </c>
      <c r="C80" s="1" t="s">
        <v>83</v>
      </c>
      <c r="D80" s="1" t="s">
        <v>58</v>
      </c>
      <c r="E80" s="3" t="s">
        <v>139</v>
      </c>
      <c r="F80" s="1" t="s">
        <v>148</v>
      </c>
      <c r="G80" s="1" t="s">
        <v>12</v>
      </c>
      <c r="H80" s="1" t="s">
        <v>177</v>
      </c>
      <c r="I80" s="62">
        <v>0.0</v>
      </c>
      <c r="J80" s="52">
        <v>45631.0</v>
      </c>
      <c r="K80" s="122">
        <v>45266.0</v>
      </c>
      <c r="L80" s="122">
        <v>45267.0</v>
      </c>
      <c r="M80" s="62">
        <v>0.155</v>
      </c>
      <c r="N80" s="63">
        <v>84.5846994535519</v>
      </c>
      <c r="O80" s="63">
        <v>1.0E9</v>
      </c>
      <c r="P80" s="15">
        <f t="shared" si="2"/>
        <v>845846994.5</v>
      </c>
      <c r="Q80" s="15">
        <f t="shared" si="3"/>
        <v>845846994.5</v>
      </c>
      <c r="R80" s="15" t="str">
        <f t="shared" si="14"/>
        <v/>
      </c>
      <c r="S80" s="15"/>
      <c r="T80" s="15">
        <f t="shared" si="13"/>
        <v>845846994.5</v>
      </c>
      <c r="U80" s="62"/>
      <c r="V80" s="1"/>
      <c r="W80" s="1"/>
      <c r="X80" s="1"/>
      <c r="Y80" s="1"/>
      <c r="Z80" s="1"/>
      <c r="AA80" s="1"/>
    </row>
    <row r="81" ht="13.5" customHeight="1">
      <c r="B81" s="3">
        <f t="shared" si="6"/>
        <v>80</v>
      </c>
      <c r="C81" s="1" t="s">
        <v>123</v>
      </c>
      <c r="D81" s="1" t="s">
        <v>58</v>
      </c>
      <c r="E81" s="3" t="s">
        <v>139</v>
      </c>
      <c r="F81" s="1" t="s">
        <v>148</v>
      </c>
      <c r="G81" s="1" t="s">
        <v>12</v>
      </c>
      <c r="H81" s="1" t="s">
        <v>178</v>
      </c>
      <c r="I81" s="62">
        <v>0.157</v>
      </c>
      <c r="J81" s="52">
        <v>56056.0</v>
      </c>
      <c r="K81" s="122">
        <v>45274.0</v>
      </c>
      <c r="L81" s="122">
        <v>45275.0</v>
      </c>
      <c r="M81" s="62">
        <f t="shared" ref="M81:M82" si="15">IFERROR(YIELD(L81,J81,I81,N81,100,2,1),"")</f>
        <v>0.1594997423</v>
      </c>
      <c r="N81" s="63">
        <v>98.44</v>
      </c>
      <c r="O81" s="63">
        <v>5.0E8</v>
      </c>
      <c r="P81" s="15">
        <f t="shared" si="2"/>
        <v>530163114.8</v>
      </c>
      <c r="Q81" s="15">
        <f t="shared" si="3"/>
        <v>492200000</v>
      </c>
      <c r="R81" s="15">
        <f t="shared" si="14"/>
        <v>37963114.75</v>
      </c>
      <c r="S81" s="15"/>
      <c r="T81" s="15">
        <f t="shared" si="13"/>
        <v>530163114.8</v>
      </c>
      <c r="U81" s="62"/>
      <c r="V81" s="1"/>
      <c r="W81" s="1"/>
      <c r="X81" s="1"/>
      <c r="Y81" s="1"/>
      <c r="Z81" s="1"/>
      <c r="AA81" s="1"/>
    </row>
    <row r="82" ht="13.5" customHeight="1">
      <c r="B82" s="3">
        <f t="shared" si="6"/>
        <v>81</v>
      </c>
      <c r="C82" s="1" t="s">
        <v>123</v>
      </c>
      <c r="D82" s="1" t="s">
        <v>58</v>
      </c>
      <c r="E82" s="3" t="s">
        <v>139</v>
      </c>
      <c r="F82" s="1" t="s">
        <v>148</v>
      </c>
      <c r="G82" s="1" t="s">
        <v>12</v>
      </c>
      <c r="H82" s="1" t="s">
        <v>178</v>
      </c>
      <c r="I82" s="62">
        <v>0.157</v>
      </c>
      <c r="J82" s="52">
        <v>56056.0</v>
      </c>
      <c r="K82" s="122">
        <v>45274.0</v>
      </c>
      <c r="L82" s="122">
        <v>45278.0</v>
      </c>
      <c r="M82" s="62">
        <f t="shared" si="15"/>
        <v>0.1595075492</v>
      </c>
      <c r="N82" s="63">
        <v>98.44</v>
      </c>
      <c r="O82" s="63">
        <v>4.5E9</v>
      </c>
      <c r="P82" s="15">
        <f t="shared" si="2"/>
        <v>4777259016</v>
      </c>
      <c r="Q82" s="15">
        <f t="shared" si="3"/>
        <v>4429800000</v>
      </c>
      <c r="R82" s="15">
        <f t="shared" si="14"/>
        <v>347459016.4</v>
      </c>
      <c r="S82" s="15"/>
      <c r="T82" s="15">
        <f t="shared" si="13"/>
        <v>4777259016</v>
      </c>
      <c r="U82" s="62"/>
      <c r="V82" s="1"/>
      <c r="W82" s="1"/>
      <c r="X82" s="1"/>
      <c r="Y82" s="1"/>
      <c r="Z82" s="1"/>
      <c r="AA82" s="1"/>
    </row>
    <row r="83" ht="13.5" customHeight="1">
      <c r="B83" s="3">
        <f t="shared" si="6"/>
        <v>82</v>
      </c>
      <c r="C83" s="1" t="s">
        <v>83</v>
      </c>
      <c r="D83" s="1" t="s">
        <v>58</v>
      </c>
      <c r="E83" s="3" t="s">
        <v>139</v>
      </c>
      <c r="F83" s="1" t="s">
        <v>148</v>
      </c>
      <c r="G83" s="1" t="s">
        <v>14</v>
      </c>
      <c r="H83" s="1" t="s">
        <v>175</v>
      </c>
      <c r="I83" s="62">
        <v>0.0</v>
      </c>
      <c r="J83" s="52">
        <v>45603.0</v>
      </c>
      <c r="K83" s="122">
        <v>45280.0</v>
      </c>
      <c r="L83" s="122">
        <v>45280.0</v>
      </c>
      <c r="M83" s="62">
        <v>0.11751195979643957</v>
      </c>
      <c r="N83" s="128">
        <f>PRICEDISC(K83,J83,M83,100,1)</f>
        <v>89.62835344</v>
      </c>
      <c r="O83" s="63">
        <v>2.0E9</v>
      </c>
      <c r="P83" s="15">
        <f t="shared" si="2"/>
        <v>1792567069</v>
      </c>
      <c r="Q83" s="15">
        <f t="shared" si="3"/>
        <v>1792567069</v>
      </c>
      <c r="R83" s="15" t="str">
        <f t="shared" si="14"/>
        <v/>
      </c>
      <c r="S83" s="15"/>
      <c r="T83" s="15">
        <f t="shared" si="13"/>
        <v>1792567069</v>
      </c>
      <c r="U83" s="62"/>
      <c r="V83" s="1"/>
      <c r="W83" s="1"/>
      <c r="X83" s="1"/>
      <c r="Y83" s="1"/>
      <c r="Z83" s="1"/>
      <c r="AA83" s="1"/>
    </row>
    <row r="84" ht="13.5" customHeight="1">
      <c r="B84" s="3">
        <f t="shared" si="6"/>
        <v>83</v>
      </c>
      <c r="C84" s="1" t="s">
        <v>123</v>
      </c>
      <c r="D84" s="1" t="s">
        <v>58</v>
      </c>
      <c r="E84" s="3" t="s">
        <v>139</v>
      </c>
      <c r="F84" s="1" t="s">
        <v>148</v>
      </c>
      <c r="G84" s="1" t="s">
        <v>12</v>
      </c>
      <c r="H84" s="1" t="s">
        <v>178</v>
      </c>
      <c r="I84" s="62">
        <v>0.157</v>
      </c>
      <c r="J84" s="52">
        <v>56056.0</v>
      </c>
      <c r="K84" s="122">
        <v>45280.0</v>
      </c>
      <c r="L84" s="122">
        <v>45282.0</v>
      </c>
      <c r="M84" s="62">
        <f>IFERROR(YIELD(L84,J84,I84,N84,100,2,1),"")</f>
        <v>0.1615008814</v>
      </c>
      <c r="N84" s="63">
        <v>97.24</v>
      </c>
      <c r="O84" s="63">
        <v>1.7E9</v>
      </c>
      <c r="P84" s="15">
        <f t="shared" si="2"/>
        <v>1653809235</v>
      </c>
      <c r="Q84" s="15">
        <f t="shared" si="3"/>
        <v>1653080000</v>
      </c>
      <c r="R84" s="15">
        <f t="shared" si="14"/>
        <v>729234.9727</v>
      </c>
      <c r="S84" s="15"/>
      <c r="T84" s="15">
        <f t="shared" si="13"/>
        <v>1653809235</v>
      </c>
      <c r="U84" s="62"/>
      <c r="V84" s="1"/>
      <c r="W84" s="1"/>
      <c r="X84" s="1"/>
      <c r="Y84" s="1"/>
      <c r="Z84" s="1"/>
      <c r="AA84" s="1"/>
    </row>
    <row r="85" ht="13.5" customHeight="1">
      <c r="B85" s="3">
        <f t="shared" si="6"/>
        <v>84</v>
      </c>
      <c r="C85" s="1" t="s">
        <v>95</v>
      </c>
      <c r="D85" s="1" t="s">
        <v>58</v>
      </c>
      <c r="E85" s="3" t="s">
        <v>139</v>
      </c>
      <c r="F85" s="1" t="s">
        <v>148</v>
      </c>
      <c r="G85" s="1" t="s">
        <v>14</v>
      </c>
      <c r="H85" s="1" t="s">
        <v>175</v>
      </c>
      <c r="I85" s="62">
        <v>0.0</v>
      </c>
      <c r="J85" s="52">
        <v>45603.0</v>
      </c>
      <c r="K85" s="122">
        <v>45282.0</v>
      </c>
      <c r="L85" s="122">
        <v>45282.0</v>
      </c>
      <c r="M85" s="62">
        <v>0.117</v>
      </c>
      <c r="N85" s="128">
        <f t="shared" ref="N85:N86" si="16">PRICEDISC(L85,J85,M85,100,1)</f>
        <v>89.73764878</v>
      </c>
      <c r="O85" s="63">
        <v>1.0E9</v>
      </c>
      <c r="P85" s="15">
        <f t="shared" si="2"/>
        <v>897376487.8</v>
      </c>
      <c r="Q85" s="15">
        <f t="shared" si="3"/>
        <v>897376487.8</v>
      </c>
      <c r="R85" s="15" t="str">
        <f t="shared" si="14"/>
        <v/>
      </c>
      <c r="S85" s="15"/>
      <c r="T85" s="15">
        <f t="shared" si="13"/>
        <v>897376487.8</v>
      </c>
      <c r="U85" s="62"/>
      <c r="V85" s="1"/>
      <c r="W85" s="1"/>
      <c r="X85" s="1"/>
      <c r="Y85" s="1"/>
      <c r="Z85" s="1"/>
      <c r="AA85" s="1"/>
    </row>
    <row r="86" ht="13.5" customHeight="1">
      <c r="B86" s="3">
        <f t="shared" si="6"/>
        <v>85</v>
      </c>
      <c r="C86" s="1" t="s">
        <v>95</v>
      </c>
      <c r="D86" s="1" t="s">
        <v>58</v>
      </c>
      <c r="E86" s="3" t="s">
        <v>139</v>
      </c>
      <c r="F86" s="1" t="s">
        <v>148</v>
      </c>
      <c r="G86" s="1" t="s">
        <v>14</v>
      </c>
      <c r="H86" s="1" t="s">
        <v>177</v>
      </c>
      <c r="I86" s="62">
        <v>0.0</v>
      </c>
      <c r="J86" s="52">
        <v>45631.0</v>
      </c>
      <c r="K86" s="122">
        <v>45282.0</v>
      </c>
      <c r="L86" s="122">
        <v>45282.0</v>
      </c>
      <c r="M86" s="62">
        <v>0.117</v>
      </c>
      <c r="N86" s="128">
        <f t="shared" si="16"/>
        <v>88.84256681</v>
      </c>
      <c r="O86" s="63">
        <v>1.0E9</v>
      </c>
      <c r="P86" s="15">
        <f t="shared" si="2"/>
        <v>888425668.1</v>
      </c>
      <c r="Q86" s="15">
        <f t="shared" si="3"/>
        <v>888425668.1</v>
      </c>
      <c r="R86" s="15" t="str">
        <f t="shared" si="14"/>
        <v/>
      </c>
      <c r="S86" s="15"/>
      <c r="T86" s="15">
        <f t="shared" si="13"/>
        <v>888425668.1</v>
      </c>
      <c r="U86" s="62"/>
      <c r="V86" s="1"/>
      <c r="W86" s="1"/>
      <c r="X86" s="1"/>
      <c r="Y86" s="1"/>
      <c r="Z86" s="1"/>
      <c r="AA86" s="1"/>
    </row>
    <row r="87" ht="13.5" customHeight="1">
      <c r="B87" s="3">
        <f t="shared" si="6"/>
        <v>86</v>
      </c>
      <c r="C87" s="1" t="s">
        <v>123</v>
      </c>
      <c r="D87" s="1" t="s">
        <v>58</v>
      </c>
      <c r="E87" s="3" t="s">
        <v>139</v>
      </c>
      <c r="F87" s="1" t="s">
        <v>148</v>
      </c>
      <c r="G87" s="1" t="s">
        <v>12</v>
      </c>
      <c r="H87" s="1" t="s">
        <v>178</v>
      </c>
      <c r="I87" s="62">
        <v>0.157</v>
      </c>
      <c r="J87" s="52">
        <v>56056.0</v>
      </c>
      <c r="K87" s="122">
        <v>45282.0</v>
      </c>
      <c r="L87" s="122">
        <v>45287.0</v>
      </c>
      <c r="M87" s="62">
        <f t="shared" ref="M87:M92" si="17">IFERROR(YIELD(L87,J87,I87,N87,100,2,1),"")</f>
        <v>0.1620088583</v>
      </c>
      <c r="N87" s="63">
        <v>96.93</v>
      </c>
      <c r="O87" s="63">
        <v>1.6E9</v>
      </c>
      <c r="P87" s="15">
        <f t="shared" si="2"/>
        <v>1554998033</v>
      </c>
      <c r="Q87" s="15">
        <f t="shared" si="3"/>
        <v>1550880000</v>
      </c>
      <c r="R87" s="15">
        <f t="shared" si="14"/>
        <v>4118032.787</v>
      </c>
      <c r="S87" s="15"/>
      <c r="T87" s="15">
        <f t="shared" si="13"/>
        <v>1554998033</v>
      </c>
      <c r="U87" s="62"/>
      <c r="V87" s="1"/>
      <c r="W87" s="1"/>
      <c r="X87" s="1"/>
      <c r="Y87" s="1"/>
      <c r="Z87" s="1"/>
      <c r="AA87" s="1"/>
    </row>
    <row r="88" ht="13.5" customHeight="1">
      <c r="B88" s="3">
        <f t="shared" si="6"/>
        <v>87</v>
      </c>
      <c r="C88" s="1" t="s">
        <v>123</v>
      </c>
      <c r="D88" s="1" t="s">
        <v>58</v>
      </c>
      <c r="E88" s="3" t="s">
        <v>139</v>
      </c>
      <c r="F88" s="1" t="s">
        <v>148</v>
      </c>
      <c r="G88" s="1" t="s">
        <v>14</v>
      </c>
      <c r="H88" s="1" t="s">
        <v>178</v>
      </c>
      <c r="I88" s="62">
        <v>0.157</v>
      </c>
      <c r="J88" s="52">
        <v>56056.0</v>
      </c>
      <c r="K88" s="122">
        <v>45334.0</v>
      </c>
      <c r="L88" s="122">
        <v>45336.0</v>
      </c>
      <c r="M88" s="62">
        <f t="shared" si="17"/>
        <v>0.178998804</v>
      </c>
      <c r="N88" s="63">
        <v>87.72</v>
      </c>
      <c r="O88" s="63">
        <v>8.0E8</v>
      </c>
      <c r="P88" s="15">
        <f t="shared" si="2"/>
        <v>720634316.9</v>
      </c>
      <c r="Q88" s="15">
        <f t="shared" si="3"/>
        <v>701760000</v>
      </c>
      <c r="R88" s="15">
        <f t="shared" si="14"/>
        <v>18874316.94</v>
      </c>
      <c r="S88" s="15"/>
      <c r="T88" s="15">
        <f t="shared" si="13"/>
        <v>720634316.9</v>
      </c>
      <c r="U88" s="62"/>
      <c r="V88" s="1"/>
      <c r="W88" s="1"/>
      <c r="X88" s="1"/>
      <c r="Y88" s="1"/>
      <c r="Z88" s="1"/>
      <c r="AA88" s="1"/>
    </row>
    <row r="89" ht="13.5" customHeight="1">
      <c r="B89" s="3">
        <f t="shared" si="6"/>
        <v>88</v>
      </c>
      <c r="C89" s="1" t="s">
        <v>123</v>
      </c>
      <c r="D89" s="1" t="s">
        <v>58</v>
      </c>
      <c r="E89" s="3" t="s">
        <v>139</v>
      </c>
      <c r="F89" s="1" t="s">
        <v>148</v>
      </c>
      <c r="G89" s="1" t="s">
        <v>14</v>
      </c>
      <c r="H89" s="1" t="s">
        <v>178</v>
      </c>
      <c r="I89" s="62">
        <v>0.157</v>
      </c>
      <c r="J89" s="52">
        <v>56056.0</v>
      </c>
      <c r="K89" s="122">
        <v>45334.0</v>
      </c>
      <c r="L89" s="122">
        <v>45337.0</v>
      </c>
      <c r="M89" s="62">
        <f t="shared" si="17"/>
        <v>0.1830066465</v>
      </c>
      <c r="N89" s="63">
        <v>85.8</v>
      </c>
      <c r="O89" s="63">
        <v>1.8E9</v>
      </c>
      <c r="P89" s="15">
        <f t="shared" si="2"/>
        <v>1587639344</v>
      </c>
      <c r="Q89" s="15">
        <f t="shared" si="3"/>
        <v>1544400000</v>
      </c>
      <c r="R89" s="15">
        <f t="shared" si="14"/>
        <v>43239344.26</v>
      </c>
      <c r="S89" s="15"/>
      <c r="T89" s="15">
        <f t="shared" si="13"/>
        <v>1587639344</v>
      </c>
      <c r="U89" s="62"/>
      <c r="V89" s="1"/>
      <c r="W89" s="1"/>
      <c r="X89" s="1"/>
      <c r="Y89" s="1"/>
      <c r="Z89" s="1"/>
      <c r="AA89" s="1"/>
    </row>
    <row r="90" ht="13.5" customHeight="1">
      <c r="B90" s="3">
        <f t="shared" si="6"/>
        <v>89</v>
      </c>
      <c r="C90" s="1" t="s">
        <v>123</v>
      </c>
      <c r="D90" s="1" t="s">
        <v>58</v>
      </c>
      <c r="E90" s="3" t="s">
        <v>139</v>
      </c>
      <c r="F90" s="1" t="s">
        <v>148</v>
      </c>
      <c r="G90" s="1" t="s">
        <v>14</v>
      </c>
      <c r="H90" s="1" t="s">
        <v>178</v>
      </c>
      <c r="I90" s="62">
        <v>0.157</v>
      </c>
      <c r="J90" s="52">
        <v>56056.0</v>
      </c>
      <c r="K90" s="122">
        <v>45334.0</v>
      </c>
      <c r="L90" s="122">
        <v>45338.0</v>
      </c>
      <c r="M90" s="62">
        <f t="shared" si="17"/>
        <v>0.1830051828</v>
      </c>
      <c r="N90" s="63">
        <v>85.8</v>
      </c>
      <c r="O90" s="63">
        <v>1.0E9</v>
      </c>
      <c r="P90" s="15">
        <f t="shared" si="2"/>
        <v>882450819.7</v>
      </c>
      <c r="Q90" s="15">
        <f t="shared" si="3"/>
        <v>858000000</v>
      </c>
      <c r="R90" s="15">
        <f t="shared" si="14"/>
        <v>24450819.67</v>
      </c>
      <c r="S90" s="15"/>
      <c r="T90" s="15">
        <f t="shared" si="13"/>
        <v>882450819.7</v>
      </c>
      <c r="U90" s="62"/>
      <c r="V90" s="1"/>
      <c r="W90" s="1"/>
      <c r="X90" s="1"/>
      <c r="Y90" s="1"/>
      <c r="Z90" s="1"/>
      <c r="AA90" s="1"/>
    </row>
    <row r="91" ht="13.5" customHeight="1">
      <c r="B91" s="3">
        <f t="shared" si="6"/>
        <v>90</v>
      </c>
      <c r="C91" s="1" t="s">
        <v>123</v>
      </c>
      <c r="D91" s="1" t="s">
        <v>58</v>
      </c>
      <c r="E91" s="3" t="s">
        <v>139</v>
      </c>
      <c r="F91" s="1" t="s">
        <v>148</v>
      </c>
      <c r="G91" s="1" t="s">
        <v>14</v>
      </c>
      <c r="H91" s="1" t="s">
        <v>178</v>
      </c>
      <c r="I91" s="62">
        <v>0.157</v>
      </c>
      <c r="J91" s="52">
        <v>56056.0</v>
      </c>
      <c r="K91" s="122">
        <v>45334.0</v>
      </c>
      <c r="L91" s="122">
        <v>45341.0</v>
      </c>
      <c r="M91" s="62">
        <f t="shared" si="17"/>
        <v>0.1830010508</v>
      </c>
      <c r="N91" s="63">
        <v>85.8</v>
      </c>
      <c r="O91" s="63">
        <v>2.5E8</v>
      </c>
      <c r="P91" s="15">
        <f t="shared" si="2"/>
        <v>220934426.2</v>
      </c>
      <c r="Q91" s="15">
        <f t="shared" si="3"/>
        <v>214500000</v>
      </c>
      <c r="R91" s="15">
        <f t="shared" si="14"/>
        <v>6434426.23</v>
      </c>
      <c r="S91" s="15"/>
      <c r="T91" s="15">
        <f t="shared" si="13"/>
        <v>220934426.2</v>
      </c>
      <c r="U91" s="62"/>
      <c r="V91" s="1"/>
      <c r="W91" s="1"/>
      <c r="X91" s="1"/>
      <c r="Y91" s="1"/>
      <c r="Z91" s="1"/>
      <c r="AA91" s="1"/>
    </row>
    <row r="92" ht="13.5" customHeight="1">
      <c r="B92" s="3">
        <f t="shared" si="6"/>
        <v>91</v>
      </c>
      <c r="C92" s="1" t="s">
        <v>123</v>
      </c>
      <c r="D92" s="1" t="s">
        <v>58</v>
      </c>
      <c r="E92" s="3" t="s">
        <v>139</v>
      </c>
      <c r="F92" s="1" t="s">
        <v>148</v>
      </c>
      <c r="G92" s="1" t="s">
        <v>14</v>
      </c>
      <c r="H92" s="1" t="s">
        <v>178</v>
      </c>
      <c r="I92" s="62">
        <v>0.157</v>
      </c>
      <c r="J92" s="52">
        <v>56056.0</v>
      </c>
      <c r="K92" s="122">
        <v>45334.0</v>
      </c>
      <c r="L92" s="122">
        <v>45341.0</v>
      </c>
      <c r="M92" s="62">
        <f t="shared" si="17"/>
        <v>0.1830010508</v>
      </c>
      <c r="N92" s="63">
        <v>85.8</v>
      </c>
      <c r="O92" s="63">
        <v>3.0E8</v>
      </c>
      <c r="P92" s="15">
        <f t="shared" si="2"/>
        <v>265121311.5</v>
      </c>
      <c r="Q92" s="15">
        <f t="shared" si="3"/>
        <v>257400000</v>
      </c>
      <c r="R92" s="15">
        <f t="shared" si="14"/>
        <v>7721311.475</v>
      </c>
      <c r="S92" s="15"/>
      <c r="T92" s="15">
        <f t="shared" si="13"/>
        <v>265121311.5</v>
      </c>
      <c r="U92" s="62"/>
      <c r="V92" s="1"/>
      <c r="W92" s="1"/>
      <c r="X92" s="1"/>
      <c r="Y92" s="1"/>
      <c r="Z92" s="1"/>
      <c r="AA92" s="1"/>
    </row>
    <row r="93" ht="13.5" customHeight="1">
      <c r="B93" s="3">
        <f t="shared" si="6"/>
        <v>92</v>
      </c>
      <c r="C93" s="1" t="s">
        <v>123</v>
      </c>
      <c r="D93" s="1" t="s">
        <v>58</v>
      </c>
      <c r="E93" s="3" t="s">
        <v>139</v>
      </c>
      <c r="F93" s="1" t="s">
        <v>148</v>
      </c>
      <c r="G93" s="1" t="s">
        <v>12</v>
      </c>
      <c r="H93" s="1" t="s">
        <v>187</v>
      </c>
      <c r="I93" s="62">
        <v>0.0</v>
      </c>
      <c r="J93" s="52">
        <v>45708.0</v>
      </c>
      <c r="K93" s="122">
        <v>45343.0</v>
      </c>
      <c r="L93" s="122">
        <v>45344.0</v>
      </c>
      <c r="M93" s="123">
        <v>0.18195</v>
      </c>
      <c r="N93" s="128">
        <f t="shared" ref="N93:N95" si="18">PRICEDISC(L93,J93,M93,100,1)</f>
        <v>81.89761621</v>
      </c>
      <c r="O93" s="63">
        <v>1.0E9</v>
      </c>
      <c r="P93" s="15">
        <f t="shared" si="2"/>
        <v>818976162.1</v>
      </c>
      <c r="Q93" s="15">
        <f t="shared" si="3"/>
        <v>818976162.1</v>
      </c>
      <c r="R93" s="15" t="str">
        <f t="shared" si="14"/>
        <v/>
      </c>
      <c r="S93" s="15"/>
      <c r="T93" s="15">
        <f t="shared" si="13"/>
        <v>818976162.1</v>
      </c>
      <c r="U93" s="62"/>
      <c r="V93" s="1"/>
      <c r="W93" s="1"/>
      <c r="X93" s="1"/>
      <c r="Y93" s="1"/>
      <c r="Z93" s="1"/>
      <c r="AA93" s="1"/>
    </row>
    <row r="94" ht="13.5" customHeight="1">
      <c r="B94" s="3">
        <f t="shared" si="6"/>
        <v>93</v>
      </c>
      <c r="C94" s="1" t="s">
        <v>123</v>
      </c>
      <c r="D94" s="1" t="s">
        <v>58</v>
      </c>
      <c r="E94" s="3" t="s">
        <v>139</v>
      </c>
      <c r="F94" s="1" t="s">
        <v>148</v>
      </c>
      <c r="G94" s="1" t="s">
        <v>12</v>
      </c>
      <c r="H94" s="1" t="s">
        <v>187</v>
      </c>
      <c r="I94" s="62">
        <v>0.0</v>
      </c>
      <c r="J94" s="52">
        <v>45708.0</v>
      </c>
      <c r="K94" s="122">
        <v>45343.0</v>
      </c>
      <c r="L94" s="122">
        <v>45344.0</v>
      </c>
      <c r="M94" s="123">
        <v>0.18899</v>
      </c>
      <c r="N94" s="128">
        <f t="shared" si="18"/>
        <v>81.19719972</v>
      </c>
      <c r="O94" s="63">
        <v>1.0E9</v>
      </c>
      <c r="P94" s="15">
        <f t="shared" si="2"/>
        <v>811971997.2</v>
      </c>
      <c r="Q94" s="15">
        <f t="shared" si="3"/>
        <v>811971997.2</v>
      </c>
      <c r="R94" s="15" t="str">
        <f t="shared" si="14"/>
        <v/>
      </c>
      <c r="S94" s="15"/>
      <c r="T94" s="15">
        <f t="shared" si="13"/>
        <v>811971997.2</v>
      </c>
      <c r="U94" s="62"/>
      <c r="V94" s="1"/>
      <c r="W94" s="1"/>
      <c r="X94" s="1"/>
      <c r="Y94" s="1"/>
      <c r="Z94" s="1"/>
      <c r="AA94" s="1"/>
    </row>
    <row r="95" ht="13.5" customHeight="1">
      <c r="B95" s="3">
        <f t="shared" si="6"/>
        <v>94</v>
      </c>
      <c r="C95" s="1" t="s">
        <v>83</v>
      </c>
      <c r="D95" s="1" t="s">
        <v>58</v>
      </c>
      <c r="E95" s="3" t="s">
        <v>139</v>
      </c>
      <c r="F95" s="1" t="s">
        <v>148</v>
      </c>
      <c r="G95" s="1" t="s">
        <v>12</v>
      </c>
      <c r="H95" s="1" t="s">
        <v>187</v>
      </c>
      <c r="I95" s="62">
        <v>0.0</v>
      </c>
      <c r="J95" s="52">
        <v>45708.0</v>
      </c>
      <c r="K95" s="122">
        <v>45343.0</v>
      </c>
      <c r="L95" s="122">
        <v>45344.0</v>
      </c>
      <c r="M95" s="62">
        <v>0.19</v>
      </c>
      <c r="N95" s="128">
        <f t="shared" si="18"/>
        <v>81.09671383</v>
      </c>
      <c r="O95" s="63">
        <v>1.7E9</v>
      </c>
      <c r="P95" s="15">
        <f t="shared" si="2"/>
        <v>1378644135</v>
      </c>
      <c r="Q95" s="15">
        <f t="shared" si="3"/>
        <v>1378644135</v>
      </c>
      <c r="R95" s="15" t="str">
        <f t="shared" si="14"/>
        <v/>
      </c>
      <c r="S95" s="15"/>
      <c r="T95" s="15">
        <f t="shared" si="13"/>
        <v>1378644135</v>
      </c>
      <c r="U95" s="62"/>
      <c r="V95" s="1"/>
      <c r="W95" s="1"/>
      <c r="X95" s="1"/>
      <c r="Y95" s="1"/>
      <c r="Z95" s="1"/>
      <c r="AA95" s="1"/>
    </row>
    <row r="96" ht="13.5" customHeight="1">
      <c r="B96" s="3">
        <f t="shared" si="6"/>
        <v>95</v>
      </c>
      <c r="C96" s="1" t="s">
        <v>123</v>
      </c>
      <c r="D96" s="1" t="s">
        <v>58</v>
      </c>
      <c r="E96" s="3" t="s">
        <v>139</v>
      </c>
      <c r="F96" s="1" t="s">
        <v>148</v>
      </c>
      <c r="G96" s="1" t="s">
        <v>14</v>
      </c>
      <c r="H96" s="1" t="s">
        <v>178</v>
      </c>
      <c r="I96" s="62">
        <v>0.157</v>
      </c>
      <c r="J96" s="52">
        <v>56056.0</v>
      </c>
      <c r="K96" s="122">
        <v>45348.0</v>
      </c>
      <c r="L96" s="122">
        <v>45350.0</v>
      </c>
      <c r="M96" s="62">
        <f t="shared" ref="M96:M97" si="19">IFERROR(YIELD(L96,J96,I96,N96,100,2,1),"")</f>
        <v>0.1890020937</v>
      </c>
      <c r="N96" s="63">
        <v>83.07</v>
      </c>
      <c r="O96" s="63">
        <v>3.3E9</v>
      </c>
      <c r="P96" s="15">
        <f t="shared" si="2"/>
        <v>2838984590</v>
      </c>
      <c r="Q96" s="15">
        <f t="shared" si="3"/>
        <v>2741310000</v>
      </c>
      <c r="R96" s="15">
        <f t="shared" si="14"/>
        <v>97674590.16</v>
      </c>
      <c r="S96" s="15"/>
      <c r="T96" s="15">
        <f t="shared" si="13"/>
        <v>2838984590</v>
      </c>
      <c r="U96" s="62"/>
      <c r="V96" s="1"/>
      <c r="W96" s="1"/>
      <c r="X96" s="1"/>
      <c r="Y96" s="1"/>
      <c r="Z96" s="1"/>
      <c r="AA96" s="1"/>
    </row>
    <row r="97" ht="13.5" customHeight="1">
      <c r="B97" s="3">
        <f t="shared" si="6"/>
        <v>96</v>
      </c>
      <c r="C97" s="1" t="s">
        <v>123</v>
      </c>
      <c r="D97" s="1" t="s">
        <v>58</v>
      </c>
      <c r="E97" s="3" t="s">
        <v>139</v>
      </c>
      <c r="F97" s="1" t="s">
        <v>148</v>
      </c>
      <c r="G97" s="1" t="s">
        <v>14</v>
      </c>
      <c r="H97" s="1" t="s">
        <v>178</v>
      </c>
      <c r="I97" s="62">
        <v>0.157</v>
      </c>
      <c r="J97" s="52">
        <v>56056.0</v>
      </c>
      <c r="K97" s="122">
        <v>45349.0</v>
      </c>
      <c r="L97" s="122">
        <v>45351.0</v>
      </c>
      <c r="M97" s="62">
        <f t="shared" si="19"/>
        <v>0.1890011038</v>
      </c>
      <c r="N97" s="63">
        <v>83.07</v>
      </c>
      <c r="O97" s="63">
        <v>4.5E8</v>
      </c>
      <c r="P97" s="15">
        <f t="shared" si="2"/>
        <v>387327295.1</v>
      </c>
      <c r="Q97" s="15">
        <f t="shared" si="3"/>
        <v>373815000</v>
      </c>
      <c r="R97" s="15">
        <f t="shared" si="14"/>
        <v>13512295.08</v>
      </c>
      <c r="S97" s="15"/>
      <c r="T97" s="15">
        <f t="shared" si="13"/>
        <v>387327295.1</v>
      </c>
      <c r="U97" s="62"/>
      <c r="V97" s="1"/>
      <c r="W97" s="1"/>
      <c r="X97" s="1"/>
      <c r="Y97" s="1"/>
      <c r="Z97" s="1"/>
      <c r="AA97" s="1"/>
    </row>
    <row r="98" ht="13.5" customHeight="1">
      <c r="B98" s="3">
        <f t="shared" si="6"/>
        <v>97</v>
      </c>
      <c r="C98" s="1" t="s">
        <v>77</v>
      </c>
      <c r="D98" s="1" t="s">
        <v>58</v>
      </c>
      <c r="E98" s="3" t="s">
        <v>139</v>
      </c>
      <c r="F98" s="1" t="s">
        <v>148</v>
      </c>
      <c r="G98" s="1" t="s">
        <v>14</v>
      </c>
      <c r="H98" s="1" t="s">
        <v>187</v>
      </c>
      <c r="I98" s="62">
        <v>0.0</v>
      </c>
      <c r="J98" s="52">
        <v>45708.0</v>
      </c>
      <c r="K98" s="122">
        <v>45349.0</v>
      </c>
      <c r="L98" s="122">
        <v>45351.0</v>
      </c>
      <c r="M98" s="123">
        <v>0.1865</v>
      </c>
      <c r="N98" s="128">
        <f t="shared" ref="N98:N99" si="20">PRICEDISC(L98,J98,M98,100,1)</f>
        <v>81.80162624</v>
      </c>
      <c r="O98" s="63">
        <v>2.0E9</v>
      </c>
      <c r="P98" s="15">
        <f t="shared" si="2"/>
        <v>1636032525</v>
      </c>
      <c r="Q98" s="15">
        <f t="shared" si="3"/>
        <v>1636032525</v>
      </c>
      <c r="R98" s="15" t="str">
        <f t="shared" si="14"/>
        <v/>
      </c>
      <c r="S98" s="15"/>
      <c r="T98" s="15">
        <f t="shared" si="13"/>
        <v>1636032525</v>
      </c>
      <c r="U98" s="62"/>
      <c r="V98" s="1"/>
      <c r="W98" s="1"/>
      <c r="X98" s="1"/>
      <c r="Y98" s="1"/>
      <c r="Z98" s="1"/>
      <c r="AA98" s="1"/>
    </row>
    <row r="99" ht="13.5" customHeight="1">
      <c r="B99" s="3">
        <f t="shared" si="6"/>
        <v>98</v>
      </c>
      <c r="C99" s="1" t="s">
        <v>77</v>
      </c>
      <c r="D99" s="1" t="s">
        <v>58</v>
      </c>
      <c r="E99" s="3" t="s">
        <v>139</v>
      </c>
      <c r="F99" s="1" t="s">
        <v>148</v>
      </c>
      <c r="G99" s="1" t="s">
        <v>14</v>
      </c>
      <c r="H99" s="1" t="s">
        <v>187</v>
      </c>
      <c r="I99" s="62">
        <v>0.0</v>
      </c>
      <c r="J99" s="52">
        <v>45708.0</v>
      </c>
      <c r="K99" s="122">
        <v>45349.0</v>
      </c>
      <c r="L99" s="122">
        <v>45351.0</v>
      </c>
      <c r="M99" s="62">
        <v>0.187</v>
      </c>
      <c r="N99" s="128">
        <f t="shared" si="20"/>
        <v>81.75283704</v>
      </c>
      <c r="O99" s="63">
        <v>1.7E9</v>
      </c>
      <c r="P99" s="15">
        <f t="shared" si="2"/>
        <v>1389798230</v>
      </c>
      <c r="Q99" s="15">
        <f t="shared" si="3"/>
        <v>1389798230</v>
      </c>
      <c r="R99" s="15" t="str">
        <f t="shared" si="14"/>
        <v/>
      </c>
      <c r="S99" s="15"/>
      <c r="T99" s="15">
        <f t="shared" si="13"/>
        <v>1389798230</v>
      </c>
      <c r="U99" s="62"/>
      <c r="V99" s="1"/>
      <c r="W99" s="1"/>
      <c r="X99" s="1"/>
      <c r="Y99" s="1"/>
      <c r="Z99" s="1"/>
      <c r="AA99" s="1"/>
    </row>
    <row r="100" ht="13.5" customHeight="1">
      <c r="B100" s="3">
        <f t="shared" si="6"/>
        <v>99</v>
      </c>
      <c r="C100" s="1" t="s">
        <v>123</v>
      </c>
      <c r="D100" s="1" t="s">
        <v>58</v>
      </c>
      <c r="E100" s="3" t="s">
        <v>139</v>
      </c>
      <c r="F100" s="1" t="s">
        <v>148</v>
      </c>
      <c r="G100" s="1" t="s">
        <v>14</v>
      </c>
      <c r="H100" s="1" t="s">
        <v>178</v>
      </c>
      <c r="I100" s="62">
        <v>0.157</v>
      </c>
      <c r="J100" s="52">
        <v>56056.0</v>
      </c>
      <c r="K100" s="122">
        <v>45350.0</v>
      </c>
      <c r="L100" s="122">
        <v>45352.0</v>
      </c>
      <c r="M100" s="62">
        <f>IFERROR(YIELD(L100,J100,I100,N100,100,2,1),"")</f>
        <v>0.1890001615</v>
      </c>
      <c r="N100" s="63">
        <v>83.07</v>
      </c>
      <c r="O100" s="63">
        <v>4.0E8</v>
      </c>
      <c r="P100" s="15">
        <f t="shared" si="2"/>
        <v>344462513.7</v>
      </c>
      <c r="Q100" s="15">
        <f t="shared" si="3"/>
        <v>332280000</v>
      </c>
      <c r="R100" s="15">
        <f t="shared" si="14"/>
        <v>12182513.66</v>
      </c>
      <c r="S100" s="15"/>
      <c r="T100" s="15">
        <f t="shared" si="13"/>
        <v>344462513.7</v>
      </c>
      <c r="U100" s="62"/>
      <c r="V100" s="1"/>
      <c r="W100" s="1"/>
      <c r="X100" s="1"/>
      <c r="Y100" s="1"/>
      <c r="Z100" s="1"/>
      <c r="AA100" s="1"/>
    </row>
    <row r="101" ht="13.5" customHeight="1">
      <c r="B101" s="3">
        <f t="shared" si="6"/>
        <v>100</v>
      </c>
      <c r="C101" s="1" t="s">
        <v>83</v>
      </c>
      <c r="D101" s="1" t="s">
        <v>58</v>
      </c>
      <c r="E101" s="3" t="s">
        <v>139</v>
      </c>
      <c r="F101" s="1" t="s">
        <v>148</v>
      </c>
      <c r="G101" s="1" t="s">
        <v>12</v>
      </c>
      <c r="H101" s="1" t="s">
        <v>189</v>
      </c>
      <c r="I101" s="62">
        <v>0.0</v>
      </c>
      <c r="J101" s="52">
        <v>45722.0</v>
      </c>
      <c r="K101" s="122">
        <v>45357.0</v>
      </c>
      <c r="L101" s="122">
        <v>45358.0</v>
      </c>
      <c r="M101" s="62">
        <v>0.2</v>
      </c>
      <c r="N101" s="128">
        <f t="shared" ref="N101:N109" si="21">PRICEDISC(L101,J101,M101,100,1)</f>
        <v>80.09970806</v>
      </c>
      <c r="O101" s="63">
        <v>1.0E9</v>
      </c>
      <c r="P101" s="15">
        <f t="shared" si="2"/>
        <v>800997080.6</v>
      </c>
      <c r="Q101" s="15">
        <f t="shared" si="3"/>
        <v>800997080.6</v>
      </c>
      <c r="R101" s="15" t="str">
        <f t="shared" si="14"/>
        <v/>
      </c>
      <c r="S101" s="15"/>
      <c r="T101" s="15">
        <f t="shared" si="13"/>
        <v>800997080.6</v>
      </c>
      <c r="U101" s="62"/>
      <c r="V101" s="1"/>
      <c r="W101" s="1"/>
      <c r="X101" s="1"/>
      <c r="Y101" s="1"/>
      <c r="Z101" s="1"/>
      <c r="AA101" s="1"/>
    </row>
    <row r="102" ht="13.5" customHeight="1">
      <c r="B102" s="3">
        <f t="shared" si="6"/>
        <v>101</v>
      </c>
      <c r="C102" s="1" t="s">
        <v>123</v>
      </c>
      <c r="D102" s="1" t="s">
        <v>58</v>
      </c>
      <c r="E102" s="3" t="s">
        <v>139</v>
      </c>
      <c r="F102" s="1" t="s">
        <v>148</v>
      </c>
      <c r="G102" s="1" t="s">
        <v>12</v>
      </c>
      <c r="H102" s="1" t="s">
        <v>189</v>
      </c>
      <c r="I102" s="62">
        <v>0.0</v>
      </c>
      <c r="J102" s="52">
        <v>45722.0</v>
      </c>
      <c r="K102" s="122">
        <v>45357.0</v>
      </c>
      <c r="L102" s="122">
        <v>45358.0</v>
      </c>
      <c r="M102" s="62">
        <v>0.196</v>
      </c>
      <c r="N102" s="128">
        <f t="shared" si="21"/>
        <v>80.4977139</v>
      </c>
      <c r="O102" s="63">
        <v>5.0E8</v>
      </c>
      <c r="P102" s="15">
        <f t="shared" si="2"/>
        <v>402488569.5</v>
      </c>
      <c r="Q102" s="15">
        <f t="shared" si="3"/>
        <v>402488569.5</v>
      </c>
      <c r="R102" s="15" t="str">
        <f t="shared" si="14"/>
        <v/>
      </c>
      <c r="S102" s="15"/>
      <c r="T102" s="15">
        <f t="shared" si="13"/>
        <v>402488569.5</v>
      </c>
      <c r="U102" s="62"/>
      <c r="V102" s="1"/>
      <c r="W102" s="1"/>
      <c r="X102" s="1"/>
      <c r="Y102" s="1"/>
      <c r="Z102" s="1"/>
      <c r="AA102" s="1"/>
    </row>
    <row r="103" ht="13.5" customHeight="1">
      <c r="B103" s="3">
        <f t="shared" si="6"/>
        <v>102</v>
      </c>
      <c r="C103" s="1" t="s">
        <v>123</v>
      </c>
      <c r="D103" s="1" t="s">
        <v>58</v>
      </c>
      <c r="E103" s="3" t="s">
        <v>139</v>
      </c>
      <c r="F103" s="1" t="s">
        <v>148</v>
      </c>
      <c r="G103" s="1" t="s">
        <v>12</v>
      </c>
      <c r="H103" s="1" t="s">
        <v>189</v>
      </c>
      <c r="I103" s="62">
        <v>0.0</v>
      </c>
      <c r="J103" s="52">
        <v>45722.0</v>
      </c>
      <c r="K103" s="122">
        <v>45357.0</v>
      </c>
      <c r="L103" s="122">
        <v>45358.0</v>
      </c>
      <c r="M103" s="62">
        <v>0.1984</v>
      </c>
      <c r="N103" s="128">
        <f t="shared" si="21"/>
        <v>80.2589104</v>
      </c>
      <c r="O103" s="63">
        <v>5.0E8</v>
      </c>
      <c r="P103" s="15">
        <f t="shared" si="2"/>
        <v>401294552</v>
      </c>
      <c r="Q103" s="15">
        <f t="shared" si="3"/>
        <v>401294552</v>
      </c>
      <c r="R103" s="15" t="str">
        <f t="shared" si="14"/>
        <v/>
      </c>
      <c r="S103" s="15"/>
      <c r="T103" s="15">
        <f t="shared" si="13"/>
        <v>401294552</v>
      </c>
      <c r="U103" s="62"/>
      <c r="V103" s="1"/>
      <c r="W103" s="1"/>
      <c r="X103" s="1"/>
      <c r="Y103" s="1"/>
      <c r="Z103" s="1"/>
      <c r="AA103" s="1"/>
    </row>
    <row r="104" ht="13.5" customHeight="1">
      <c r="B104" s="3">
        <f t="shared" si="6"/>
        <v>103</v>
      </c>
      <c r="C104" s="1" t="s">
        <v>123</v>
      </c>
      <c r="D104" s="1" t="s">
        <v>58</v>
      </c>
      <c r="E104" s="3" t="s">
        <v>139</v>
      </c>
      <c r="F104" s="1" t="s">
        <v>148</v>
      </c>
      <c r="G104" s="1" t="s">
        <v>12</v>
      </c>
      <c r="H104" s="1" t="s">
        <v>189</v>
      </c>
      <c r="I104" s="62">
        <v>0.0</v>
      </c>
      <c r="J104" s="52">
        <v>45722.0</v>
      </c>
      <c r="K104" s="122">
        <v>45357.0</v>
      </c>
      <c r="L104" s="122">
        <v>45358.0</v>
      </c>
      <c r="M104" s="62">
        <v>0.2</v>
      </c>
      <c r="N104" s="128">
        <f t="shared" si="21"/>
        <v>80.09970806</v>
      </c>
      <c r="O104" s="63">
        <v>5.0E8</v>
      </c>
      <c r="P104" s="15">
        <f t="shared" si="2"/>
        <v>400498540.3</v>
      </c>
      <c r="Q104" s="15">
        <f t="shared" si="3"/>
        <v>400498540.3</v>
      </c>
      <c r="R104" s="15" t="str">
        <f t="shared" si="14"/>
        <v/>
      </c>
      <c r="S104" s="15"/>
      <c r="T104" s="15">
        <f t="shared" si="13"/>
        <v>400498540.3</v>
      </c>
      <c r="U104" s="62"/>
      <c r="V104" s="1"/>
      <c r="W104" s="1"/>
      <c r="X104" s="1"/>
      <c r="Y104" s="1"/>
      <c r="Z104" s="1"/>
      <c r="AA104" s="1"/>
    </row>
    <row r="105" ht="13.5" customHeight="1">
      <c r="B105" s="3">
        <f t="shared" si="6"/>
        <v>104</v>
      </c>
      <c r="C105" s="1" t="s">
        <v>123</v>
      </c>
      <c r="D105" s="1" t="s">
        <v>58</v>
      </c>
      <c r="E105" s="3" t="s">
        <v>139</v>
      </c>
      <c r="F105" s="1" t="s">
        <v>148</v>
      </c>
      <c r="G105" s="1" t="s">
        <v>12</v>
      </c>
      <c r="H105" s="1" t="s">
        <v>189</v>
      </c>
      <c r="I105" s="62">
        <v>0.0</v>
      </c>
      <c r="J105" s="52">
        <v>45722.0</v>
      </c>
      <c r="K105" s="122">
        <v>45357.0</v>
      </c>
      <c r="L105" s="122">
        <v>45358.0</v>
      </c>
      <c r="M105" s="62">
        <v>0.1975</v>
      </c>
      <c r="N105" s="128">
        <f t="shared" si="21"/>
        <v>80.34846171</v>
      </c>
      <c r="O105" s="63">
        <v>5.5E9</v>
      </c>
      <c r="P105" s="15">
        <f t="shared" si="2"/>
        <v>4419165394</v>
      </c>
      <c r="Q105" s="15">
        <f t="shared" si="3"/>
        <v>4419165394</v>
      </c>
      <c r="R105" s="15" t="str">
        <f t="shared" si="14"/>
        <v/>
      </c>
      <c r="S105" s="15"/>
      <c r="T105" s="15">
        <f t="shared" si="13"/>
        <v>4419165394</v>
      </c>
      <c r="U105" s="62"/>
      <c r="V105" s="1"/>
      <c r="W105" s="1"/>
      <c r="X105" s="1"/>
      <c r="Y105" s="1"/>
      <c r="Z105" s="1"/>
      <c r="AA105" s="1"/>
    </row>
    <row r="106" ht="13.5" customHeight="1">
      <c r="B106" s="3">
        <f t="shared" si="6"/>
        <v>105</v>
      </c>
      <c r="C106" s="1" t="s">
        <v>123</v>
      </c>
      <c r="D106" s="1" t="s">
        <v>58</v>
      </c>
      <c r="E106" s="3" t="s">
        <v>139</v>
      </c>
      <c r="F106" s="1" t="s">
        <v>148</v>
      </c>
      <c r="G106" s="1" t="s">
        <v>14</v>
      </c>
      <c r="H106" s="1" t="s">
        <v>189</v>
      </c>
      <c r="I106" s="62">
        <v>0.0</v>
      </c>
      <c r="J106" s="52">
        <v>45722.0</v>
      </c>
      <c r="K106" s="122">
        <v>45372.0</v>
      </c>
      <c r="L106" s="122">
        <v>45373.0</v>
      </c>
      <c r="M106" s="62">
        <v>0.193</v>
      </c>
      <c r="N106" s="63">
        <f t="shared" si="21"/>
        <v>81.58720189</v>
      </c>
      <c r="O106" s="63">
        <v>2.0E9</v>
      </c>
      <c r="P106" s="15">
        <f t="shared" si="2"/>
        <v>1631744038</v>
      </c>
      <c r="Q106" s="15">
        <f t="shared" si="3"/>
        <v>1631744038</v>
      </c>
      <c r="R106" s="15" t="str">
        <f t="shared" si="14"/>
        <v/>
      </c>
      <c r="S106" s="15"/>
      <c r="T106" s="15">
        <f t="shared" si="13"/>
        <v>1631744038</v>
      </c>
      <c r="U106" s="62"/>
      <c r="V106" s="1"/>
      <c r="W106" s="1"/>
      <c r="X106" s="1"/>
      <c r="Y106" s="1"/>
      <c r="Z106" s="1"/>
      <c r="AA106" s="1"/>
    </row>
    <row r="107" ht="13.5" customHeight="1">
      <c r="B107" s="3">
        <f t="shared" si="6"/>
        <v>106</v>
      </c>
      <c r="C107" s="1" t="s">
        <v>123</v>
      </c>
      <c r="D107" s="1" t="s">
        <v>58</v>
      </c>
      <c r="E107" s="3" t="s">
        <v>139</v>
      </c>
      <c r="F107" s="1" t="s">
        <v>148</v>
      </c>
      <c r="G107" s="1" t="s">
        <v>14</v>
      </c>
      <c r="H107" s="1" t="s">
        <v>189</v>
      </c>
      <c r="I107" s="62">
        <v>0.0</v>
      </c>
      <c r="J107" s="52">
        <v>45722.0</v>
      </c>
      <c r="K107" s="122">
        <v>45372.0</v>
      </c>
      <c r="L107" s="122">
        <v>45376.0</v>
      </c>
      <c r="M107" s="62">
        <v>0.193</v>
      </c>
      <c r="N107" s="63">
        <f t="shared" si="21"/>
        <v>81.74539861</v>
      </c>
      <c r="O107" s="63">
        <v>2.0E9</v>
      </c>
      <c r="P107" s="15">
        <f t="shared" si="2"/>
        <v>1634907972</v>
      </c>
      <c r="Q107" s="15">
        <f t="shared" si="3"/>
        <v>1634907972</v>
      </c>
      <c r="R107" s="15" t="str">
        <f t="shared" si="14"/>
        <v/>
      </c>
      <c r="S107" s="15"/>
      <c r="T107" s="15">
        <f t="shared" si="13"/>
        <v>1634907972</v>
      </c>
      <c r="U107" s="62"/>
      <c r="V107" s="1"/>
      <c r="W107" s="1"/>
      <c r="X107" s="1"/>
      <c r="Y107" s="1"/>
      <c r="Z107" s="1"/>
      <c r="AA107" s="1"/>
    </row>
    <row r="108" ht="13.5" customHeight="1">
      <c r="B108" s="3">
        <f t="shared" si="6"/>
        <v>107</v>
      </c>
      <c r="C108" s="1" t="s">
        <v>123</v>
      </c>
      <c r="D108" s="1" t="s">
        <v>58</v>
      </c>
      <c r="E108" s="3" t="s">
        <v>139</v>
      </c>
      <c r="F108" s="1" t="s">
        <v>148</v>
      </c>
      <c r="G108" s="1" t="s">
        <v>12</v>
      </c>
      <c r="H108" s="1" t="s">
        <v>193</v>
      </c>
      <c r="I108" s="62">
        <v>0.0</v>
      </c>
      <c r="J108" s="52">
        <v>45743.0</v>
      </c>
      <c r="K108" s="122">
        <v>45379.0</v>
      </c>
      <c r="L108" s="122">
        <v>45379.0</v>
      </c>
      <c r="M108" s="62">
        <v>0.1835</v>
      </c>
      <c r="N108" s="63">
        <f t="shared" si="21"/>
        <v>81.73859757</v>
      </c>
      <c r="O108" s="63">
        <v>4.7E9</v>
      </c>
      <c r="P108" s="15">
        <f t="shared" si="2"/>
        <v>3841714086</v>
      </c>
      <c r="Q108" s="15">
        <f t="shared" si="3"/>
        <v>3841714086</v>
      </c>
      <c r="R108" s="15" t="str">
        <f t="shared" si="14"/>
        <v/>
      </c>
      <c r="S108" s="15"/>
      <c r="T108" s="15">
        <f t="shared" si="13"/>
        <v>3841714086</v>
      </c>
      <c r="U108" s="62"/>
      <c r="V108" s="1"/>
      <c r="W108" s="1"/>
      <c r="X108" s="1"/>
      <c r="Y108" s="1"/>
      <c r="Z108" s="1"/>
      <c r="AA108" s="1"/>
    </row>
    <row r="109" ht="13.5" customHeight="1">
      <c r="B109" s="3">
        <f t="shared" si="6"/>
        <v>108</v>
      </c>
      <c r="C109" s="1" t="s">
        <v>123</v>
      </c>
      <c r="D109" s="1" t="s">
        <v>58</v>
      </c>
      <c r="E109" s="3" t="s">
        <v>139</v>
      </c>
      <c r="F109" s="1" t="s">
        <v>194</v>
      </c>
      <c r="G109" s="1" t="s">
        <v>14</v>
      </c>
      <c r="H109" s="1" t="s">
        <v>189</v>
      </c>
      <c r="I109" s="62">
        <v>0.0</v>
      </c>
      <c r="J109" s="52">
        <v>45722.0</v>
      </c>
      <c r="K109" s="122">
        <v>45394.0</v>
      </c>
      <c r="L109" s="122">
        <v>45398.0</v>
      </c>
      <c r="M109" s="62">
        <v>0.1945</v>
      </c>
      <c r="N109" s="63">
        <f t="shared" si="21"/>
        <v>82.77264915</v>
      </c>
      <c r="O109" s="63">
        <v>4.0E9</v>
      </c>
      <c r="P109" s="15">
        <v>3.31090596602E9</v>
      </c>
      <c r="Q109" s="15">
        <v>3.31090596602E9</v>
      </c>
      <c r="R109" s="15" t="str">
        <f t="shared" si="14"/>
        <v/>
      </c>
      <c r="S109" s="15"/>
      <c r="T109" s="15">
        <f t="shared" si="13"/>
        <v>3310905966</v>
      </c>
      <c r="U109" s="62"/>
      <c r="V109" s="1"/>
      <c r="W109" s="1"/>
      <c r="X109" s="1"/>
      <c r="Y109" s="1"/>
      <c r="Z109" s="1"/>
      <c r="AA109" s="1"/>
    </row>
    <row r="110" ht="13.5" customHeight="1">
      <c r="B110" s="3">
        <f t="shared" si="6"/>
        <v>109</v>
      </c>
      <c r="C110" s="1" t="s">
        <v>83</v>
      </c>
      <c r="D110" s="1" t="s">
        <v>58</v>
      </c>
      <c r="E110" s="3" t="s">
        <v>139</v>
      </c>
      <c r="F110" s="1" t="s">
        <v>194</v>
      </c>
      <c r="G110" s="1" t="s">
        <v>12</v>
      </c>
      <c r="H110" s="1" t="s">
        <v>195</v>
      </c>
      <c r="I110" s="62">
        <v>0.19</v>
      </c>
      <c r="J110" s="52">
        <v>48996.0</v>
      </c>
      <c r="K110" s="122">
        <v>45397.0</v>
      </c>
      <c r="L110" s="122">
        <v>45399.0</v>
      </c>
      <c r="M110" s="62">
        <f>IFERROR(YIELD(L110,J110,I110,N110,100,2,1),"")</f>
        <v>0.2000000001</v>
      </c>
      <c r="N110" s="63">
        <v>95.6695031432</v>
      </c>
      <c r="O110" s="63">
        <v>3.3E9</v>
      </c>
      <c r="P110" s="15">
        <f t="shared" ref="P110:P177" si="22">IFERROR((O110*N110/100)+ACCRINT(COUPPCD(L110,J110,2,1),COUPNCD(L110,J110,2,1),L110,I110,O110,2,1),O110*N110/100)</f>
        <v>3253555142</v>
      </c>
      <c r="Q110" s="15">
        <f t="shared" ref="Q110:Q270" si="23">O110*N110/100</f>
        <v>3157093604</v>
      </c>
      <c r="R110" s="15">
        <f t="shared" si="14"/>
        <v>96461538.46</v>
      </c>
      <c r="S110" s="15"/>
      <c r="T110" s="15">
        <f t="shared" si="13"/>
        <v>3253555142</v>
      </c>
      <c r="U110" s="62"/>
      <c r="V110" s="1"/>
      <c r="W110" s="1"/>
      <c r="X110" s="1"/>
      <c r="Y110" s="1"/>
      <c r="Z110" s="1"/>
      <c r="AA110" s="1"/>
    </row>
    <row r="111" ht="13.5" customHeight="1">
      <c r="B111" s="3">
        <f t="shared" si="6"/>
        <v>110</v>
      </c>
      <c r="C111" s="1" t="s">
        <v>123</v>
      </c>
      <c r="D111" s="1" t="s">
        <v>58</v>
      </c>
      <c r="E111" s="3" t="s">
        <v>139</v>
      </c>
      <c r="F111" s="1" t="s">
        <v>194</v>
      </c>
      <c r="G111" s="1" t="s">
        <v>14</v>
      </c>
      <c r="H111" s="1" t="s">
        <v>193</v>
      </c>
      <c r="I111" s="62">
        <v>0.0</v>
      </c>
      <c r="J111" s="52">
        <v>45743.0</v>
      </c>
      <c r="K111" s="122">
        <v>45405.0</v>
      </c>
      <c r="L111" s="122">
        <v>45406.0</v>
      </c>
      <c r="M111" s="62">
        <v>0.2115</v>
      </c>
      <c r="N111" s="63">
        <f>PRICEDISC(L111,J111,M111,100,1)</f>
        <v>80.51236245</v>
      </c>
      <c r="O111" s="63">
        <v>3.15E9</v>
      </c>
      <c r="P111" s="15">
        <f t="shared" si="22"/>
        <v>2536139417</v>
      </c>
      <c r="Q111" s="15">
        <f t="shared" si="23"/>
        <v>2536139417</v>
      </c>
      <c r="R111" s="15" t="str">
        <f t="shared" si="14"/>
        <v/>
      </c>
      <c r="S111" s="15"/>
      <c r="T111" s="15">
        <f t="shared" si="13"/>
        <v>2536139417</v>
      </c>
      <c r="U111" s="62"/>
      <c r="V111" s="1"/>
      <c r="W111" s="1"/>
      <c r="X111" s="1"/>
      <c r="Y111" s="1"/>
      <c r="Z111" s="1"/>
      <c r="AA111" s="1"/>
    </row>
    <row r="112" ht="13.5" customHeight="1">
      <c r="B112" s="3">
        <f t="shared" si="6"/>
        <v>111</v>
      </c>
      <c r="C112" s="1" t="s">
        <v>123</v>
      </c>
      <c r="D112" s="1" t="s">
        <v>58</v>
      </c>
      <c r="E112" s="3" t="s">
        <v>139</v>
      </c>
      <c r="F112" s="1" t="s">
        <v>194</v>
      </c>
      <c r="G112" s="1" t="s">
        <v>12</v>
      </c>
      <c r="H112" s="1" t="s">
        <v>195</v>
      </c>
      <c r="I112" s="62">
        <v>0.19</v>
      </c>
      <c r="J112" s="52">
        <v>48996.0</v>
      </c>
      <c r="K112" s="122">
        <v>45406.0</v>
      </c>
      <c r="L112" s="122">
        <v>45408.0</v>
      </c>
      <c r="M112" s="62">
        <f t="shared" ref="M112:M113" si="24">IFERROR(YIELD(L112,J112,I112,N112,100,2,1),"")</f>
        <v>0.1949935348</v>
      </c>
      <c r="N112" s="63">
        <v>97.75</v>
      </c>
      <c r="O112" s="63">
        <v>1.0E9</v>
      </c>
      <c r="P112" s="15">
        <f t="shared" si="22"/>
        <v>1011428571</v>
      </c>
      <c r="Q112" s="15">
        <f t="shared" si="23"/>
        <v>977500000</v>
      </c>
      <c r="R112" s="15">
        <f t="shared" si="14"/>
        <v>33928571.43</v>
      </c>
      <c r="S112" s="15"/>
      <c r="T112" s="15">
        <f t="shared" si="13"/>
        <v>1011428571</v>
      </c>
      <c r="U112" s="62"/>
      <c r="V112" s="1"/>
      <c r="W112" s="1"/>
      <c r="X112" s="1"/>
      <c r="Y112" s="1"/>
      <c r="Z112" s="1"/>
      <c r="AA112" s="1"/>
    </row>
    <row r="113" ht="13.5" customHeight="1">
      <c r="B113" s="3">
        <f t="shared" si="6"/>
        <v>112</v>
      </c>
      <c r="C113" s="1" t="s">
        <v>77</v>
      </c>
      <c r="D113" s="1" t="s">
        <v>58</v>
      </c>
      <c r="E113" s="3" t="s">
        <v>139</v>
      </c>
      <c r="F113" s="1" t="s">
        <v>194</v>
      </c>
      <c r="G113" s="1" t="s">
        <v>12</v>
      </c>
      <c r="H113" s="1" t="s">
        <v>197</v>
      </c>
      <c r="I113" s="62">
        <v>0.1994</v>
      </c>
      <c r="J113" s="52">
        <v>46466.0</v>
      </c>
      <c r="K113" s="122">
        <v>45407.0</v>
      </c>
      <c r="L113" s="122">
        <v>45408.0</v>
      </c>
      <c r="M113" s="62">
        <f t="shared" si="24"/>
        <v>0.1927490417</v>
      </c>
      <c r="N113" s="63">
        <v>101.35375</v>
      </c>
      <c r="O113" s="63">
        <v>1.0E9</v>
      </c>
      <c r="P113" s="15">
        <f t="shared" si="22"/>
        <v>1033585870</v>
      </c>
      <c r="Q113" s="15">
        <f t="shared" si="23"/>
        <v>1013537500</v>
      </c>
      <c r="R113" s="15">
        <f t="shared" si="14"/>
        <v>20048369.57</v>
      </c>
      <c r="S113" s="15"/>
      <c r="T113" s="15">
        <f t="shared" si="13"/>
        <v>1033585870</v>
      </c>
      <c r="U113" s="62"/>
      <c r="V113" s="1"/>
      <c r="W113" s="1"/>
      <c r="X113" s="1"/>
      <c r="Y113" s="1"/>
      <c r="Z113" s="1"/>
      <c r="AA113" s="1"/>
    </row>
    <row r="114" ht="13.5" customHeight="1">
      <c r="B114" s="3">
        <f t="shared" si="6"/>
        <v>113</v>
      </c>
      <c r="C114" s="1" t="s">
        <v>123</v>
      </c>
      <c r="D114" s="1" t="s">
        <v>58</v>
      </c>
      <c r="E114" s="3" t="s">
        <v>139</v>
      </c>
      <c r="F114" s="1" t="s">
        <v>148</v>
      </c>
      <c r="G114" s="1" t="s">
        <v>14</v>
      </c>
      <c r="H114" s="1" t="s">
        <v>193</v>
      </c>
      <c r="I114" s="62">
        <v>0.0</v>
      </c>
      <c r="J114" s="52">
        <v>45743.0</v>
      </c>
      <c r="K114" s="122">
        <v>45421.0</v>
      </c>
      <c r="L114" s="122">
        <v>45422.0</v>
      </c>
      <c r="M114" s="62">
        <v>0.208</v>
      </c>
      <c r="N114" s="63">
        <f t="shared" ref="N114:N116" si="25">PRICEDISC(L114,J114,M114,100,1)</f>
        <v>81.74414253</v>
      </c>
      <c r="O114" s="63">
        <v>1.0E9</v>
      </c>
      <c r="P114" s="15">
        <f t="shared" si="22"/>
        <v>817441425.3</v>
      </c>
      <c r="Q114" s="15">
        <f t="shared" si="23"/>
        <v>817441425.3</v>
      </c>
      <c r="R114" s="15" t="str">
        <f t="shared" si="14"/>
        <v/>
      </c>
      <c r="S114" s="15"/>
      <c r="T114" s="15">
        <f t="shared" si="13"/>
        <v>817441425.3</v>
      </c>
      <c r="U114" s="62"/>
      <c r="V114" s="1"/>
      <c r="W114" s="1"/>
      <c r="X114" s="1"/>
      <c r="Y114" s="1"/>
      <c r="Z114" s="1"/>
      <c r="AA114" s="1"/>
    </row>
    <row r="115" ht="13.5" customHeight="1">
      <c r="B115" s="3">
        <f t="shared" si="6"/>
        <v>114</v>
      </c>
      <c r="C115" s="1" t="s">
        <v>77</v>
      </c>
      <c r="D115" s="1" t="s">
        <v>58</v>
      </c>
      <c r="E115" s="3" t="s">
        <v>139</v>
      </c>
      <c r="F115" s="1" t="s">
        <v>60</v>
      </c>
      <c r="G115" s="1" t="s">
        <v>14</v>
      </c>
      <c r="H115" s="1" t="s">
        <v>193</v>
      </c>
      <c r="I115" s="62">
        <v>0.0</v>
      </c>
      <c r="J115" s="52">
        <v>45743.0</v>
      </c>
      <c r="K115" s="122">
        <v>45432.0</v>
      </c>
      <c r="L115" s="122">
        <v>45433.0</v>
      </c>
      <c r="M115" s="62">
        <v>0.207</v>
      </c>
      <c r="N115" s="63">
        <f t="shared" si="25"/>
        <v>82.45404222</v>
      </c>
      <c r="O115" s="63">
        <v>3.5E8</v>
      </c>
      <c r="P115" s="15">
        <f t="shared" si="22"/>
        <v>288589147.8</v>
      </c>
      <c r="Q115" s="15">
        <f t="shared" si="23"/>
        <v>288589147.8</v>
      </c>
      <c r="R115" s="15" t="str">
        <f t="shared" si="14"/>
        <v/>
      </c>
      <c r="S115" s="15"/>
      <c r="T115" s="15">
        <f t="shared" si="13"/>
        <v>288589147.8</v>
      </c>
      <c r="U115" s="62"/>
      <c r="V115" s="1"/>
      <c r="W115" s="1"/>
      <c r="X115" s="1"/>
      <c r="Y115" s="1"/>
      <c r="Z115" s="1"/>
      <c r="AA115" s="1"/>
    </row>
    <row r="116" ht="13.5" customHeight="1">
      <c r="B116" s="3">
        <f t="shared" si="6"/>
        <v>115</v>
      </c>
      <c r="C116" s="1" t="s">
        <v>123</v>
      </c>
      <c r="D116" s="1" t="s">
        <v>58</v>
      </c>
      <c r="E116" s="3" t="s">
        <v>139</v>
      </c>
      <c r="F116" s="1" t="s">
        <v>60</v>
      </c>
      <c r="G116" s="51" t="s">
        <v>12</v>
      </c>
      <c r="H116" s="1" t="s">
        <v>198</v>
      </c>
      <c r="I116" s="62">
        <v>0.0</v>
      </c>
      <c r="J116" s="52">
        <v>45813.0</v>
      </c>
      <c r="K116" s="122">
        <v>45464.0</v>
      </c>
      <c r="L116" s="122">
        <v>45467.0</v>
      </c>
      <c r="M116" s="62">
        <v>0.2</v>
      </c>
      <c r="N116" s="63">
        <f t="shared" si="25"/>
        <v>81.06969085</v>
      </c>
      <c r="O116" s="63">
        <v>1.65E9</v>
      </c>
      <c r="P116" s="15">
        <f t="shared" si="22"/>
        <v>1337649899</v>
      </c>
      <c r="Q116" s="15">
        <f t="shared" si="23"/>
        <v>1337649899</v>
      </c>
      <c r="R116" s="15" t="str">
        <f t="shared" si="14"/>
        <v/>
      </c>
      <c r="S116" s="15"/>
      <c r="T116" s="15">
        <f t="shared" si="13"/>
        <v>1337649899</v>
      </c>
      <c r="U116" s="62"/>
      <c r="V116" s="1"/>
      <c r="W116" s="1"/>
      <c r="X116" s="1"/>
      <c r="Y116" s="1"/>
      <c r="Z116" s="1"/>
      <c r="AA116" s="1"/>
    </row>
    <row r="117" ht="13.5" customHeight="1">
      <c r="B117" s="3">
        <f t="shared" si="6"/>
        <v>116</v>
      </c>
      <c r="C117" s="1" t="s">
        <v>123</v>
      </c>
      <c r="D117" s="1" t="s">
        <v>58</v>
      </c>
      <c r="E117" s="3" t="s">
        <v>139</v>
      </c>
      <c r="F117" s="1" t="s">
        <v>60</v>
      </c>
      <c r="G117" s="1" t="s">
        <v>14</v>
      </c>
      <c r="H117" s="1" t="s">
        <v>195</v>
      </c>
      <c r="I117" s="62">
        <v>0.19</v>
      </c>
      <c r="J117" s="52">
        <v>48996.0</v>
      </c>
      <c r="K117" s="52">
        <v>45470.0</v>
      </c>
      <c r="L117" s="122">
        <v>45471.0</v>
      </c>
      <c r="M117" s="62">
        <f t="shared" ref="M117:M119" si="26">IFERROR(YIELD(L117,J117,I117,N117,100,2,1),"")</f>
        <v>0.2105092528</v>
      </c>
      <c r="N117" s="63">
        <v>91.57</v>
      </c>
      <c r="O117" s="63">
        <v>1.5E9</v>
      </c>
      <c r="P117" s="15">
        <f t="shared" si="22"/>
        <v>1473769780</v>
      </c>
      <c r="Q117" s="15">
        <f t="shared" si="23"/>
        <v>1373550000</v>
      </c>
      <c r="R117" s="15">
        <f t="shared" si="14"/>
        <v>100219780.2</v>
      </c>
      <c r="S117" s="15"/>
      <c r="T117" s="15">
        <f t="shared" si="13"/>
        <v>1473769780</v>
      </c>
      <c r="U117" s="62"/>
      <c r="V117" s="1"/>
      <c r="W117" s="1"/>
      <c r="X117" s="1"/>
      <c r="Y117" s="1"/>
      <c r="Z117" s="1"/>
      <c r="AA117" s="1"/>
    </row>
    <row r="118" ht="13.5" customHeight="1">
      <c r="B118" s="3">
        <f t="shared" si="6"/>
        <v>117</v>
      </c>
      <c r="C118" s="1" t="s">
        <v>123</v>
      </c>
      <c r="D118" s="1" t="s">
        <v>58</v>
      </c>
      <c r="E118" s="3" t="s">
        <v>139</v>
      </c>
      <c r="F118" s="1" t="s">
        <v>60</v>
      </c>
      <c r="G118" s="1" t="s">
        <v>14</v>
      </c>
      <c r="H118" s="1" t="s">
        <v>195</v>
      </c>
      <c r="I118" s="62">
        <v>0.19</v>
      </c>
      <c r="J118" s="52">
        <v>48996.0</v>
      </c>
      <c r="K118" s="122">
        <v>45484.0</v>
      </c>
      <c r="L118" s="122">
        <v>45485.0</v>
      </c>
      <c r="M118" s="62">
        <f t="shared" si="26"/>
        <v>0.2140029225</v>
      </c>
      <c r="N118" s="63">
        <v>90.29</v>
      </c>
      <c r="O118" s="63">
        <v>1.0E9</v>
      </c>
      <c r="P118" s="15">
        <f t="shared" si="22"/>
        <v>977020879.1</v>
      </c>
      <c r="Q118" s="15">
        <f t="shared" si="23"/>
        <v>902900000</v>
      </c>
      <c r="R118" s="15">
        <f t="shared" si="14"/>
        <v>74120879.12</v>
      </c>
      <c r="S118" s="15"/>
      <c r="T118" s="15">
        <f t="shared" si="13"/>
        <v>977020879.1</v>
      </c>
      <c r="U118" s="62"/>
      <c r="V118" s="1"/>
      <c r="W118" s="1"/>
      <c r="X118" s="1"/>
      <c r="Y118" s="1"/>
      <c r="Z118" s="1"/>
      <c r="AA118" s="1"/>
    </row>
    <row r="119" ht="13.5" customHeight="1">
      <c r="B119" s="3">
        <f t="shared" si="6"/>
        <v>118</v>
      </c>
      <c r="C119" s="1" t="s">
        <v>123</v>
      </c>
      <c r="D119" s="1" t="s">
        <v>58</v>
      </c>
      <c r="E119" s="3" t="s">
        <v>139</v>
      </c>
      <c r="F119" s="1" t="s">
        <v>60</v>
      </c>
      <c r="G119" s="1" t="s">
        <v>14</v>
      </c>
      <c r="H119" s="1" t="s">
        <v>195</v>
      </c>
      <c r="I119" s="62">
        <v>0.19</v>
      </c>
      <c r="J119" s="52">
        <v>48996.0</v>
      </c>
      <c r="K119" s="122">
        <v>45485.0</v>
      </c>
      <c r="L119" s="122">
        <v>45488.0</v>
      </c>
      <c r="M119" s="62">
        <f t="shared" si="26"/>
        <v>0.2140225287</v>
      </c>
      <c r="N119" s="63">
        <v>90.29</v>
      </c>
      <c r="O119" s="63">
        <v>4.0E8</v>
      </c>
      <c r="P119" s="15">
        <f t="shared" si="22"/>
        <v>391434725.3</v>
      </c>
      <c r="Q119" s="15">
        <f t="shared" si="23"/>
        <v>361160000</v>
      </c>
      <c r="R119" s="15">
        <f t="shared" si="14"/>
        <v>30274725.27</v>
      </c>
      <c r="S119" s="15"/>
      <c r="T119" s="15">
        <f t="shared" si="13"/>
        <v>391434725.3</v>
      </c>
      <c r="U119" s="62"/>
      <c r="V119" s="1"/>
      <c r="W119" s="1"/>
      <c r="X119" s="1"/>
      <c r="Y119" s="1"/>
      <c r="Z119" s="1"/>
      <c r="AA119" s="1"/>
    </row>
    <row r="120" ht="13.5" customHeight="1">
      <c r="B120" s="3">
        <f t="shared" si="6"/>
        <v>119</v>
      </c>
      <c r="C120" s="1" t="s">
        <v>123</v>
      </c>
      <c r="D120" s="1" t="s">
        <v>58</v>
      </c>
      <c r="E120" s="3" t="s">
        <v>139</v>
      </c>
      <c r="F120" s="1" t="s">
        <v>60</v>
      </c>
      <c r="G120" s="51" t="s">
        <v>12</v>
      </c>
      <c r="H120" s="1" t="s">
        <v>199</v>
      </c>
      <c r="I120" s="62">
        <v>0.0</v>
      </c>
      <c r="J120" s="52">
        <v>45848.0</v>
      </c>
      <c r="K120" s="122">
        <v>45490.0</v>
      </c>
      <c r="L120" s="122">
        <v>45492.0</v>
      </c>
      <c r="M120" s="62">
        <v>0.2</v>
      </c>
      <c r="N120" s="63">
        <f>PRICEDISC(L120,J120,M120,100,1)</f>
        <v>80.51800284</v>
      </c>
      <c r="O120" s="63">
        <v>1.6E9</v>
      </c>
      <c r="P120" s="15">
        <f t="shared" si="22"/>
        <v>1288288046</v>
      </c>
      <c r="Q120" s="15">
        <f t="shared" si="23"/>
        <v>1288288046</v>
      </c>
      <c r="R120" s="15" t="str">
        <f t="shared" si="14"/>
        <v/>
      </c>
      <c r="S120" s="15"/>
      <c r="T120" s="15">
        <f t="shared" si="13"/>
        <v>1288288046</v>
      </c>
      <c r="U120" s="62"/>
      <c r="V120" s="1"/>
      <c r="W120" s="1"/>
      <c r="X120" s="1"/>
      <c r="Y120" s="1"/>
      <c r="Z120" s="1"/>
      <c r="AA120" s="1"/>
    </row>
    <row r="121" ht="13.5" customHeight="1">
      <c r="B121" s="3">
        <f t="shared" si="6"/>
        <v>120</v>
      </c>
      <c r="C121" s="1" t="s">
        <v>123</v>
      </c>
      <c r="D121" s="1" t="s">
        <v>58</v>
      </c>
      <c r="E121" s="3" t="s">
        <v>139</v>
      </c>
      <c r="F121" s="1" t="s">
        <v>60</v>
      </c>
      <c r="G121" s="1" t="s">
        <v>14</v>
      </c>
      <c r="H121" s="1" t="s">
        <v>195</v>
      </c>
      <c r="I121" s="62">
        <v>0.19</v>
      </c>
      <c r="J121" s="52">
        <v>48996.0</v>
      </c>
      <c r="K121" s="122">
        <v>45498.0</v>
      </c>
      <c r="L121" s="122">
        <v>45499.0</v>
      </c>
      <c r="M121" s="62">
        <f>IFERROR(YIELD(L121,J121,I121,N121,100,2,1),"")</f>
        <v>0.2269961461</v>
      </c>
      <c r="N121" s="63">
        <v>85.72</v>
      </c>
      <c r="O121" s="63">
        <v>1.4E9</v>
      </c>
      <c r="P121" s="15">
        <f t="shared" si="22"/>
        <v>1314080000</v>
      </c>
      <c r="Q121" s="15">
        <f t="shared" si="23"/>
        <v>1200080000</v>
      </c>
      <c r="R121" s="15">
        <f t="shared" si="14"/>
        <v>114000000</v>
      </c>
      <c r="S121" s="15"/>
      <c r="T121" s="15">
        <f t="shared" si="13"/>
        <v>1314080000</v>
      </c>
      <c r="U121" s="62"/>
      <c r="V121" s="1"/>
      <c r="W121" s="1"/>
      <c r="X121" s="1"/>
      <c r="Y121" s="1"/>
      <c r="Z121" s="1"/>
      <c r="AA121" s="1"/>
    </row>
    <row r="122" ht="13.5" customHeight="1">
      <c r="B122" s="3">
        <f t="shared" si="6"/>
        <v>121</v>
      </c>
      <c r="C122" s="1" t="s">
        <v>123</v>
      </c>
      <c r="D122" s="1" t="s">
        <v>58</v>
      </c>
      <c r="E122" s="3" t="s">
        <v>139</v>
      </c>
      <c r="F122" s="1" t="s">
        <v>60</v>
      </c>
      <c r="G122" s="1" t="s">
        <v>12</v>
      </c>
      <c r="H122" s="1" t="s">
        <v>200</v>
      </c>
      <c r="I122" s="62">
        <v>0.0</v>
      </c>
      <c r="J122" s="52">
        <v>45799.0</v>
      </c>
      <c r="K122" s="122">
        <v>45499.0</v>
      </c>
      <c r="L122" s="122">
        <v>45502.0</v>
      </c>
      <c r="M122" s="62">
        <v>0.222</v>
      </c>
      <c r="N122" s="63">
        <f t="shared" ref="N122:N125" si="27">PRICEDISC(L122,J122,M122,100,1)</f>
        <v>81.96181451</v>
      </c>
      <c r="O122" s="63">
        <v>1.6E9</v>
      </c>
      <c r="P122" s="15">
        <f t="shared" si="22"/>
        <v>1311389032</v>
      </c>
      <c r="Q122" s="15">
        <f t="shared" si="23"/>
        <v>1311389032</v>
      </c>
      <c r="R122" s="15" t="str">
        <f t="shared" si="14"/>
        <v/>
      </c>
      <c r="S122" s="15"/>
      <c r="T122" s="15">
        <f t="shared" si="13"/>
        <v>1311389032</v>
      </c>
      <c r="U122" s="62"/>
      <c r="V122" s="1"/>
      <c r="W122" s="1"/>
      <c r="X122" s="1"/>
      <c r="Y122" s="1"/>
      <c r="Z122" s="1"/>
      <c r="AA122" s="1"/>
    </row>
    <row r="123" ht="13.5" customHeight="1">
      <c r="B123" s="3">
        <f t="shared" si="6"/>
        <v>122</v>
      </c>
      <c r="C123" s="1" t="s">
        <v>123</v>
      </c>
      <c r="D123" s="1" t="s">
        <v>58</v>
      </c>
      <c r="E123" s="3" t="s">
        <v>139</v>
      </c>
      <c r="F123" s="1" t="s">
        <v>60</v>
      </c>
      <c r="G123" s="1" t="s">
        <v>14</v>
      </c>
      <c r="H123" s="1" t="s">
        <v>198</v>
      </c>
      <c r="I123" s="62">
        <v>0.0</v>
      </c>
      <c r="J123" s="52">
        <v>45813.0</v>
      </c>
      <c r="K123" s="122">
        <v>45510.0</v>
      </c>
      <c r="L123" s="122">
        <v>45511.0</v>
      </c>
      <c r="M123" s="62">
        <v>0.225</v>
      </c>
      <c r="N123" s="63">
        <f t="shared" si="27"/>
        <v>81.40832023</v>
      </c>
      <c r="O123" s="63">
        <v>4.0E8</v>
      </c>
      <c r="P123" s="15">
        <f t="shared" si="22"/>
        <v>325633280.9</v>
      </c>
      <c r="Q123" s="15">
        <f t="shared" si="23"/>
        <v>325633280.9</v>
      </c>
      <c r="R123" s="15" t="str">
        <f t="shared" si="14"/>
        <v/>
      </c>
      <c r="S123" s="15"/>
      <c r="T123" s="15">
        <f t="shared" si="13"/>
        <v>325633280.9</v>
      </c>
      <c r="U123" s="62"/>
      <c r="V123" s="1"/>
      <c r="W123" s="1"/>
      <c r="X123" s="1"/>
      <c r="Y123" s="1"/>
      <c r="Z123" s="1"/>
      <c r="AA123" s="1"/>
    </row>
    <row r="124" ht="13.5" customHeight="1">
      <c r="B124" s="3">
        <f t="shared" si="6"/>
        <v>123</v>
      </c>
      <c r="C124" s="1" t="s">
        <v>123</v>
      </c>
      <c r="D124" s="1" t="s">
        <v>58</v>
      </c>
      <c r="E124" s="3" t="s">
        <v>139</v>
      </c>
      <c r="F124" s="1" t="s">
        <v>60</v>
      </c>
      <c r="G124" s="1" t="s">
        <v>14</v>
      </c>
      <c r="H124" s="1" t="s">
        <v>200</v>
      </c>
      <c r="I124" s="62">
        <v>0.0</v>
      </c>
      <c r="J124" s="52">
        <v>45799.0</v>
      </c>
      <c r="K124" s="122">
        <v>45533.0</v>
      </c>
      <c r="L124" s="122">
        <v>45534.0</v>
      </c>
      <c r="M124" s="62">
        <v>0.1975</v>
      </c>
      <c r="N124" s="63">
        <f t="shared" si="27"/>
        <v>85.67929111</v>
      </c>
      <c r="O124" s="63">
        <v>1.6E9</v>
      </c>
      <c r="P124" s="15">
        <f t="shared" si="22"/>
        <v>1370868658</v>
      </c>
      <c r="Q124" s="15">
        <f t="shared" si="23"/>
        <v>1370868658</v>
      </c>
      <c r="R124" s="15" t="str">
        <f t="shared" si="14"/>
        <v/>
      </c>
      <c r="S124" s="15"/>
      <c r="T124" s="15">
        <f t="shared" si="13"/>
        <v>1370868658</v>
      </c>
      <c r="U124" s="62"/>
      <c r="V124" s="1"/>
      <c r="W124" s="1"/>
      <c r="X124" s="1"/>
      <c r="Y124" s="1"/>
      <c r="Z124" s="1"/>
      <c r="AA124" s="1"/>
    </row>
    <row r="125" ht="13.5" customHeight="1">
      <c r="B125" s="3">
        <f t="shared" si="6"/>
        <v>124</v>
      </c>
      <c r="C125" s="1" t="s">
        <v>123</v>
      </c>
      <c r="D125" s="1" t="s">
        <v>58</v>
      </c>
      <c r="E125" s="3" t="s">
        <v>139</v>
      </c>
      <c r="F125" s="1" t="s">
        <v>60</v>
      </c>
      <c r="G125" s="1" t="s">
        <v>14</v>
      </c>
      <c r="H125" s="1" t="s">
        <v>199</v>
      </c>
      <c r="I125" s="62">
        <v>0.0</v>
      </c>
      <c r="J125" s="52">
        <v>45848.0</v>
      </c>
      <c r="K125" s="122">
        <v>45533.0</v>
      </c>
      <c r="L125" s="122">
        <v>45534.0</v>
      </c>
      <c r="M125" s="62">
        <v>0.197</v>
      </c>
      <c r="N125" s="63">
        <f t="shared" si="27"/>
        <v>83.07088854</v>
      </c>
      <c r="O125" s="63">
        <v>8.0E8</v>
      </c>
      <c r="P125" s="15">
        <f t="shared" si="22"/>
        <v>664567108.3</v>
      </c>
      <c r="Q125" s="15">
        <f t="shared" si="23"/>
        <v>664567108.3</v>
      </c>
      <c r="R125" s="15" t="str">
        <f t="shared" si="14"/>
        <v/>
      </c>
      <c r="S125" s="15"/>
      <c r="T125" s="15">
        <f t="shared" si="13"/>
        <v>664567108.3</v>
      </c>
      <c r="U125" s="62"/>
      <c r="V125" s="1"/>
      <c r="W125" s="1"/>
      <c r="X125" s="1"/>
      <c r="Y125" s="1"/>
      <c r="Z125" s="1"/>
      <c r="AA125" s="1"/>
    </row>
    <row r="126" ht="13.5" customHeight="1">
      <c r="B126" s="3">
        <f t="shared" si="6"/>
        <v>125</v>
      </c>
      <c r="C126" s="1" t="s">
        <v>123</v>
      </c>
      <c r="D126" s="1" t="s">
        <v>58</v>
      </c>
      <c r="E126" s="3" t="s">
        <v>139</v>
      </c>
      <c r="F126" s="1" t="s">
        <v>60</v>
      </c>
      <c r="G126" s="1" t="s">
        <v>12</v>
      </c>
      <c r="H126" s="1" t="s">
        <v>201</v>
      </c>
      <c r="I126" s="62">
        <v>0.1989</v>
      </c>
      <c r="J126" s="52">
        <v>48714.0</v>
      </c>
      <c r="K126" s="122">
        <v>45534.0</v>
      </c>
      <c r="L126" s="122">
        <v>45537.0</v>
      </c>
      <c r="M126" s="62">
        <f t="shared" ref="M126:M131" si="28">IFERROR(YIELD(L126,J126,I126,N126,100,2,1),"")</f>
        <v>0.1926008744</v>
      </c>
      <c r="N126" s="63">
        <v>102.5</v>
      </c>
      <c r="O126" s="63">
        <v>5.0E8</v>
      </c>
      <c r="P126" s="15">
        <f t="shared" si="22"/>
        <v>542226902.2</v>
      </c>
      <c r="Q126" s="15">
        <f t="shared" si="23"/>
        <v>512500000</v>
      </c>
      <c r="R126" s="15">
        <f t="shared" si="14"/>
        <v>29726902.17</v>
      </c>
      <c r="S126" s="15"/>
      <c r="T126" s="15">
        <f t="shared" si="13"/>
        <v>542226902.2</v>
      </c>
      <c r="U126" s="62"/>
      <c r="V126" s="1"/>
      <c r="W126" s="1"/>
      <c r="X126" s="1"/>
      <c r="Y126" s="1"/>
      <c r="Z126" s="1"/>
      <c r="AA126" s="1"/>
    </row>
    <row r="127" ht="13.5" customHeight="1">
      <c r="B127" s="3">
        <f t="shared" si="6"/>
        <v>126</v>
      </c>
      <c r="C127" s="1" t="s">
        <v>123</v>
      </c>
      <c r="D127" s="1" t="s">
        <v>58</v>
      </c>
      <c r="E127" s="3" t="s">
        <v>139</v>
      </c>
      <c r="F127" s="1" t="s">
        <v>60</v>
      </c>
      <c r="G127" s="1" t="s">
        <v>12</v>
      </c>
      <c r="H127" s="1" t="s">
        <v>201</v>
      </c>
      <c r="I127" s="62">
        <v>0.1989</v>
      </c>
      <c r="J127" s="52">
        <v>48714.0</v>
      </c>
      <c r="K127" s="122">
        <v>45534.0</v>
      </c>
      <c r="L127" s="122">
        <v>45538.0</v>
      </c>
      <c r="M127" s="62">
        <f t="shared" si="28"/>
        <v>0.1926012352</v>
      </c>
      <c r="N127" s="63">
        <v>102.5</v>
      </c>
      <c r="O127" s="63">
        <v>1.5E9</v>
      </c>
      <c r="P127" s="15">
        <f t="shared" si="22"/>
        <v>1627491440</v>
      </c>
      <c r="Q127" s="15">
        <f t="shared" si="23"/>
        <v>1537500000</v>
      </c>
      <c r="R127" s="15">
        <f t="shared" si="14"/>
        <v>89991440.22</v>
      </c>
      <c r="S127" s="15"/>
      <c r="T127" s="15">
        <f t="shared" si="13"/>
        <v>1627491440</v>
      </c>
      <c r="U127" s="62"/>
      <c r="V127" s="1"/>
      <c r="W127" s="1"/>
      <c r="X127" s="1"/>
      <c r="Y127" s="1"/>
      <c r="Z127" s="1"/>
      <c r="AA127" s="1"/>
    </row>
    <row r="128" ht="13.5" customHeight="1">
      <c r="B128" s="3">
        <f t="shared" si="6"/>
        <v>127</v>
      </c>
      <c r="C128" s="1" t="s">
        <v>123</v>
      </c>
      <c r="D128" s="1" t="s">
        <v>58</v>
      </c>
      <c r="E128" s="3" t="s">
        <v>139</v>
      </c>
      <c r="F128" s="1" t="s">
        <v>60</v>
      </c>
      <c r="G128" s="1" t="s">
        <v>14</v>
      </c>
      <c r="H128" s="1" t="s">
        <v>201</v>
      </c>
      <c r="I128" s="62">
        <v>0.1989</v>
      </c>
      <c r="J128" s="52">
        <v>48714.0</v>
      </c>
      <c r="K128" s="122">
        <v>45560.0</v>
      </c>
      <c r="L128" s="122">
        <v>45562.0</v>
      </c>
      <c r="M128" s="62">
        <f t="shared" si="28"/>
        <v>0.2099981328</v>
      </c>
      <c r="N128" s="63">
        <v>95.56</v>
      </c>
      <c r="O128" s="63">
        <v>3.0E8</v>
      </c>
      <c r="P128" s="15">
        <f t="shared" si="22"/>
        <v>308569809.8</v>
      </c>
      <c r="Q128" s="15">
        <f t="shared" si="23"/>
        <v>286680000</v>
      </c>
      <c r="R128" s="15">
        <f t="shared" si="14"/>
        <v>21889809.78</v>
      </c>
      <c r="S128" s="15"/>
      <c r="T128" s="15">
        <f t="shared" si="13"/>
        <v>308569809.8</v>
      </c>
      <c r="U128" s="62"/>
      <c r="V128" s="1"/>
      <c r="W128" s="1"/>
      <c r="X128" s="1"/>
      <c r="Y128" s="1"/>
      <c r="Z128" s="1"/>
      <c r="AA128" s="1"/>
    </row>
    <row r="129" ht="13.5" customHeight="1">
      <c r="B129" s="3">
        <f t="shared" si="6"/>
        <v>128</v>
      </c>
      <c r="C129" s="1" t="s">
        <v>124</v>
      </c>
      <c r="D129" s="1" t="s">
        <v>58</v>
      </c>
      <c r="E129" s="3" t="s">
        <v>139</v>
      </c>
      <c r="F129" s="1" t="s">
        <v>80</v>
      </c>
      <c r="G129" s="1" t="s">
        <v>14</v>
      </c>
      <c r="H129" s="1" t="s">
        <v>201</v>
      </c>
      <c r="I129" s="62">
        <v>0.1989</v>
      </c>
      <c r="J129" s="52">
        <v>48714.0</v>
      </c>
      <c r="K129" s="122">
        <v>45562.0</v>
      </c>
      <c r="L129" s="122">
        <v>45567.0</v>
      </c>
      <c r="M129" s="62">
        <f t="shared" si="28"/>
        <v>0.2149905004</v>
      </c>
      <c r="N129" s="63">
        <v>93.71</v>
      </c>
      <c r="O129" s="63">
        <v>5.0E8</v>
      </c>
      <c r="P129" s="15">
        <f t="shared" si="22"/>
        <v>506384239.1</v>
      </c>
      <c r="Q129" s="15">
        <f t="shared" si="23"/>
        <v>468550000</v>
      </c>
      <c r="R129" s="15">
        <f t="shared" si="14"/>
        <v>37834239.13</v>
      </c>
      <c r="S129" s="15"/>
      <c r="T129" s="15">
        <f t="shared" si="13"/>
        <v>506384239.1</v>
      </c>
      <c r="U129" s="62"/>
      <c r="V129" s="1"/>
      <c r="W129" s="1"/>
      <c r="X129" s="1"/>
      <c r="Y129" s="1"/>
      <c r="Z129" s="1"/>
      <c r="AA129" s="1"/>
    </row>
    <row r="130" ht="13.5" customHeight="1">
      <c r="B130" s="3">
        <f t="shared" si="6"/>
        <v>129</v>
      </c>
      <c r="C130" s="1" t="s">
        <v>57</v>
      </c>
      <c r="D130" s="1" t="s">
        <v>58</v>
      </c>
      <c r="E130" s="3" t="s">
        <v>139</v>
      </c>
      <c r="F130" s="1" t="s">
        <v>80</v>
      </c>
      <c r="G130" s="1" t="s">
        <v>14</v>
      </c>
      <c r="H130" s="1" t="s">
        <v>201</v>
      </c>
      <c r="I130" s="62">
        <v>0.1989</v>
      </c>
      <c r="J130" s="52">
        <v>48714.0</v>
      </c>
      <c r="K130" s="122">
        <v>45595.0</v>
      </c>
      <c r="L130" s="122">
        <v>45567.0</v>
      </c>
      <c r="M130" s="62">
        <f t="shared" si="28"/>
        <v>0.2149905004</v>
      </c>
      <c r="N130" s="63">
        <v>93.71</v>
      </c>
      <c r="O130" s="63">
        <v>2.0E8</v>
      </c>
      <c r="P130" s="15">
        <f t="shared" si="22"/>
        <v>202553695.7</v>
      </c>
      <c r="Q130" s="15">
        <f t="shared" si="23"/>
        <v>187420000</v>
      </c>
      <c r="R130" s="15">
        <f t="shared" si="14"/>
        <v>15133695.65</v>
      </c>
      <c r="S130" s="15"/>
      <c r="T130" s="15">
        <f t="shared" si="13"/>
        <v>202553695.7</v>
      </c>
      <c r="U130" s="62"/>
      <c r="V130" s="1"/>
      <c r="W130" s="1"/>
      <c r="X130" s="1"/>
      <c r="Y130" s="1"/>
      <c r="Z130" s="1"/>
      <c r="AA130" s="1"/>
    </row>
    <row r="131" ht="13.5" customHeight="1">
      <c r="B131" s="3">
        <f t="shared" si="6"/>
        <v>130</v>
      </c>
      <c r="C131" s="1" t="s">
        <v>57</v>
      </c>
      <c r="D131" s="1" t="s">
        <v>58</v>
      </c>
      <c r="E131" s="3" t="s">
        <v>139</v>
      </c>
      <c r="F131" s="1" t="s">
        <v>80</v>
      </c>
      <c r="G131" s="1" t="s">
        <v>14</v>
      </c>
      <c r="H131" s="1" t="s">
        <v>201</v>
      </c>
      <c r="I131" s="62">
        <v>0.1989</v>
      </c>
      <c r="J131" s="52">
        <v>48714.0</v>
      </c>
      <c r="K131" s="122">
        <v>45595.0</v>
      </c>
      <c r="L131" s="122">
        <v>45567.0</v>
      </c>
      <c r="M131" s="62">
        <f t="shared" si="28"/>
        <v>0.2164971429</v>
      </c>
      <c r="N131" s="63">
        <v>93.16</v>
      </c>
      <c r="O131" s="63">
        <v>1.0E9</v>
      </c>
      <c r="P131" s="15">
        <f t="shared" si="22"/>
        <v>1007268478</v>
      </c>
      <c r="Q131" s="15">
        <f t="shared" si="23"/>
        <v>931600000</v>
      </c>
      <c r="R131" s="15">
        <f t="shared" si="14"/>
        <v>75668478.26</v>
      </c>
      <c r="S131" s="15"/>
      <c r="T131" s="15">
        <f t="shared" si="13"/>
        <v>1007268478</v>
      </c>
      <c r="U131" s="62"/>
      <c r="V131" s="1"/>
      <c r="W131" s="1"/>
      <c r="X131" s="1"/>
      <c r="Y131" s="1"/>
      <c r="Z131" s="1"/>
      <c r="AA131" s="1"/>
    </row>
    <row r="132" ht="13.5" customHeight="1">
      <c r="B132" s="3">
        <f t="shared" si="6"/>
        <v>131</v>
      </c>
      <c r="C132" s="1" t="s">
        <v>92</v>
      </c>
      <c r="D132" s="1" t="s">
        <v>58</v>
      </c>
      <c r="E132" s="3" t="s">
        <v>139</v>
      </c>
      <c r="F132" s="1" t="s">
        <v>80</v>
      </c>
      <c r="G132" s="1" t="s">
        <v>12</v>
      </c>
      <c r="H132" s="1" t="s">
        <v>200</v>
      </c>
      <c r="I132" s="62">
        <v>0.0</v>
      </c>
      <c r="J132" s="52">
        <v>45799.0</v>
      </c>
      <c r="K132" s="122">
        <v>45567.0</v>
      </c>
      <c r="L132" s="122">
        <v>45569.0</v>
      </c>
      <c r="M132" s="62">
        <v>0.211</v>
      </c>
      <c r="N132" s="63">
        <f t="shared" ref="N132:N133" si="29">PRICEDISC(L132,J132,M132,100,1)</f>
        <v>86.71816678</v>
      </c>
      <c r="O132" s="63">
        <v>1.0E9</v>
      </c>
      <c r="P132" s="15">
        <f t="shared" si="22"/>
        <v>867181667.8</v>
      </c>
      <c r="Q132" s="15">
        <f t="shared" si="23"/>
        <v>867181667.8</v>
      </c>
      <c r="R132" s="15" t="str">
        <f t="shared" si="14"/>
        <v/>
      </c>
      <c r="S132" s="15"/>
      <c r="T132" s="15">
        <f t="shared" si="13"/>
        <v>867181667.8</v>
      </c>
      <c r="U132" s="62"/>
      <c r="V132" s="1"/>
      <c r="W132" s="1"/>
      <c r="X132" s="1"/>
      <c r="Y132" s="1"/>
      <c r="Z132" s="1"/>
      <c r="AA132" s="1"/>
    </row>
    <row r="133" ht="13.5" customHeight="1">
      <c r="B133" s="3">
        <f t="shared" si="6"/>
        <v>132</v>
      </c>
      <c r="C133" s="1" t="s">
        <v>92</v>
      </c>
      <c r="D133" s="1" t="s">
        <v>58</v>
      </c>
      <c r="E133" s="3" t="s">
        <v>139</v>
      </c>
      <c r="F133" s="1" t="s">
        <v>80</v>
      </c>
      <c r="G133" s="1" t="s">
        <v>12</v>
      </c>
      <c r="H133" s="1" t="s">
        <v>200</v>
      </c>
      <c r="I133" s="62">
        <v>0.0</v>
      </c>
      <c r="J133" s="52">
        <v>45799.0</v>
      </c>
      <c r="K133" s="122">
        <v>45567.0</v>
      </c>
      <c r="L133" s="122">
        <v>45569.0</v>
      </c>
      <c r="M133" s="62">
        <v>0.211</v>
      </c>
      <c r="N133" s="63">
        <f t="shared" si="29"/>
        <v>86.71816678</v>
      </c>
      <c r="O133" s="63">
        <v>1.0E9</v>
      </c>
      <c r="P133" s="15">
        <f t="shared" si="22"/>
        <v>867181667.8</v>
      </c>
      <c r="Q133" s="15">
        <f t="shared" si="23"/>
        <v>867181667.8</v>
      </c>
      <c r="R133" s="15" t="str">
        <f t="shared" si="14"/>
        <v/>
      </c>
      <c r="S133" s="15"/>
      <c r="T133" s="15">
        <f t="shared" si="13"/>
        <v>867181667.8</v>
      </c>
      <c r="U133" s="62"/>
      <c r="V133" s="1"/>
      <c r="W133" s="1"/>
      <c r="X133" s="1"/>
      <c r="Y133" s="1"/>
      <c r="Z133" s="1"/>
      <c r="AA133" s="1"/>
    </row>
    <row r="134" ht="13.5" customHeight="1">
      <c r="B134" s="3">
        <f t="shared" si="6"/>
        <v>133</v>
      </c>
      <c r="C134" s="1" t="s">
        <v>126</v>
      </c>
      <c r="D134" s="1" t="s">
        <v>58</v>
      </c>
      <c r="E134" s="3" t="s">
        <v>139</v>
      </c>
      <c r="F134" s="1" t="s">
        <v>80</v>
      </c>
      <c r="G134" s="1" t="s">
        <v>14</v>
      </c>
      <c r="H134" s="1" t="s">
        <v>197</v>
      </c>
      <c r="I134" s="62">
        <v>0.1994</v>
      </c>
      <c r="J134" s="52">
        <v>46466.0</v>
      </c>
      <c r="K134" s="122">
        <v>45567.0</v>
      </c>
      <c r="L134" s="122">
        <v>45568.0</v>
      </c>
      <c r="M134" s="62">
        <f t="shared" ref="M134:M135" si="30">IFERROR(YIELD(L134,J134,I134,N134,100,2,1),"")</f>
        <v>0.197003634</v>
      </c>
      <c r="N134" s="63">
        <v>100.42</v>
      </c>
      <c r="O134" s="63">
        <v>3.5E8</v>
      </c>
      <c r="P134" s="15">
        <f t="shared" si="22"/>
        <v>353976270.7</v>
      </c>
      <c r="Q134" s="15">
        <f t="shared" si="23"/>
        <v>351470000</v>
      </c>
      <c r="R134" s="15">
        <f t="shared" si="14"/>
        <v>2506270.718</v>
      </c>
      <c r="S134" s="15"/>
      <c r="T134" s="15">
        <f t="shared" si="13"/>
        <v>353976270.7</v>
      </c>
      <c r="U134" s="62"/>
      <c r="V134" s="1"/>
      <c r="W134" s="1"/>
      <c r="X134" s="1"/>
      <c r="Y134" s="1"/>
      <c r="Z134" s="1"/>
      <c r="AA134" s="1"/>
    </row>
    <row r="135" ht="13.5" customHeight="1">
      <c r="B135" s="3">
        <f t="shared" si="6"/>
        <v>134</v>
      </c>
      <c r="C135" s="1" t="s">
        <v>57</v>
      </c>
      <c r="D135" s="1" t="s">
        <v>58</v>
      </c>
      <c r="E135" s="3" t="s">
        <v>139</v>
      </c>
      <c r="F135" s="1" t="s">
        <v>80</v>
      </c>
      <c r="G135" s="1" t="s">
        <v>14</v>
      </c>
      <c r="H135" s="1" t="s">
        <v>197</v>
      </c>
      <c r="I135" s="62">
        <v>0.1994</v>
      </c>
      <c r="J135" s="52">
        <v>46466.0</v>
      </c>
      <c r="K135" s="122">
        <v>45567.0</v>
      </c>
      <c r="L135" s="122">
        <v>45569.0</v>
      </c>
      <c r="M135" s="62">
        <f t="shared" si="30"/>
        <v>0.1969899867</v>
      </c>
      <c r="N135" s="63">
        <v>100.42</v>
      </c>
      <c r="O135" s="63">
        <v>6.5E8</v>
      </c>
      <c r="P135" s="15">
        <f t="shared" si="22"/>
        <v>657742541.4</v>
      </c>
      <c r="Q135" s="15">
        <f t="shared" si="23"/>
        <v>652730000</v>
      </c>
      <c r="R135" s="15">
        <f t="shared" si="14"/>
        <v>5012541.436</v>
      </c>
      <c r="S135" s="15"/>
      <c r="T135" s="15">
        <f t="shared" si="13"/>
        <v>657742541.4</v>
      </c>
      <c r="U135" s="62"/>
      <c r="V135" s="1"/>
      <c r="W135" s="1"/>
      <c r="X135" s="1"/>
      <c r="Y135" s="1"/>
      <c r="Z135" s="1"/>
      <c r="AA135" s="1"/>
    </row>
    <row r="136" ht="13.5" customHeight="1">
      <c r="B136" s="3">
        <f t="shared" si="6"/>
        <v>135</v>
      </c>
      <c r="C136" s="57" t="s">
        <v>92</v>
      </c>
      <c r="D136" s="57" t="s">
        <v>58</v>
      </c>
      <c r="E136" s="110" t="s">
        <v>139</v>
      </c>
      <c r="F136" s="57" t="s">
        <v>80</v>
      </c>
      <c r="G136" s="57" t="s">
        <v>12</v>
      </c>
      <c r="H136" s="57" t="s">
        <v>204</v>
      </c>
      <c r="I136" s="87">
        <v>0.0</v>
      </c>
      <c r="J136" s="167">
        <v>45694.0</v>
      </c>
      <c r="K136" s="168">
        <v>45573.0</v>
      </c>
      <c r="L136" s="168">
        <v>45574.0</v>
      </c>
      <c r="M136" s="87">
        <v>0.213</v>
      </c>
      <c r="N136" s="63">
        <f t="shared" ref="N136:N144" si="31">PRICEDISC(L136,J136,M136,100,1)</f>
        <v>93.01065349</v>
      </c>
      <c r="O136" s="63">
        <v>2.0E8</v>
      </c>
      <c r="P136" s="27">
        <f t="shared" si="22"/>
        <v>186021307</v>
      </c>
      <c r="Q136" s="27">
        <f t="shared" si="23"/>
        <v>186021307</v>
      </c>
      <c r="R136" s="27" t="str">
        <f t="shared" si="14"/>
        <v/>
      </c>
      <c r="S136" s="27"/>
      <c r="T136" s="27">
        <f t="shared" si="13"/>
        <v>186021307</v>
      </c>
      <c r="U136" s="87"/>
      <c r="V136" s="57"/>
      <c r="W136" s="57"/>
      <c r="X136" s="57"/>
      <c r="Y136" s="57"/>
      <c r="Z136" s="57"/>
      <c r="AA136" s="57"/>
    </row>
    <row r="137" ht="13.5" customHeight="1">
      <c r="B137" s="3">
        <f t="shared" si="6"/>
        <v>136</v>
      </c>
      <c r="C137" s="57" t="s">
        <v>92</v>
      </c>
      <c r="D137" s="57" t="s">
        <v>58</v>
      </c>
      <c r="E137" s="110" t="s">
        <v>139</v>
      </c>
      <c r="F137" s="57" t="s">
        <v>80</v>
      </c>
      <c r="G137" s="57" t="s">
        <v>12</v>
      </c>
      <c r="H137" s="57" t="s">
        <v>189</v>
      </c>
      <c r="I137" s="87">
        <v>0.0</v>
      </c>
      <c r="J137" s="167">
        <v>45722.0</v>
      </c>
      <c r="K137" s="168">
        <v>45573.0</v>
      </c>
      <c r="L137" s="168">
        <v>45574.0</v>
      </c>
      <c r="M137" s="87">
        <v>0.214</v>
      </c>
      <c r="N137" s="63">
        <f t="shared" si="31"/>
        <v>91.33619582</v>
      </c>
      <c r="O137" s="63">
        <v>2.0E8</v>
      </c>
      <c r="P137" s="27">
        <f t="shared" si="22"/>
        <v>182672391.6</v>
      </c>
      <c r="Q137" s="27">
        <f t="shared" si="23"/>
        <v>182672391.6</v>
      </c>
      <c r="R137" s="27" t="str">
        <f t="shared" si="14"/>
        <v/>
      </c>
      <c r="S137" s="27"/>
      <c r="T137" s="27">
        <f t="shared" si="13"/>
        <v>182672391.6</v>
      </c>
      <c r="U137" s="87"/>
      <c r="V137" s="57"/>
      <c r="W137" s="57"/>
      <c r="X137" s="57"/>
      <c r="Y137" s="57"/>
      <c r="Z137" s="57"/>
      <c r="AA137" s="57"/>
    </row>
    <row r="138" ht="13.5" customHeight="1">
      <c r="B138" s="3">
        <f t="shared" si="6"/>
        <v>137</v>
      </c>
      <c r="C138" s="1" t="s">
        <v>123</v>
      </c>
      <c r="D138" s="1" t="s">
        <v>58</v>
      </c>
      <c r="E138" s="3" t="s">
        <v>139</v>
      </c>
      <c r="F138" s="57" t="s">
        <v>80</v>
      </c>
      <c r="G138" s="57" t="s">
        <v>12</v>
      </c>
      <c r="H138" s="57" t="s">
        <v>205</v>
      </c>
      <c r="I138" s="87">
        <v>0.0</v>
      </c>
      <c r="J138" s="52">
        <v>45834.0</v>
      </c>
      <c r="K138" s="122">
        <v>45575.0</v>
      </c>
      <c r="L138" s="122">
        <v>45576.0</v>
      </c>
      <c r="M138" s="62">
        <v>0.201</v>
      </c>
      <c r="N138" s="63">
        <f t="shared" si="31"/>
        <v>85.80466652</v>
      </c>
      <c r="O138" s="63">
        <v>3.0E8</v>
      </c>
      <c r="P138" s="27">
        <f t="shared" si="22"/>
        <v>257413999.6</v>
      </c>
      <c r="Q138" s="27">
        <f t="shared" si="23"/>
        <v>257413999.6</v>
      </c>
      <c r="R138" s="27" t="str">
        <f t="shared" si="14"/>
        <v/>
      </c>
      <c r="S138" s="27"/>
      <c r="T138" s="27">
        <f t="shared" si="13"/>
        <v>257413999.6</v>
      </c>
      <c r="U138" s="62"/>
      <c r="V138" s="1"/>
      <c r="W138" s="1"/>
      <c r="X138" s="1"/>
      <c r="Y138" s="1"/>
      <c r="Z138" s="1"/>
      <c r="AA138" s="1"/>
    </row>
    <row r="139" ht="13.5" customHeight="1">
      <c r="B139" s="3">
        <f t="shared" si="6"/>
        <v>138</v>
      </c>
      <c r="C139" s="57" t="s">
        <v>92</v>
      </c>
      <c r="D139" s="1" t="s">
        <v>58</v>
      </c>
      <c r="E139" s="3" t="s">
        <v>139</v>
      </c>
      <c r="F139" s="57" t="s">
        <v>80</v>
      </c>
      <c r="G139" s="57" t="s">
        <v>12</v>
      </c>
      <c r="H139" s="57" t="s">
        <v>189</v>
      </c>
      <c r="I139" s="87">
        <v>0.0</v>
      </c>
      <c r="J139" s="167">
        <v>45722.0</v>
      </c>
      <c r="K139" s="122">
        <v>45576.0</v>
      </c>
      <c r="L139" s="122">
        <v>45579.0</v>
      </c>
      <c r="M139" s="62">
        <v>0.214</v>
      </c>
      <c r="N139" s="63">
        <f t="shared" si="31"/>
        <v>91.62854555</v>
      </c>
      <c r="O139" s="63">
        <v>4.0E8</v>
      </c>
      <c r="P139" s="27">
        <f t="shared" si="22"/>
        <v>366514182.2</v>
      </c>
      <c r="Q139" s="27">
        <f t="shared" si="23"/>
        <v>366514182.2</v>
      </c>
      <c r="R139" s="27" t="str">
        <f t="shared" si="14"/>
        <v/>
      </c>
      <c r="S139" s="27"/>
      <c r="T139" s="27">
        <f t="shared" si="13"/>
        <v>366514182.2</v>
      </c>
      <c r="U139" s="62"/>
      <c r="V139" s="1"/>
      <c r="W139" s="1"/>
      <c r="X139" s="1"/>
      <c r="Y139" s="1"/>
      <c r="Z139" s="1"/>
      <c r="AA139" s="1"/>
    </row>
    <row r="140" ht="13.5" customHeight="1">
      <c r="B140" s="3">
        <f t="shared" si="6"/>
        <v>139</v>
      </c>
      <c r="C140" s="57" t="s">
        <v>92</v>
      </c>
      <c r="D140" s="1" t="s">
        <v>58</v>
      </c>
      <c r="E140" s="3" t="s">
        <v>139</v>
      </c>
      <c r="F140" s="57" t="s">
        <v>80</v>
      </c>
      <c r="G140" s="57" t="s">
        <v>12</v>
      </c>
      <c r="H140" s="1" t="s">
        <v>193</v>
      </c>
      <c r="I140" s="87">
        <v>0.0</v>
      </c>
      <c r="J140" s="52">
        <v>45743.0</v>
      </c>
      <c r="K140" s="122">
        <v>45576.0</v>
      </c>
      <c r="L140" s="122">
        <v>45580.0</v>
      </c>
      <c r="M140" s="62">
        <v>0.216</v>
      </c>
      <c r="N140" s="63">
        <f t="shared" si="31"/>
        <v>90.36658433</v>
      </c>
      <c r="O140" s="63">
        <v>3.0E8</v>
      </c>
      <c r="P140" s="15">
        <f t="shared" si="22"/>
        <v>271099753</v>
      </c>
      <c r="Q140" s="15">
        <f t="shared" si="23"/>
        <v>271099753</v>
      </c>
      <c r="R140" s="15" t="str">
        <f t="shared" si="14"/>
        <v/>
      </c>
      <c r="S140" s="15"/>
      <c r="T140" s="27">
        <f t="shared" si="13"/>
        <v>271099753</v>
      </c>
      <c r="U140" s="62"/>
      <c r="V140" s="1"/>
      <c r="W140" s="1"/>
      <c r="X140" s="1"/>
      <c r="Y140" s="1"/>
      <c r="Z140" s="1"/>
      <c r="AA140" s="1"/>
    </row>
    <row r="141" ht="13.5" customHeight="1">
      <c r="B141" s="3">
        <f t="shared" si="6"/>
        <v>140</v>
      </c>
      <c r="C141" s="1" t="s">
        <v>111</v>
      </c>
      <c r="D141" s="1" t="s">
        <v>58</v>
      </c>
      <c r="E141" s="3" t="s">
        <v>139</v>
      </c>
      <c r="F141" s="57" t="s">
        <v>80</v>
      </c>
      <c r="G141" s="1" t="s">
        <v>14</v>
      </c>
      <c r="H141" s="1" t="s">
        <v>200</v>
      </c>
      <c r="I141" s="87">
        <v>0.0</v>
      </c>
      <c r="J141" s="52">
        <v>45799.0</v>
      </c>
      <c r="K141" s="122">
        <v>45586.0</v>
      </c>
      <c r="L141" s="122">
        <v>45587.0</v>
      </c>
      <c r="M141" s="62">
        <v>0.235</v>
      </c>
      <c r="N141" s="63">
        <f t="shared" si="31"/>
        <v>86.36317464</v>
      </c>
      <c r="O141" s="63">
        <v>5.5E8</v>
      </c>
      <c r="P141" s="15">
        <f t="shared" si="22"/>
        <v>474997460.5</v>
      </c>
      <c r="Q141" s="15">
        <f t="shared" si="23"/>
        <v>474997460.5</v>
      </c>
      <c r="R141" s="15" t="str">
        <f t="shared" si="14"/>
        <v/>
      </c>
      <c r="S141" s="15"/>
      <c r="T141" s="27">
        <f t="shared" si="13"/>
        <v>474997460.5</v>
      </c>
      <c r="U141" s="62"/>
      <c r="V141" s="1"/>
      <c r="W141" s="1"/>
      <c r="X141" s="1"/>
      <c r="Y141" s="1"/>
      <c r="Z141" s="1"/>
      <c r="AA141" s="1"/>
    </row>
    <row r="142" ht="13.5" customHeight="1">
      <c r="B142" s="3">
        <f t="shared" si="6"/>
        <v>141</v>
      </c>
      <c r="C142" s="1" t="s">
        <v>57</v>
      </c>
      <c r="D142" s="1" t="s">
        <v>58</v>
      </c>
      <c r="E142" s="3" t="s">
        <v>139</v>
      </c>
      <c r="F142" s="57" t="s">
        <v>163</v>
      </c>
      <c r="G142" s="1" t="s">
        <v>14</v>
      </c>
      <c r="H142" s="57" t="s">
        <v>204</v>
      </c>
      <c r="I142" s="87">
        <v>0.0</v>
      </c>
      <c r="J142" s="167">
        <v>45694.0</v>
      </c>
      <c r="K142" s="122">
        <v>45674.0</v>
      </c>
      <c r="L142" s="122">
        <v>45677.0</v>
      </c>
      <c r="M142" s="62">
        <v>0.23</v>
      </c>
      <c r="N142" s="63">
        <f t="shared" si="31"/>
        <v>98.92876712</v>
      </c>
      <c r="O142" s="63">
        <v>2.0E8</v>
      </c>
      <c r="P142" s="15">
        <f t="shared" si="22"/>
        <v>197857534.2</v>
      </c>
      <c r="Q142" s="15">
        <f t="shared" si="23"/>
        <v>197857534.2</v>
      </c>
      <c r="R142" s="15" t="str">
        <f t="shared" si="14"/>
        <v/>
      </c>
      <c r="S142" s="15"/>
      <c r="T142" s="15">
        <f t="shared" si="13"/>
        <v>197857534.2</v>
      </c>
      <c r="U142" s="62"/>
      <c r="V142" s="1"/>
      <c r="W142" s="1"/>
      <c r="X142" s="1"/>
      <c r="Y142" s="1"/>
      <c r="Z142" s="1"/>
      <c r="AA142" s="1"/>
    </row>
    <row r="143" ht="13.5" customHeight="1">
      <c r="B143" s="3">
        <f t="shared" si="6"/>
        <v>142</v>
      </c>
      <c r="C143" s="1" t="s">
        <v>57</v>
      </c>
      <c r="D143" s="1" t="s">
        <v>58</v>
      </c>
      <c r="E143" s="3" t="s">
        <v>139</v>
      </c>
      <c r="F143" s="57" t="s">
        <v>163</v>
      </c>
      <c r="G143" s="1" t="s">
        <v>14</v>
      </c>
      <c r="H143" s="57" t="s">
        <v>189</v>
      </c>
      <c r="I143" s="87">
        <v>0.0</v>
      </c>
      <c r="J143" s="167">
        <v>45722.0</v>
      </c>
      <c r="K143" s="122">
        <v>45674.0</v>
      </c>
      <c r="L143" s="122">
        <v>45677.0</v>
      </c>
      <c r="M143" s="62">
        <v>0.229</v>
      </c>
      <c r="N143" s="63">
        <f t="shared" si="31"/>
        <v>97.17671233</v>
      </c>
      <c r="O143" s="63">
        <v>2.0E8</v>
      </c>
      <c r="P143" s="15">
        <f t="shared" si="22"/>
        <v>194353424.7</v>
      </c>
      <c r="Q143" s="15">
        <f t="shared" si="23"/>
        <v>194353424.7</v>
      </c>
      <c r="R143" s="15" t="str">
        <f t="shared" si="14"/>
        <v/>
      </c>
      <c r="S143" s="15"/>
      <c r="T143" s="15">
        <f t="shared" si="13"/>
        <v>194353424.7</v>
      </c>
      <c r="U143" s="62"/>
      <c r="V143" s="1"/>
      <c r="W143" s="1"/>
      <c r="X143" s="1"/>
      <c r="Y143" s="1"/>
      <c r="Z143" s="1"/>
      <c r="AA143" s="1"/>
    </row>
    <row r="144" ht="13.5" customHeight="1">
      <c r="B144" s="3">
        <f t="shared" si="6"/>
        <v>143</v>
      </c>
      <c r="C144" s="1" t="s">
        <v>57</v>
      </c>
      <c r="D144" s="1" t="s">
        <v>58</v>
      </c>
      <c r="E144" s="3" t="s">
        <v>139</v>
      </c>
      <c r="F144" s="57" t="s">
        <v>163</v>
      </c>
      <c r="G144" s="1" t="s">
        <v>14</v>
      </c>
      <c r="H144" s="1" t="s">
        <v>200</v>
      </c>
      <c r="I144" s="87">
        <v>0.0</v>
      </c>
      <c r="J144" s="52">
        <v>45799.0</v>
      </c>
      <c r="K144" s="122">
        <v>45688.0</v>
      </c>
      <c r="L144" s="122">
        <v>45691.0</v>
      </c>
      <c r="M144" s="62">
        <v>0.2105</v>
      </c>
      <c r="N144" s="63">
        <f t="shared" si="31"/>
        <v>93.77150685</v>
      </c>
      <c r="O144" s="63">
        <v>9.003E8</v>
      </c>
      <c r="P144" s="15">
        <f t="shared" si="22"/>
        <v>844224876.2</v>
      </c>
      <c r="Q144" s="15">
        <f t="shared" si="23"/>
        <v>844224876.2</v>
      </c>
      <c r="R144" s="15" t="str">
        <f t="shared" si="14"/>
        <v/>
      </c>
      <c r="S144" s="15"/>
      <c r="T144" s="174">
        <f t="shared" si="13"/>
        <v>844224876.2</v>
      </c>
      <c r="U144" s="62"/>
      <c r="V144" s="1"/>
      <c r="W144" s="1"/>
      <c r="X144" s="1"/>
      <c r="Y144" s="1"/>
      <c r="Z144" s="1"/>
      <c r="AA144" s="1"/>
    </row>
    <row r="145" ht="13.5" customHeight="1">
      <c r="B145" s="3">
        <f t="shared" si="6"/>
        <v>144</v>
      </c>
      <c r="C145" s="1" t="s">
        <v>57</v>
      </c>
      <c r="D145" s="1" t="s">
        <v>58</v>
      </c>
      <c r="E145" s="3" t="s">
        <v>139</v>
      </c>
      <c r="F145" s="57" t="s">
        <v>163</v>
      </c>
      <c r="G145" s="1" t="s">
        <v>12</v>
      </c>
      <c r="H145" s="1" t="s">
        <v>144</v>
      </c>
      <c r="I145" s="62">
        <v>0.226</v>
      </c>
      <c r="J145" s="52">
        <v>49338.0</v>
      </c>
      <c r="K145" s="122">
        <v>45693.0</v>
      </c>
      <c r="L145" s="122">
        <v>45695.0</v>
      </c>
      <c r="M145" s="62">
        <f t="shared" ref="M145:M155" si="32">IFERROR(YIELD(L145,J145,I145,N145,100,2,1),"")</f>
        <v>0.2195074626</v>
      </c>
      <c r="N145" s="63">
        <v>102.56</v>
      </c>
      <c r="O145" s="63">
        <v>1.2E9</v>
      </c>
      <c r="P145" s="15">
        <f t="shared" si="22"/>
        <v>1237462541</v>
      </c>
      <c r="Q145" s="15">
        <f t="shared" si="23"/>
        <v>1230720000</v>
      </c>
      <c r="R145" s="15">
        <f t="shared" si="14"/>
        <v>6742541.436</v>
      </c>
      <c r="S145" s="15"/>
      <c r="T145" s="62"/>
      <c r="U145" s="62"/>
      <c r="V145" s="1"/>
      <c r="W145" s="1"/>
      <c r="X145" s="1"/>
      <c r="Y145" s="1"/>
      <c r="Z145" s="1"/>
      <c r="AA145" s="1"/>
    </row>
    <row r="146" ht="13.5" customHeight="1">
      <c r="B146" s="3">
        <f t="shared" si="6"/>
        <v>145</v>
      </c>
      <c r="C146" s="57" t="s">
        <v>92</v>
      </c>
      <c r="D146" s="1" t="s">
        <v>58</v>
      </c>
      <c r="E146" s="3" t="s">
        <v>139</v>
      </c>
      <c r="F146" s="57" t="s">
        <v>163</v>
      </c>
      <c r="G146" s="1" t="s">
        <v>12</v>
      </c>
      <c r="H146" s="1" t="s">
        <v>208</v>
      </c>
      <c r="I146" s="62">
        <v>0.185</v>
      </c>
      <c r="J146" s="52">
        <v>47900.0</v>
      </c>
      <c r="K146" s="122">
        <v>45694.0</v>
      </c>
      <c r="L146" s="122">
        <v>45695.0</v>
      </c>
      <c r="M146" s="62">
        <f t="shared" si="32"/>
        <v>0.2152133876</v>
      </c>
      <c r="N146" s="63">
        <v>90.01375</v>
      </c>
      <c r="O146" s="63">
        <v>7.0E8</v>
      </c>
      <c r="P146" s="15">
        <f t="shared" si="22"/>
        <v>689919619.6</v>
      </c>
      <c r="Q146" s="15">
        <f t="shared" si="23"/>
        <v>630096250</v>
      </c>
      <c r="R146" s="15">
        <f t="shared" si="14"/>
        <v>59823369.57</v>
      </c>
      <c r="S146" s="15"/>
      <c r="T146" s="62"/>
      <c r="U146" s="62"/>
      <c r="V146" s="1"/>
      <c r="W146" s="1"/>
      <c r="X146" s="1"/>
      <c r="Y146" s="1"/>
      <c r="Z146" s="1"/>
      <c r="AA146" s="1"/>
    </row>
    <row r="147" ht="13.5" customHeight="1">
      <c r="B147" s="3">
        <f t="shared" si="6"/>
        <v>146</v>
      </c>
      <c r="C147" s="57" t="s">
        <v>92</v>
      </c>
      <c r="D147" s="1" t="s">
        <v>58</v>
      </c>
      <c r="E147" s="3" t="s">
        <v>139</v>
      </c>
      <c r="F147" s="57" t="s">
        <v>163</v>
      </c>
      <c r="G147" s="1" t="s">
        <v>12</v>
      </c>
      <c r="H147" s="1" t="s">
        <v>208</v>
      </c>
      <c r="I147" s="62">
        <v>0.185</v>
      </c>
      <c r="J147" s="52">
        <v>47900.0</v>
      </c>
      <c r="K147" s="122">
        <v>45694.0</v>
      </c>
      <c r="L147" s="122">
        <v>45698.0</v>
      </c>
      <c r="M147" s="62">
        <f t="shared" si="32"/>
        <v>0.2151268072</v>
      </c>
      <c r="N147" s="63">
        <v>90.05375</v>
      </c>
      <c r="O147" s="63">
        <v>7.0E8</v>
      </c>
      <c r="P147" s="15">
        <f t="shared" si="22"/>
        <v>691255326.1</v>
      </c>
      <c r="Q147" s="15">
        <f t="shared" si="23"/>
        <v>630376250</v>
      </c>
      <c r="R147" s="15">
        <f t="shared" si="14"/>
        <v>60879076.09</v>
      </c>
      <c r="S147" s="15"/>
      <c r="T147" s="62"/>
      <c r="U147" s="62"/>
      <c r="V147" s="1"/>
      <c r="W147" s="1"/>
      <c r="X147" s="1"/>
      <c r="Y147" s="1"/>
      <c r="Z147" s="1"/>
      <c r="AA147" s="1"/>
    </row>
    <row r="148" ht="13.5" customHeight="1">
      <c r="A148" s="175"/>
      <c r="B148" s="3">
        <f t="shared" si="6"/>
        <v>147</v>
      </c>
      <c r="C148" s="57" t="s">
        <v>92</v>
      </c>
      <c r="D148" s="57" t="s">
        <v>58</v>
      </c>
      <c r="E148" s="110" t="s">
        <v>139</v>
      </c>
      <c r="F148" s="57" t="s">
        <v>148</v>
      </c>
      <c r="G148" s="57" t="s">
        <v>12</v>
      </c>
      <c r="H148" s="57" t="s">
        <v>208</v>
      </c>
      <c r="I148" s="87">
        <v>0.185</v>
      </c>
      <c r="J148" s="167">
        <v>47900.0</v>
      </c>
      <c r="K148" s="168">
        <v>45709.0</v>
      </c>
      <c r="L148" s="168">
        <v>45715.0</v>
      </c>
      <c r="M148" s="87">
        <f t="shared" si="32"/>
        <v>0.1923354734</v>
      </c>
      <c r="N148" s="63">
        <v>97.44375</v>
      </c>
      <c r="O148" s="63">
        <v>7.0E8</v>
      </c>
      <c r="P148" s="27">
        <f t="shared" si="22"/>
        <v>684252658.8</v>
      </c>
      <c r="Q148" s="27">
        <f t="shared" si="23"/>
        <v>682106250</v>
      </c>
      <c r="R148" s="27">
        <f t="shared" si="14"/>
        <v>2146408.84</v>
      </c>
      <c r="S148" s="176"/>
      <c r="T148" s="177"/>
      <c r="U148" s="177"/>
      <c r="V148" s="178"/>
      <c r="W148" s="178"/>
      <c r="X148" s="178"/>
      <c r="Y148" s="178"/>
      <c r="Z148" s="178"/>
      <c r="AA148" s="178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</row>
    <row r="149" ht="13.5" customHeight="1">
      <c r="A149" s="175"/>
      <c r="B149" s="3">
        <f t="shared" si="6"/>
        <v>148</v>
      </c>
      <c r="C149" s="57" t="s">
        <v>92</v>
      </c>
      <c r="D149" s="57" t="s">
        <v>58</v>
      </c>
      <c r="E149" s="110" t="s">
        <v>139</v>
      </c>
      <c r="F149" s="57" t="s">
        <v>148</v>
      </c>
      <c r="G149" s="57" t="s">
        <v>12</v>
      </c>
      <c r="H149" s="57" t="s">
        <v>208</v>
      </c>
      <c r="I149" s="87">
        <v>0.185</v>
      </c>
      <c r="J149" s="167">
        <v>47900.0</v>
      </c>
      <c r="K149" s="168">
        <v>45709.0</v>
      </c>
      <c r="L149" s="168">
        <v>45714.0</v>
      </c>
      <c r="M149" s="87">
        <f t="shared" si="32"/>
        <v>0.1928398533</v>
      </c>
      <c r="N149" s="63">
        <v>97.27375</v>
      </c>
      <c r="O149" s="63">
        <v>1.0E9</v>
      </c>
      <c r="P149" s="27">
        <f t="shared" si="22"/>
        <v>975292748.6</v>
      </c>
      <c r="Q149" s="27">
        <f t="shared" si="23"/>
        <v>972737500</v>
      </c>
      <c r="R149" s="27">
        <f t="shared" si="14"/>
        <v>2555248.619</v>
      </c>
      <c r="S149" s="176"/>
      <c r="T149" s="177"/>
      <c r="U149" s="177"/>
      <c r="V149" s="178"/>
      <c r="W149" s="178"/>
      <c r="X149" s="178"/>
      <c r="Y149" s="178"/>
      <c r="Z149" s="178"/>
      <c r="AA149" s="178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</row>
    <row r="150" ht="13.5" customHeight="1">
      <c r="A150" s="175"/>
      <c r="B150" s="3">
        <f t="shared" si="6"/>
        <v>149</v>
      </c>
      <c r="C150" s="57" t="s">
        <v>129</v>
      </c>
      <c r="D150" s="57" t="s">
        <v>58</v>
      </c>
      <c r="E150" s="110" t="s">
        <v>139</v>
      </c>
      <c r="F150" s="57" t="s">
        <v>148</v>
      </c>
      <c r="G150" s="57" t="s">
        <v>12</v>
      </c>
      <c r="H150" s="57" t="s">
        <v>144</v>
      </c>
      <c r="I150" s="87">
        <v>0.226</v>
      </c>
      <c r="J150" s="167">
        <v>49338.0</v>
      </c>
      <c r="K150" s="168">
        <v>45708.0</v>
      </c>
      <c r="L150" s="168">
        <v>45714.0</v>
      </c>
      <c r="M150" s="87">
        <f t="shared" si="32"/>
        <v>0.2025063179</v>
      </c>
      <c r="N150" s="63">
        <v>109.82</v>
      </c>
      <c r="O150" s="63">
        <v>5.0E8</v>
      </c>
      <c r="P150" s="27">
        <f t="shared" si="22"/>
        <v>557840331.5</v>
      </c>
      <c r="Q150" s="27">
        <f t="shared" si="23"/>
        <v>549100000</v>
      </c>
      <c r="R150" s="27">
        <f t="shared" si="14"/>
        <v>8740331.492</v>
      </c>
      <c r="S150" s="176"/>
      <c r="T150" s="177"/>
      <c r="U150" s="177"/>
      <c r="V150" s="178"/>
      <c r="W150" s="178"/>
      <c r="X150" s="178"/>
      <c r="Y150" s="178"/>
      <c r="Z150" s="178"/>
      <c r="AA150" s="178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</row>
    <row r="151" ht="13.5" customHeight="1">
      <c r="A151" s="175"/>
      <c r="B151" s="3">
        <f t="shared" si="6"/>
        <v>150</v>
      </c>
      <c r="C151" s="57" t="s">
        <v>123</v>
      </c>
      <c r="D151" s="57" t="s">
        <v>58</v>
      </c>
      <c r="E151" s="110" t="s">
        <v>139</v>
      </c>
      <c r="F151" s="57" t="s">
        <v>148</v>
      </c>
      <c r="G151" s="57" t="s">
        <v>12</v>
      </c>
      <c r="H151" s="57" t="s">
        <v>144</v>
      </c>
      <c r="I151" s="87">
        <v>0.226</v>
      </c>
      <c r="J151" s="167">
        <v>49338.0</v>
      </c>
      <c r="K151" s="168">
        <v>45709.0</v>
      </c>
      <c r="L151" s="168">
        <v>45713.0</v>
      </c>
      <c r="M151" s="87">
        <f t="shared" si="32"/>
        <v>0.2020079872</v>
      </c>
      <c r="N151" s="63">
        <v>110.05</v>
      </c>
      <c r="O151" s="63">
        <v>8.0E8</v>
      </c>
      <c r="P151" s="27">
        <f t="shared" si="22"/>
        <v>893885082.9</v>
      </c>
      <c r="Q151" s="27">
        <f t="shared" si="23"/>
        <v>880400000</v>
      </c>
      <c r="R151" s="27">
        <f t="shared" si="14"/>
        <v>13485082.87</v>
      </c>
      <c r="S151" s="176"/>
      <c r="T151" s="177"/>
      <c r="U151" s="177"/>
      <c r="V151" s="178"/>
      <c r="W151" s="178"/>
      <c r="X151" s="178"/>
      <c r="Y151" s="178"/>
      <c r="Z151" s="178"/>
      <c r="AA151" s="178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</row>
    <row r="152" ht="13.5" customHeight="1">
      <c r="B152" s="3">
        <f t="shared" si="6"/>
        <v>151</v>
      </c>
      <c r="C152" s="57" t="s">
        <v>92</v>
      </c>
      <c r="D152" s="57" t="s">
        <v>58</v>
      </c>
      <c r="E152" s="110" t="s">
        <v>139</v>
      </c>
      <c r="F152" s="57" t="s">
        <v>148</v>
      </c>
      <c r="G152" s="57" t="s">
        <v>12</v>
      </c>
      <c r="H152" s="57" t="s">
        <v>201</v>
      </c>
      <c r="I152" s="87">
        <v>0.1989</v>
      </c>
      <c r="J152" s="167">
        <v>48714.0</v>
      </c>
      <c r="K152" s="168">
        <v>45713.0</v>
      </c>
      <c r="L152" s="168">
        <v>45719.0</v>
      </c>
      <c r="M152" s="87">
        <f t="shared" si="32"/>
        <v>0.1848687707</v>
      </c>
      <c r="N152" s="63">
        <v>105.70375</v>
      </c>
      <c r="O152" s="63">
        <v>5.0E8</v>
      </c>
      <c r="P152" s="15">
        <f t="shared" si="22"/>
        <v>558188915.7</v>
      </c>
      <c r="Q152" s="15">
        <f t="shared" si="23"/>
        <v>528518750</v>
      </c>
      <c r="R152" s="15">
        <f t="shared" si="14"/>
        <v>29670165.75</v>
      </c>
      <c r="S152" s="15"/>
      <c r="T152" s="62"/>
      <c r="U152" s="62"/>
      <c r="V152" s="1"/>
      <c r="W152" s="1"/>
      <c r="X152" s="1"/>
      <c r="Y152" s="1"/>
      <c r="Z152" s="1"/>
      <c r="AA152" s="1"/>
    </row>
    <row r="153" ht="13.5" customHeight="1">
      <c r="B153" s="3">
        <f t="shared" si="6"/>
        <v>152</v>
      </c>
      <c r="C153" s="57" t="s">
        <v>57</v>
      </c>
      <c r="D153" s="57" t="s">
        <v>58</v>
      </c>
      <c r="E153" s="110" t="s">
        <v>139</v>
      </c>
      <c r="F153" s="57" t="s">
        <v>148</v>
      </c>
      <c r="G153" s="57" t="s">
        <v>12</v>
      </c>
      <c r="H153" s="57" t="s">
        <v>210</v>
      </c>
      <c r="I153" s="87">
        <v>0.185</v>
      </c>
      <c r="J153" s="167">
        <v>47900.0</v>
      </c>
      <c r="K153" s="168">
        <v>45714.0</v>
      </c>
      <c r="L153" s="168">
        <v>45719.0</v>
      </c>
      <c r="M153" s="87">
        <f t="shared" si="32"/>
        <v>0.1899909289</v>
      </c>
      <c r="N153" s="63">
        <v>98.24</v>
      </c>
      <c r="O153" s="63">
        <v>2.0E9</v>
      </c>
      <c r="P153" s="15">
        <f t="shared" si="22"/>
        <v>1975020994</v>
      </c>
      <c r="Q153" s="15">
        <f t="shared" si="23"/>
        <v>1964800000</v>
      </c>
      <c r="R153" s="15">
        <f t="shared" si="14"/>
        <v>10220994.48</v>
      </c>
      <c r="S153" s="15"/>
      <c r="T153" s="62"/>
      <c r="U153" s="62"/>
      <c r="V153" s="1"/>
      <c r="W153" s="1"/>
      <c r="X153" s="1"/>
      <c r="Y153" s="1"/>
      <c r="Z153" s="1"/>
      <c r="AA153" s="1"/>
    </row>
    <row r="154" ht="13.5" customHeight="1">
      <c r="B154" s="3">
        <f t="shared" si="6"/>
        <v>153</v>
      </c>
      <c r="C154" s="57" t="s">
        <v>92</v>
      </c>
      <c r="D154" s="57" t="s">
        <v>58</v>
      </c>
      <c r="E154" s="110" t="s">
        <v>139</v>
      </c>
      <c r="F154" s="57" t="s">
        <v>148</v>
      </c>
      <c r="G154" s="57" t="s">
        <v>12</v>
      </c>
      <c r="H154" s="57" t="s">
        <v>210</v>
      </c>
      <c r="I154" s="87">
        <v>0.185</v>
      </c>
      <c r="J154" s="167">
        <v>47900.0</v>
      </c>
      <c r="K154" s="168">
        <v>45715.0</v>
      </c>
      <c r="L154" s="168">
        <v>45719.0</v>
      </c>
      <c r="M154" s="87">
        <f t="shared" si="32"/>
        <v>0.1838556819</v>
      </c>
      <c r="N154" s="63">
        <v>100.38375</v>
      </c>
      <c r="O154" s="63">
        <v>1.0E9</v>
      </c>
      <c r="P154" s="15">
        <f t="shared" si="22"/>
        <v>1008947997</v>
      </c>
      <c r="Q154" s="15">
        <f t="shared" si="23"/>
        <v>1003837500</v>
      </c>
      <c r="R154" s="15">
        <f t="shared" si="14"/>
        <v>5110497.238</v>
      </c>
      <c r="S154" s="15"/>
      <c r="T154" s="62"/>
      <c r="U154" s="62"/>
      <c r="V154" s="1"/>
      <c r="W154" s="1"/>
      <c r="X154" s="1"/>
      <c r="Y154" s="1"/>
      <c r="Z154" s="1"/>
      <c r="AA154" s="1"/>
    </row>
    <row r="155" ht="13.5" customHeight="1">
      <c r="B155" s="3">
        <f t="shared" si="6"/>
        <v>154</v>
      </c>
      <c r="C155" s="57" t="s">
        <v>77</v>
      </c>
      <c r="D155" s="57" t="s">
        <v>58</v>
      </c>
      <c r="E155" s="110" t="s">
        <v>139</v>
      </c>
      <c r="F155" s="57" t="s">
        <v>148</v>
      </c>
      <c r="G155" s="57" t="s">
        <v>12</v>
      </c>
      <c r="H155" s="57" t="s">
        <v>144</v>
      </c>
      <c r="I155" s="87">
        <v>0.226</v>
      </c>
      <c r="J155" s="167">
        <v>49338.0</v>
      </c>
      <c r="K155" s="168">
        <v>45716.0</v>
      </c>
      <c r="L155" s="168">
        <v>45720.0</v>
      </c>
      <c r="M155" s="87">
        <f t="shared" si="32"/>
        <v>0.1838941501</v>
      </c>
      <c r="N155" s="63">
        <v>118.81375</v>
      </c>
      <c r="O155" s="63">
        <v>5.0E8</v>
      </c>
      <c r="P155" s="15">
        <f t="shared" si="22"/>
        <v>604682009.7</v>
      </c>
      <c r="Q155" s="15">
        <f t="shared" si="23"/>
        <v>594068750</v>
      </c>
      <c r="R155" s="15">
        <f t="shared" si="14"/>
        <v>10613259.67</v>
      </c>
      <c r="S155" s="15"/>
      <c r="T155" s="62"/>
      <c r="U155" s="62"/>
      <c r="V155" s="1"/>
      <c r="W155" s="1"/>
      <c r="X155" s="1"/>
      <c r="Y155" s="1"/>
      <c r="Z155" s="1"/>
      <c r="AA155" s="1"/>
    </row>
    <row r="156" ht="13.5" customHeight="1">
      <c r="A156" s="179"/>
      <c r="B156" s="3">
        <f t="shared" si="6"/>
        <v>155</v>
      </c>
      <c r="C156" s="57" t="s">
        <v>96</v>
      </c>
      <c r="D156" s="57" t="s">
        <v>58</v>
      </c>
      <c r="E156" s="110" t="s">
        <v>139</v>
      </c>
      <c r="F156" s="57" t="s">
        <v>163</v>
      </c>
      <c r="G156" s="57" t="s">
        <v>14</v>
      </c>
      <c r="H156" s="57" t="s">
        <v>205</v>
      </c>
      <c r="I156" s="87">
        <v>0.0</v>
      </c>
      <c r="J156" s="167">
        <v>45834.0</v>
      </c>
      <c r="K156" s="168">
        <v>45719.0</v>
      </c>
      <c r="L156" s="168">
        <v>45720.0</v>
      </c>
      <c r="M156" s="87">
        <v>0.181</v>
      </c>
      <c r="N156" s="63">
        <f t="shared" ref="N156:N159" si="33">PRICEDISC(L156,J156,M156,100,1)</f>
        <v>94.34684932</v>
      </c>
      <c r="O156" s="63">
        <v>3.0E8</v>
      </c>
      <c r="P156" s="15">
        <f t="shared" si="22"/>
        <v>283040547.9</v>
      </c>
      <c r="Q156" s="15">
        <f t="shared" si="23"/>
        <v>283040547.9</v>
      </c>
      <c r="R156" s="15" t="str">
        <f t="shared" si="14"/>
        <v/>
      </c>
      <c r="S156" s="34"/>
      <c r="T156" s="76"/>
      <c r="U156" s="76"/>
      <c r="V156" s="51"/>
      <c r="W156" s="51"/>
      <c r="X156" s="51"/>
      <c r="Y156" s="51"/>
      <c r="Z156" s="51"/>
      <c r="AA156" s="51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</row>
    <row r="157" ht="13.5" customHeight="1">
      <c r="A157" s="179"/>
      <c r="B157" s="3">
        <f t="shared" si="6"/>
        <v>156</v>
      </c>
      <c r="C157" s="57" t="s">
        <v>96</v>
      </c>
      <c r="D157" s="57" t="s">
        <v>58</v>
      </c>
      <c r="E157" s="110" t="s">
        <v>139</v>
      </c>
      <c r="F157" s="57" t="s">
        <v>163</v>
      </c>
      <c r="G157" s="57" t="s">
        <v>14</v>
      </c>
      <c r="H157" s="57" t="s">
        <v>199</v>
      </c>
      <c r="I157" s="87">
        <v>0.0</v>
      </c>
      <c r="J157" s="167">
        <v>45848.0</v>
      </c>
      <c r="K157" s="168">
        <v>45719.0</v>
      </c>
      <c r="L157" s="168">
        <v>45720.0</v>
      </c>
      <c r="M157" s="87">
        <v>0.18</v>
      </c>
      <c r="N157" s="63">
        <f t="shared" si="33"/>
        <v>93.68767123</v>
      </c>
      <c r="O157" s="63">
        <v>8.0E8</v>
      </c>
      <c r="P157" s="15">
        <f t="shared" si="22"/>
        <v>749501369.9</v>
      </c>
      <c r="Q157" s="15">
        <f t="shared" si="23"/>
        <v>749501369.9</v>
      </c>
      <c r="R157" s="15" t="str">
        <f t="shared" si="14"/>
        <v/>
      </c>
      <c r="S157" s="34"/>
      <c r="T157" s="76"/>
      <c r="U157" s="76"/>
      <c r="V157" s="51"/>
      <c r="W157" s="51"/>
      <c r="X157" s="51"/>
      <c r="Y157" s="51"/>
      <c r="Z157" s="51"/>
      <c r="AA157" s="51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</row>
    <row r="158" ht="13.5" customHeight="1">
      <c r="A158" s="179"/>
      <c r="B158" s="3">
        <f t="shared" si="6"/>
        <v>157</v>
      </c>
      <c r="C158" s="57" t="s">
        <v>92</v>
      </c>
      <c r="D158" s="57" t="s">
        <v>58</v>
      </c>
      <c r="E158" s="110" t="s">
        <v>139</v>
      </c>
      <c r="F158" s="57" t="s">
        <v>163</v>
      </c>
      <c r="G158" s="57" t="s">
        <v>14</v>
      </c>
      <c r="H158" s="57" t="s">
        <v>200</v>
      </c>
      <c r="I158" s="87">
        <v>0.0</v>
      </c>
      <c r="J158" s="167">
        <v>45799.0</v>
      </c>
      <c r="K158" s="168">
        <v>45719.0</v>
      </c>
      <c r="L158" s="168">
        <v>45720.0</v>
      </c>
      <c r="M158" s="87">
        <v>0.1685</v>
      </c>
      <c r="N158" s="63">
        <f t="shared" si="33"/>
        <v>96.3530137</v>
      </c>
      <c r="O158" s="63">
        <v>5.497E8</v>
      </c>
      <c r="P158" s="15">
        <f t="shared" si="22"/>
        <v>529652516.3</v>
      </c>
      <c r="Q158" s="15">
        <f t="shared" si="23"/>
        <v>529652516.3</v>
      </c>
      <c r="R158" s="15" t="str">
        <f t="shared" si="14"/>
        <v/>
      </c>
      <c r="S158" s="34"/>
      <c r="T158" s="76"/>
      <c r="U158" s="76"/>
      <c r="V158" s="51"/>
      <c r="W158" s="51"/>
      <c r="X158" s="51"/>
      <c r="Y158" s="51"/>
      <c r="Z158" s="51"/>
      <c r="AA158" s="51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</row>
    <row r="159" ht="13.5" customHeight="1">
      <c r="A159" s="179"/>
      <c r="B159" s="3">
        <f t="shared" si="6"/>
        <v>158</v>
      </c>
      <c r="C159" s="57" t="s">
        <v>92</v>
      </c>
      <c r="D159" s="57" t="s">
        <v>58</v>
      </c>
      <c r="E159" s="110" t="s">
        <v>139</v>
      </c>
      <c r="F159" s="57" t="s">
        <v>163</v>
      </c>
      <c r="G159" s="57" t="s">
        <v>14</v>
      </c>
      <c r="H159" s="57" t="s">
        <v>198</v>
      </c>
      <c r="I159" s="87">
        <v>0.0</v>
      </c>
      <c r="J159" s="167">
        <v>45813.0</v>
      </c>
      <c r="K159" s="168">
        <v>45719.0</v>
      </c>
      <c r="L159" s="168">
        <v>45720.0</v>
      </c>
      <c r="M159" s="87">
        <v>0.182</v>
      </c>
      <c r="N159" s="63">
        <f t="shared" si="33"/>
        <v>95.36273973</v>
      </c>
      <c r="O159" s="63">
        <v>1.25E9</v>
      </c>
      <c r="P159" s="15">
        <f t="shared" si="22"/>
        <v>1192034247</v>
      </c>
      <c r="Q159" s="15">
        <f t="shared" si="23"/>
        <v>1192034247</v>
      </c>
      <c r="R159" s="15" t="str">
        <f t="shared" si="14"/>
        <v/>
      </c>
      <c r="S159" s="34"/>
      <c r="T159" s="76"/>
      <c r="U159" s="76"/>
      <c r="V159" s="51"/>
      <c r="W159" s="51"/>
      <c r="X159" s="51"/>
      <c r="Y159" s="51"/>
      <c r="Z159" s="51"/>
      <c r="AA159" s="51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</row>
    <row r="160" ht="13.5" customHeight="1">
      <c r="A160" s="180"/>
      <c r="B160" s="3">
        <f t="shared" si="6"/>
        <v>159</v>
      </c>
      <c r="C160" s="57" t="s">
        <v>77</v>
      </c>
      <c r="D160" s="57" t="s">
        <v>58</v>
      </c>
      <c r="E160" s="110" t="s">
        <v>139</v>
      </c>
      <c r="F160" s="57" t="s">
        <v>148</v>
      </c>
      <c r="G160" s="57" t="s">
        <v>12</v>
      </c>
      <c r="H160" s="57" t="s">
        <v>171</v>
      </c>
      <c r="I160" s="87">
        <v>0.162499</v>
      </c>
      <c r="J160" s="167">
        <v>50148.0</v>
      </c>
      <c r="K160" s="168">
        <v>45719.0</v>
      </c>
      <c r="L160" s="168">
        <v>45722.0</v>
      </c>
      <c r="M160" s="87">
        <f t="shared" ref="M160:M205" si="34">IFERROR(YIELD(L160,J160,I160,N160,100,2,1),"")</f>
        <v>0.1823706486</v>
      </c>
      <c r="N160" s="63">
        <v>90.35375</v>
      </c>
      <c r="O160" s="63">
        <v>1.0E9</v>
      </c>
      <c r="P160" s="15">
        <f t="shared" si="22"/>
        <v>965590689.6</v>
      </c>
      <c r="Q160" s="15">
        <f t="shared" si="23"/>
        <v>903537500</v>
      </c>
      <c r="R160" s="15">
        <f t="shared" si="14"/>
        <v>62053189.56</v>
      </c>
      <c r="S160" s="15"/>
      <c r="T160" s="62"/>
      <c r="U160" s="62"/>
      <c r="V160" s="1"/>
      <c r="W160" s="1"/>
      <c r="X160" s="1"/>
      <c r="Y160" s="1"/>
      <c r="Z160" s="1"/>
      <c r="AA160" s="1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</row>
    <row r="161" ht="13.5" customHeight="1">
      <c r="A161" s="180"/>
      <c r="B161" s="3">
        <f t="shared" si="6"/>
        <v>160</v>
      </c>
      <c r="C161" s="57" t="s">
        <v>172</v>
      </c>
      <c r="D161" s="57" t="s">
        <v>58</v>
      </c>
      <c r="E161" s="110" t="s">
        <v>139</v>
      </c>
      <c r="F161" s="57" t="s">
        <v>148</v>
      </c>
      <c r="G161" s="57" t="s">
        <v>12</v>
      </c>
      <c r="H161" s="57" t="s">
        <v>201</v>
      </c>
      <c r="I161" s="87">
        <v>0.1989</v>
      </c>
      <c r="J161" s="167">
        <v>48714.0</v>
      </c>
      <c r="K161" s="168">
        <v>45719.0</v>
      </c>
      <c r="L161" s="168">
        <v>45722.0</v>
      </c>
      <c r="M161" s="87">
        <f t="shared" si="34"/>
        <v>0.1855003895</v>
      </c>
      <c r="N161" s="63">
        <v>105.43</v>
      </c>
      <c r="O161" s="63">
        <v>1.0E9</v>
      </c>
      <c r="P161" s="15">
        <f t="shared" si="22"/>
        <v>1115288674</v>
      </c>
      <c r="Q161" s="15">
        <f t="shared" si="23"/>
        <v>1054300000</v>
      </c>
      <c r="R161" s="15">
        <f t="shared" si="14"/>
        <v>60988674.03</v>
      </c>
      <c r="S161" s="15"/>
      <c r="T161" s="62"/>
      <c r="U161" s="62"/>
      <c r="V161" s="1"/>
      <c r="W161" s="1"/>
      <c r="X161" s="1"/>
      <c r="Y161" s="1"/>
      <c r="Z161" s="1"/>
      <c r="AA161" s="1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  <c r="AN161" s="180"/>
      <c r="AO161" s="180"/>
      <c r="AP161" s="180"/>
    </row>
    <row r="162" ht="13.5" customHeight="1">
      <c r="B162" s="3">
        <f t="shared" si="6"/>
        <v>161</v>
      </c>
      <c r="C162" s="57" t="s">
        <v>57</v>
      </c>
      <c r="D162" s="57" t="s">
        <v>58</v>
      </c>
      <c r="E162" s="110" t="s">
        <v>139</v>
      </c>
      <c r="F162" s="57" t="s">
        <v>148</v>
      </c>
      <c r="G162" s="57" t="s">
        <v>12</v>
      </c>
      <c r="H162" s="57" t="s">
        <v>201</v>
      </c>
      <c r="I162" s="87">
        <v>0.1989</v>
      </c>
      <c r="J162" s="167">
        <v>48714.0</v>
      </c>
      <c r="K162" s="168">
        <v>45726.0</v>
      </c>
      <c r="L162" s="168">
        <v>45728.0</v>
      </c>
      <c r="M162" s="87">
        <f t="shared" si="34"/>
        <v>0.1875081008</v>
      </c>
      <c r="N162" s="63">
        <v>104.57</v>
      </c>
      <c r="O162" s="63">
        <v>1.2E9</v>
      </c>
      <c r="P162" s="15">
        <f t="shared" si="22"/>
        <v>1331982431</v>
      </c>
      <c r="Q162" s="15">
        <f t="shared" si="23"/>
        <v>1254840000</v>
      </c>
      <c r="R162" s="15">
        <f t="shared" si="14"/>
        <v>77142430.94</v>
      </c>
      <c r="S162" s="15"/>
      <c r="T162" s="62"/>
      <c r="U162" s="62"/>
      <c r="V162" s="1"/>
      <c r="W162" s="1"/>
      <c r="X162" s="1"/>
      <c r="Y162" s="1"/>
      <c r="Z162" s="1"/>
      <c r="AA162" s="1"/>
    </row>
    <row r="163" ht="13.5" customHeight="1">
      <c r="B163" s="3">
        <f t="shared" si="6"/>
        <v>162</v>
      </c>
      <c r="C163" s="57" t="s">
        <v>172</v>
      </c>
      <c r="D163" s="57" t="s">
        <v>58</v>
      </c>
      <c r="E163" s="110" t="s">
        <v>139</v>
      </c>
      <c r="F163" s="57" t="s">
        <v>148</v>
      </c>
      <c r="G163" s="57" t="s">
        <v>12</v>
      </c>
      <c r="H163" s="57" t="s">
        <v>201</v>
      </c>
      <c r="I163" s="87">
        <v>0.1989</v>
      </c>
      <c r="J163" s="167">
        <v>48714.0</v>
      </c>
      <c r="K163" s="168">
        <v>45736.0</v>
      </c>
      <c r="L163" s="168">
        <v>45741.0</v>
      </c>
      <c r="M163" s="181">
        <f t="shared" si="34"/>
        <v>0.1990110626</v>
      </c>
      <c r="N163" s="63">
        <v>99.86</v>
      </c>
      <c r="O163" s="63">
        <v>2.0E9</v>
      </c>
      <c r="P163" s="15">
        <f t="shared" si="22"/>
        <v>2140056354</v>
      </c>
      <c r="Q163" s="15">
        <f t="shared" si="23"/>
        <v>1997200000</v>
      </c>
      <c r="R163" s="15">
        <f t="shared" si="14"/>
        <v>142856353.6</v>
      </c>
      <c r="S163" s="15"/>
      <c r="T163" s="62"/>
      <c r="U163" s="62"/>
      <c r="V163" s="1"/>
      <c r="W163" s="1"/>
      <c r="X163" s="1"/>
      <c r="Y163" s="1"/>
      <c r="Z163" s="1"/>
      <c r="AA163" s="1"/>
    </row>
    <row r="164" ht="13.5" customHeight="1">
      <c r="B164" s="3">
        <f t="shared" si="6"/>
        <v>163</v>
      </c>
      <c r="C164" s="57" t="s">
        <v>172</v>
      </c>
      <c r="D164" s="57" t="s">
        <v>58</v>
      </c>
      <c r="E164" s="110" t="s">
        <v>139</v>
      </c>
      <c r="F164" s="57" t="s">
        <v>148</v>
      </c>
      <c r="G164" s="57" t="s">
        <v>12</v>
      </c>
      <c r="H164" s="57" t="s">
        <v>201</v>
      </c>
      <c r="I164" s="87">
        <v>0.1989</v>
      </c>
      <c r="J164" s="167">
        <v>48714.0</v>
      </c>
      <c r="K164" s="168">
        <v>45736.0</v>
      </c>
      <c r="L164" s="168">
        <v>45740.0</v>
      </c>
      <c r="M164" s="62">
        <f t="shared" si="34"/>
        <v>0.1994891578</v>
      </c>
      <c r="N164" s="63">
        <v>99.67</v>
      </c>
      <c r="O164" s="63">
        <v>1.0E9</v>
      </c>
      <c r="P164" s="15">
        <f t="shared" si="22"/>
        <v>1067578729</v>
      </c>
      <c r="Q164" s="15">
        <f t="shared" si="23"/>
        <v>996700000</v>
      </c>
      <c r="R164" s="15">
        <f t="shared" si="14"/>
        <v>70878729.28</v>
      </c>
      <c r="S164" s="15"/>
      <c r="T164" s="62"/>
      <c r="U164" s="62"/>
      <c r="V164" s="1"/>
      <c r="W164" s="1"/>
      <c r="X164" s="1"/>
      <c r="Y164" s="1"/>
      <c r="Z164" s="1"/>
      <c r="AA164" s="1"/>
    </row>
    <row r="165" ht="13.5" customHeight="1">
      <c r="B165" s="3">
        <f t="shared" si="6"/>
        <v>164</v>
      </c>
      <c r="C165" s="57" t="s">
        <v>77</v>
      </c>
      <c r="D165" s="57" t="s">
        <v>58</v>
      </c>
      <c r="E165" s="110" t="s">
        <v>139</v>
      </c>
      <c r="F165" s="57" t="s">
        <v>163</v>
      </c>
      <c r="G165" s="57" t="s">
        <v>12</v>
      </c>
      <c r="H165" s="57" t="s">
        <v>201</v>
      </c>
      <c r="I165" s="87">
        <v>0.1989</v>
      </c>
      <c r="J165" s="167">
        <v>48714.0</v>
      </c>
      <c r="K165" s="122">
        <v>45751.0</v>
      </c>
      <c r="L165" s="122">
        <v>45754.0</v>
      </c>
      <c r="M165" s="62">
        <f t="shared" si="34"/>
        <v>0.1973562645</v>
      </c>
      <c r="N165" s="63">
        <v>100.53375</v>
      </c>
      <c r="O165" s="63">
        <v>8.0E8</v>
      </c>
      <c r="P165" s="15">
        <f t="shared" si="22"/>
        <v>867126795.6</v>
      </c>
      <c r="Q165" s="15">
        <f t="shared" si="23"/>
        <v>804270000</v>
      </c>
      <c r="R165" s="15">
        <f t="shared" si="14"/>
        <v>62856795.58</v>
      </c>
      <c r="S165" s="15"/>
      <c r="T165" s="62"/>
      <c r="U165" s="62"/>
      <c r="V165" s="1"/>
      <c r="W165" s="1"/>
      <c r="X165" s="1"/>
      <c r="Y165" s="1"/>
      <c r="Z165" s="1"/>
      <c r="AA165" s="1"/>
    </row>
    <row r="166" ht="13.5" customHeight="1">
      <c r="B166" s="3">
        <f t="shared" si="6"/>
        <v>165</v>
      </c>
      <c r="C166" s="1" t="s">
        <v>57</v>
      </c>
      <c r="D166" s="57" t="s">
        <v>58</v>
      </c>
      <c r="E166" s="110" t="s">
        <v>139</v>
      </c>
      <c r="F166" s="57" t="s">
        <v>163</v>
      </c>
      <c r="G166" s="57" t="s">
        <v>12</v>
      </c>
      <c r="H166" s="1" t="s">
        <v>208</v>
      </c>
      <c r="I166" s="62">
        <v>0.185</v>
      </c>
      <c r="J166" s="52">
        <v>47900.0</v>
      </c>
      <c r="K166" s="122">
        <v>45751.0</v>
      </c>
      <c r="L166" s="122">
        <v>45755.0</v>
      </c>
      <c r="M166" s="62">
        <f t="shared" si="34"/>
        <v>0.1962055936</v>
      </c>
      <c r="N166" s="63">
        <v>96.11</v>
      </c>
      <c r="O166" s="63">
        <v>7.0E8</v>
      </c>
      <c r="P166" s="15">
        <f t="shared" si="22"/>
        <v>689225801.1</v>
      </c>
      <c r="Q166" s="15">
        <f t="shared" si="23"/>
        <v>672770000</v>
      </c>
      <c r="R166" s="15">
        <f t="shared" si="14"/>
        <v>16455801.1</v>
      </c>
      <c r="S166" s="15"/>
      <c r="T166" s="62"/>
      <c r="U166" s="62"/>
      <c r="V166" s="1"/>
      <c r="W166" s="1"/>
      <c r="X166" s="1"/>
      <c r="Y166" s="1"/>
      <c r="Z166" s="1"/>
      <c r="AA166" s="1"/>
    </row>
    <row r="167" ht="13.5" customHeight="1">
      <c r="B167" s="3">
        <f t="shared" si="6"/>
        <v>166</v>
      </c>
      <c r="C167" s="1" t="s">
        <v>57</v>
      </c>
      <c r="D167" s="1" t="s">
        <v>58</v>
      </c>
      <c r="E167" s="110" t="s">
        <v>139</v>
      </c>
      <c r="F167" s="57" t="s">
        <v>163</v>
      </c>
      <c r="G167" s="57" t="s">
        <v>14</v>
      </c>
      <c r="H167" s="57" t="s">
        <v>144</v>
      </c>
      <c r="I167" s="62">
        <v>0.226</v>
      </c>
      <c r="J167" s="167">
        <v>49338.0</v>
      </c>
      <c r="K167" s="122">
        <v>45783.0</v>
      </c>
      <c r="L167" s="122">
        <v>45785.0</v>
      </c>
      <c r="M167" s="62">
        <f t="shared" si="34"/>
        <v>0.1964073042</v>
      </c>
      <c r="N167" s="63">
        <v>112.5</v>
      </c>
      <c r="O167" s="63">
        <v>1.0E9</v>
      </c>
      <c r="P167" s="15">
        <f t="shared" si="22"/>
        <v>1186806630</v>
      </c>
      <c r="Q167" s="15">
        <f t="shared" si="23"/>
        <v>1125000000</v>
      </c>
      <c r="R167" s="15">
        <f t="shared" si="14"/>
        <v>61806629.83</v>
      </c>
      <c r="S167" s="15"/>
      <c r="T167" s="62"/>
      <c r="U167" s="62"/>
      <c r="V167" s="1"/>
      <c r="W167" s="1"/>
      <c r="X167" s="1"/>
      <c r="Y167" s="1"/>
      <c r="Z167" s="1"/>
      <c r="AA167" s="1"/>
    </row>
    <row r="168" ht="13.5" customHeight="1">
      <c r="B168" s="3">
        <f t="shared" si="6"/>
        <v>167</v>
      </c>
      <c r="C168" s="57" t="s">
        <v>172</v>
      </c>
      <c r="D168" s="1" t="s">
        <v>58</v>
      </c>
      <c r="E168" s="110" t="s">
        <v>139</v>
      </c>
      <c r="F168" s="57" t="s">
        <v>163</v>
      </c>
      <c r="G168" s="57" t="s">
        <v>14</v>
      </c>
      <c r="H168" s="57" t="s">
        <v>144</v>
      </c>
      <c r="I168" s="62">
        <v>0.226</v>
      </c>
      <c r="J168" s="167">
        <v>49338.0</v>
      </c>
      <c r="K168" s="122">
        <v>45783.0</v>
      </c>
      <c r="L168" s="122">
        <v>45785.0</v>
      </c>
      <c r="M168" s="62">
        <f t="shared" si="34"/>
        <v>0.1964923952</v>
      </c>
      <c r="N168" s="63">
        <v>112.46</v>
      </c>
      <c r="O168" s="63">
        <v>5.0E8</v>
      </c>
      <c r="P168" s="15">
        <f t="shared" si="22"/>
        <v>593203314.9</v>
      </c>
      <c r="Q168" s="15">
        <f t="shared" si="23"/>
        <v>562300000</v>
      </c>
      <c r="R168" s="15">
        <f t="shared" si="14"/>
        <v>30903314.92</v>
      </c>
      <c r="S168" s="15"/>
      <c r="T168" s="62"/>
      <c r="U168" s="62"/>
      <c r="V168" s="1"/>
      <c r="W168" s="1"/>
      <c r="X168" s="1"/>
      <c r="Y168" s="1"/>
      <c r="Z168" s="1"/>
      <c r="AA168" s="1"/>
    </row>
    <row r="169" ht="13.5" customHeight="1">
      <c r="B169" s="3">
        <f t="shared" si="6"/>
        <v>168</v>
      </c>
      <c r="C169" s="1" t="s">
        <v>132</v>
      </c>
      <c r="D169" s="1" t="s">
        <v>58</v>
      </c>
      <c r="E169" s="110" t="s">
        <v>139</v>
      </c>
      <c r="F169" s="57" t="s">
        <v>163</v>
      </c>
      <c r="G169" s="57" t="s">
        <v>14</v>
      </c>
      <c r="H169" s="57" t="s">
        <v>144</v>
      </c>
      <c r="I169" s="62">
        <v>0.226</v>
      </c>
      <c r="J169" s="167">
        <v>49338.0</v>
      </c>
      <c r="K169" s="122">
        <v>45783.0</v>
      </c>
      <c r="L169" s="122">
        <v>45785.0</v>
      </c>
      <c r="M169" s="62">
        <f t="shared" si="34"/>
        <v>0.1968199122</v>
      </c>
      <c r="N169" s="63">
        <v>112.30625</v>
      </c>
      <c r="O169" s="63">
        <v>1.5E9</v>
      </c>
      <c r="P169" s="15">
        <f t="shared" si="22"/>
        <v>1777303695</v>
      </c>
      <c r="Q169" s="15">
        <f t="shared" si="23"/>
        <v>1684593750</v>
      </c>
      <c r="R169" s="15">
        <f t="shared" si="14"/>
        <v>92709944.75</v>
      </c>
      <c r="S169" s="15"/>
      <c r="T169" s="62"/>
      <c r="U169" s="62"/>
      <c r="V169" s="1"/>
      <c r="W169" s="1"/>
      <c r="X169" s="1"/>
      <c r="Y169" s="1"/>
      <c r="Z169" s="1"/>
      <c r="AA169" s="1"/>
    </row>
    <row r="170" ht="13.5" customHeight="1">
      <c r="B170" s="3">
        <f t="shared" si="6"/>
        <v>169</v>
      </c>
      <c r="C170" s="57" t="s">
        <v>132</v>
      </c>
      <c r="D170" s="57" t="s">
        <v>58</v>
      </c>
      <c r="E170" s="110" t="s">
        <v>139</v>
      </c>
      <c r="F170" s="57" t="s">
        <v>163</v>
      </c>
      <c r="G170" s="57" t="s">
        <v>14</v>
      </c>
      <c r="H170" s="57" t="s">
        <v>208</v>
      </c>
      <c r="I170" s="87">
        <v>0.185</v>
      </c>
      <c r="J170" s="167">
        <v>47900.0</v>
      </c>
      <c r="K170" s="168">
        <v>45796.0</v>
      </c>
      <c r="L170" s="168">
        <v>45797.0</v>
      </c>
      <c r="M170" s="87">
        <f t="shared" si="34"/>
        <v>0.2008619437</v>
      </c>
      <c r="N170" s="63">
        <v>94.61625</v>
      </c>
      <c r="O170" s="63">
        <v>1.0E9</v>
      </c>
      <c r="P170" s="27">
        <f t="shared" si="22"/>
        <v>991134875.7</v>
      </c>
      <c r="Q170" s="27">
        <f t="shared" si="23"/>
        <v>946162500</v>
      </c>
      <c r="R170" s="27">
        <f t="shared" si="14"/>
        <v>44972375.69</v>
      </c>
      <c r="S170" s="27"/>
      <c r="T170" s="87"/>
      <c r="U170" s="87"/>
      <c r="V170" s="57"/>
      <c r="W170" s="57"/>
      <c r="X170" s="57"/>
      <c r="Y170" s="57"/>
      <c r="Z170" s="57"/>
      <c r="AA170" s="57"/>
    </row>
    <row r="171" ht="13.5" customHeight="1">
      <c r="B171" s="3">
        <f t="shared" si="6"/>
        <v>170</v>
      </c>
      <c r="C171" s="57" t="s">
        <v>132</v>
      </c>
      <c r="D171" s="57" t="s">
        <v>58</v>
      </c>
      <c r="E171" s="110" t="s">
        <v>139</v>
      </c>
      <c r="F171" s="57" t="s">
        <v>163</v>
      </c>
      <c r="G171" s="57" t="s">
        <v>14</v>
      </c>
      <c r="H171" s="57" t="s">
        <v>208</v>
      </c>
      <c r="I171" s="87">
        <v>0.185</v>
      </c>
      <c r="J171" s="167">
        <v>47900.0</v>
      </c>
      <c r="K171" s="168">
        <v>45796.0</v>
      </c>
      <c r="L171" s="168">
        <v>45797.0</v>
      </c>
      <c r="M171" s="87">
        <f t="shared" si="34"/>
        <v>0.2008619437</v>
      </c>
      <c r="N171" s="63">
        <v>94.61625</v>
      </c>
      <c r="O171" s="63">
        <v>1.0E9</v>
      </c>
      <c r="P171" s="27">
        <f t="shared" si="22"/>
        <v>991134875.7</v>
      </c>
      <c r="Q171" s="27">
        <f t="shared" si="23"/>
        <v>946162500</v>
      </c>
      <c r="R171" s="27">
        <f t="shared" si="14"/>
        <v>44972375.69</v>
      </c>
      <c r="S171" s="27"/>
      <c r="T171" s="87"/>
      <c r="U171" s="87"/>
      <c r="V171" s="57"/>
      <c r="W171" s="57"/>
      <c r="X171" s="57"/>
      <c r="Y171" s="57"/>
      <c r="Z171" s="57"/>
      <c r="AA171" s="57"/>
    </row>
    <row r="172" ht="13.5" customHeight="1">
      <c r="B172" s="3">
        <f t="shared" si="6"/>
        <v>171</v>
      </c>
      <c r="C172" s="57" t="s">
        <v>132</v>
      </c>
      <c r="D172" s="57" t="s">
        <v>58</v>
      </c>
      <c r="E172" s="110" t="s">
        <v>139</v>
      </c>
      <c r="F172" s="57" t="s">
        <v>163</v>
      </c>
      <c r="G172" s="57" t="s">
        <v>14</v>
      </c>
      <c r="H172" s="57" t="s">
        <v>208</v>
      </c>
      <c r="I172" s="87">
        <v>0.185</v>
      </c>
      <c r="J172" s="167">
        <v>47900.0</v>
      </c>
      <c r="K172" s="168">
        <v>45796.0</v>
      </c>
      <c r="L172" s="168">
        <v>45797.0</v>
      </c>
      <c r="M172" s="87">
        <f t="shared" si="34"/>
        <v>0.2011742443</v>
      </c>
      <c r="N172" s="63">
        <v>94.51625</v>
      </c>
      <c r="O172" s="63">
        <v>1.0E9</v>
      </c>
      <c r="P172" s="27">
        <f t="shared" si="22"/>
        <v>990134875.7</v>
      </c>
      <c r="Q172" s="27">
        <f t="shared" si="23"/>
        <v>945162500</v>
      </c>
      <c r="R172" s="27">
        <f t="shared" si="14"/>
        <v>44972375.69</v>
      </c>
      <c r="S172" s="27"/>
      <c r="T172" s="87"/>
      <c r="U172" s="87"/>
      <c r="V172" s="57"/>
      <c r="W172" s="57"/>
      <c r="X172" s="57"/>
      <c r="Y172" s="57"/>
      <c r="Z172" s="57"/>
      <c r="AA172" s="57"/>
    </row>
    <row r="173" ht="13.5" customHeight="1">
      <c r="B173" s="3">
        <f t="shared" si="6"/>
        <v>172</v>
      </c>
      <c r="C173" s="57" t="s">
        <v>132</v>
      </c>
      <c r="D173" s="57" t="s">
        <v>58</v>
      </c>
      <c r="E173" s="110" t="s">
        <v>139</v>
      </c>
      <c r="F173" s="57" t="s">
        <v>163</v>
      </c>
      <c r="G173" s="57" t="s">
        <v>14</v>
      </c>
      <c r="H173" s="57" t="s">
        <v>171</v>
      </c>
      <c r="I173" s="87">
        <v>0.162499</v>
      </c>
      <c r="J173" s="167">
        <v>50148.0</v>
      </c>
      <c r="K173" s="168">
        <v>45796.0</v>
      </c>
      <c r="L173" s="168">
        <v>45797.0</v>
      </c>
      <c r="M173" s="87">
        <f t="shared" si="34"/>
        <v>0.1961253587</v>
      </c>
      <c r="N173" s="63">
        <v>84.64625</v>
      </c>
      <c r="O173" s="63">
        <v>1.0E9</v>
      </c>
      <c r="P173" s="27">
        <f t="shared" si="22"/>
        <v>860670062.8</v>
      </c>
      <c r="Q173" s="27">
        <f t="shared" si="23"/>
        <v>846462500</v>
      </c>
      <c r="R173" s="27">
        <f t="shared" si="14"/>
        <v>14207562.84</v>
      </c>
      <c r="S173" s="27"/>
      <c r="T173" s="87"/>
      <c r="U173" s="87"/>
      <c r="V173" s="57"/>
      <c r="W173" s="57"/>
      <c r="X173" s="57"/>
      <c r="Y173" s="57"/>
      <c r="Z173" s="57"/>
      <c r="AA173" s="57"/>
    </row>
    <row r="174" ht="13.5" customHeight="1">
      <c r="B174" s="3">
        <f t="shared" si="6"/>
        <v>173</v>
      </c>
      <c r="C174" s="57" t="s">
        <v>132</v>
      </c>
      <c r="D174" s="57" t="s">
        <v>58</v>
      </c>
      <c r="E174" s="110" t="s">
        <v>139</v>
      </c>
      <c r="F174" s="57" t="s">
        <v>163</v>
      </c>
      <c r="G174" s="57" t="s">
        <v>14</v>
      </c>
      <c r="H174" s="57" t="s">
        <v>208</v>
      </c>
      <c r="I174" s="87">
        <v>0.185</v>
      </c>
      <c r="J174" s="167">
        <v>47900.0</v>
      </c>
      <c r="K174" s="122">
        <v>45797.0</v>
      </c>
      <c r="L174" s="122">
        <v>45798.0</v>
      </c>
      <c r="M174" s="62">
        <f t="shared" si="34"/>
        <v>0.2006788389</v>
      </c>
      <c r="N174" s="63">
        <v>94.67625</v>
      </c>
      <c r="O174" s="63">
        <v>8.0E8</v>
      </c>
      <c r="P174" s="15">
        <f t="shared" si="22"/>
        <v>793796740.3</v>
      </c>
      <c r="Q174" s="15">
        <f t="shared" si="23"/>
        <v>757410000</v>
      </c>
      <c r="R174" s="15">
        <f t="shared" si="14"/>
        <v>36386740.33</v>
      </c>
      <c r="S174" s="15"/>
      <c r="T174" s="62"/>
      <c r="U174" s="62"/>
      <c r="V174" s="1"/>
      <c r="W174" s="1"/>
      <c r="X174" s="1"/>
      <c r="Y174" s="1"/>
      <c r="Z174" s="1"/>
      <c r="AA174" s="1"/>
    </row>
    <row r="175" ht="13.5" customHeight="1">
      <c r="B175" s="3">
        <f t="shared" si="6"/>
        <v>174</v>
      </c>
      <c r="C175" s="57" t="s">
        <v>132</v>
      </c>
      <c r="D175" s="57" t="s">
        <v>58</v>
      </c>
      <c r="E175" s="110" t="s">
        <v>139</v>
      </c>
      <c r="F175" s="57" t="s">
        <v>163</v>
      </c>
      <c r="G175" s="57" t="s">
        <v>14</v>
      </c>
      <c r="H175" s="57" t="s">
        <v>208</v>
      </c>
      <c r="I175" s="87">
        <v>0.185</v>
      </c>
      <c r="J175" s="167">
        <v>47900.0</v>
      </c>
      <c r="K175" s="122">
        <v>45797.0</v>
      </c>
      <c r="L175" s="122">
        <v>45798.0</v>
      </c>
      <c r="M175" s="62">
        <f t="shared" si="34"/>
        <v>0.200180439</v>
      </c>
      <c r="N175" s="63">
        <v>94.83625</v>
      </c>
      <c r="O175" s="63">
        <v>1.0E9</v>
      </c>
      <c r="P175" s="15">
        <f t="shared" si="22"/>
        <v>993845925.4</v>
      </c>
      <c r="Q175" s="15">
        <f t="shared" si="23"/>
        <v>948362500</v>
      </c>
      <c r="R175" s="15">
        <f t="shared" si="14"/>
        <v>45483425.41</v>
      </c>
      <c r="S175" s="15"/>
      <c r="T175" s="62"/>
      <c r="U175" s="62"/>
      <c r="V175" s="1"/>
      <c r="W175" s="1"/>
      <c r="X175" s="1"/>
      <c r="Y175" s="1"/>
      <c r="Z175" s="1"/>
      <c r="AA175" s="1"/>
    </row>
    <row r="176" ht="13.5" customHeight="1">
      <c r="B176" s="3">
        <f t="shared" si="6"/>
        <v>175</v>
      </c>
      <c r="C176" s="57" t="s">
        <v>132</v>
      </c>
      <c r="D176" s="57" t="s">
        <v>58</v>
      </c>
      <c r="E176" s="110" t="s">
        <v>139</v>
      </c>
      <c r="F176" s="57" t="s">
        <v>163</v>
      </c>
      <c r="G176" s="57" t="s">
        <v>14</v>
      </c>
      <c r="H176" s="57" t="s">
        <v>208</v>
      </c>
      <c r="I176" s="87">
        <v>0.185</v>
      </c>
      <c r="J176" s="167">
        <v>47900.0</v>
      </c>
      <c r="K176" s="122">
        <v>45797.0</v>
      </c>
      <c r="L176" s="122">
        <v>45798.0</v>
      </c>
      <c r="M176" s="62">
        <f t="shared" si="34"/>
        <v>0.200180439</v>
      </c>
      <c r="N176" s="63">
        <v>94.83625</v>
      </c>
      <c r="O176" s="63">
        <v>1.0E9</v>
      </c>
      <c r="P176" s="15">
        <f t="shared" si="22"/>
        <v>993845925.4</v>
      </c>
      <c r="Q176" s="15">
        <f t="shared" si="23"/>
        <v>948362500</v>
      </c>
      <c r="R176" s="15">
        <f t="shared" si="14"/>
        <v>45483425.41</v>
      </c>
      <c r="S176" s="15"/>
      <c r="T176" s="62"/>
      <c r="U176" s="62"/>
      <c r="V176" s="1"/>
      <c r="W176" s="1"/>
      <c r="X176" s="1"/>
      <c r="Y176" s="1"/>
      <c r="Z176" s="1"/>
      <c r="AA176" s="1"/>
    </row>
    <row r="177" ht="13.5" customHeight="1">
      <c r="B177" s="3">
        <f t="shared" si="6"/>
        <v>176</v>
      </c>
      <c r="C177" s="57" t="s">
        <v>132</v>
      </c>
      <c r="D177" s="57" t="s">
        <v>58</v>
      </c>
      <c r="E177" s="110" t="s">
        <v>139</v>
      </c>
      <c r="F177" s="57" t="s">
        <v>163</v>
      </c>
      <c r="G177" s="57" t="s">
        <v>14</v>
      </c>
      <c r="H177" s="57" t="s">
        <v>208</v>
      </c>
      <c r="I177" s="87">
        <v>0.185</v>
      </c>
      <c r="J177" s="167">
        <v>47900.0</v>
      </c>
      <c r="K177" s="122">
        <v>45797.0</v>
      </c>
      <c r="L177" s="122">
        <v>45798.0</v>
      </c>
      <c r="M177" s="62">
        <f t="shared" si="34"/>
        <v>0.200180439</v>
      </c>
      <c r="N177" s="63">
        <v>94.83625</v>
      </c>
      <c r="O177" s="63">
        <v>1.0E9</v>
      </c>
      <c r="P177" s="15">
        <f t="shared" si="22"/>
        <v>993845925.4</v>
      </c>
      <c r="Q177" s="15">
        <f t="shared" si="23"/>
        <v>948362500</v>
      </c>
      <c r="R177" s="15">
        <f t="shared" si="14"/>
        <v>45483425.41</v>
      </c>
      <c r="S177" s="15"/>
      <c r="T177" s="62"/>
      <c r="U177" s="62"/>
      <c r="V177" s="1"/>
      <c r="W177" s="1"/>
      <c r="X177" s="1"/>
      <c r="Y177" s="1"/>
      <c r="Z177" s="1"/>
      <c r="AA177" s="1"/>
    </row>
    <row r="178" ht="13.5" customHeight="1">
      <c r="B178" s="3">
        <f t="shared" si="6"/>
        <v>177</v>
      </c>
      <c r="C178" s="1" t="s">
        <v>126</v>
      </c>
      <c r="D178" s="57" t="s">
        <v>58</v>
      </c>
      <c r="E178" s="110" t="s">
        <v>139</v>
      </c>
      <c r="F178" s="57" t="s">
        <v>188</v>
      </c>
      <c r="G178" s="57" t="s">
        <v>14</v>
      </c>
      <c r="H178" s="1" t="s">
        <v>201</v>
      </c>
      <c r="I178" s="62">
        <v>0.1989</v>
      </c>
      <c r="J178" s="52">
        <v>48714.0</v>
      </c>
      <c r="K178" s="122">
        <v>45832.0</v>
      </c>
      <c r="L178" s="122">
        <v>45834.0</v>
      </c>
      <c r="M178" s="62">
        <f t="shared" si="34"/>
        <v>0.1837367497</v>
      </c>
      <c r="N178" s="63">
        <v>106.11293363</v>
      </c>
      <c r="O178" s="63">
        <v>1.0E9</v>
      </c>
      <c r="P178" s="15">
        <v>1.08386304348E9</v>
      </c>
      <c r="Q178" s="15">
        <f t="shared" si="23"/>
        <v>1061129336</v>
      </c>
      <c r="R178" s="15">
        <f t="shared" si="14"/>
        <v>22700543.48</v>
      </c>
      <c r="S178" s="15"/>
      <c r="T178" s="62"/>
      <c r="U178" s="62"/>
      <c r="V178" s="1"/>
      <c r="W178" s="1"/>
      <c r="X178" s="1"/>
      <c r="Y178" s="1"/>
      <c r="Z178" s="1"/>
      <c r="AA178" s="1"/>
    </row>
    <row r="179" ht="13.5" customHeight="1">
      <c r="B179" s="3">
        <f t="shared" si="6"/>
        <v>178</v>
      </c>
      <c r="C179" s="1" t="s">
        <v>110</v>
      </c>
      <c r="D179" s="1" t="s">
        <v>58</v>
      </c>
      <c r="E179" s="1" t="s">
        <v>139</v>
      </c>
      <c r="F179" s="1" t="s">
        <v>188</v>
      </c>
      <c r="G179" s="1" t="s">
        <v>14</v>
      </c>
      <c r="H179" s="1" t="s">
        <v>201</v>
      </c>
      <c r="I179" s="62">
        <v>0.1989</v>
      </c>
      <c r="J179" s="52">
        <v>48714.0</v>
      </c>
      <c r="K179" s="122">
        <v>45832.0</v>
      </c>
      <c r="L179" s="122">
        <v>45834.0</v>
      </c>
      <c r="M179" s="62">
        <f t="shared" si="34"/>
        <v>0.1836968197</v>
      </c>
      <c r="N179" s="63">
        <v>106.13</v>
      </c>
      <c r="O179" s="63">
        <v>2.5E8</v>
      </c>
      <c r="P179" s="15">
        <f t="shared" ref="P179:P180" si="35">IFERROR((O179*N179/100)+ACCRINT(COUPPCD(L179,J179,2,1),COUPNCD(L179,J179,2,1),L179,I179,O179,2,1),O179*N179/100)</f>
        <v>271000135.9</v>
      </c>
      <c r="Q179" s="15">
        <f t="shared" si="23"/>
        <v>265325000</v>
      </c>
      <c r="R179" s="15">
        <f t="shared" si="14"/>
        <v>5675135.87</v>
      </c>
      <c r="S179" s="15"/>
      <c r="T179" s="62"/>
      <c r="U179" s="62"/>
      <c r="V179" s="1"/>
      <c r="W179" s="1"/>
      <c r="X179" s="1"/>
      <c r="Y179" s="1"/>
      <c r="Z179" s="1"/>
      <c r="AA179" s="1"/>
    </row>
    <row r="180" ht="13.5" customHeight="1">
      <c r="B180" s="3">
        <f t="shared" si="6"/>
        <v>179</v>
      </c>
      <c r="C180" s="1" t="s">
        <v>110</v>
      </c>
      <c r="D180" s="1" t="s">
        <v>58</v>
      </c>
      <c r="E180" s="1" t="s">
        <v>139</v>
      </c>
      <c r="F180" s="1" t="s">
        <v>188</v>
      </c>
      <c r="G180" s="1" t="s">
        <v>14</v>
      </c>
      <c r="H180" s="1" t="s">
        <v>201</v>
      </c>
      <c r="I180" s="62">
        <v>0.1989</v>
      </c>
      <c r="J180" s="52">
        <v>48714.0</v>
      </c>
      <c r="K180" s="122">
        <v>45833.0</v>
      </c>
      <c r="L180" s="122">
        <v>45835.0</v>
      </c>
      <c r="M180" s="62">
        <f t="shared" si="34"/>
        <v>0.1835044415</v>
      </c>
      <c r="N180" s="63">
        <v>106.21</v>
      </c>
      <c r="O180" s="63">
        <v>5.0E8</v>
      </c>
      <c r="P180" s="15">
        <f t="shared" si="35"/>
        <v>542670516.3</v>
      </c>
      <c r="Q180" s="15">
        <f t="shared" si="23"/>
        <v>531050000</v>
      </c>
      <c r="R180" s="15">
        <f t="shared" si="14"/>
        <v>11620516.3</v>
      </c>
      <c r="S180" s="15"/>
      <c r="T180" s="62"/>
      <c r="U180" s="62"/>
      <c r="V180" s="1"/>
      <c r="W180" s="1"/>
      <c r="X180" s="1"/>
      <c r="Y180" s="1"/>
      <c r="Z180" s="1"/>
      <c r="AA180" s="1"/>
    </row>
    <row r="181" ht="13.5" customHeight="1">
      <c r="B181" s="3">
        <f t="shared" si="6"/>
        <v>180</v>
      </c>
      <c r="C181" s="1" t="s">
        <v>126</v>
      </c>
      <c r="D181" s="1" t="s">
        <v>58</v>
      </c>
      <c r="E181" s="1" t="s">
        <v>139</v>
      </c>
      <c r="F181" s="1" t="s">
        <v>188</v>
      </c>
      <c r="G181" s="1" t="s">
        <v>14</v>
      </c>
      <c r="H181" s="1" t="s">
        <v>201</v>
      </c>
      <c r="I181" s="62">
        <v>0.1989</v>
      </c>
      <c r="J181" s="52">
        <v>48714.0</v>
      </c>
      <c r="K181" s="122">
        <v>45833.0</v>
      </c>
      <c r="L181" s="122">
        <v>45834.0</v>
      </c>
      <c r="M181" s="62">
        <f t="shared" si="34"/>
        <v>0.1835263983</v>
      </c>
      <c r="N181" s="63">
        <v>106.20288525</v>
      </c>
      <c r="O181" s="63">
        <v>5.0E8</v>
      </c>
      <c r="P181" s="15">
        <v>5.4238152774E8</v>
      </c>
      <c r="Q181" s="15">
        <f t="shared" si="23"/>
        <v>531014426.3</v>
      </c>
      <c r="R181" s="15">
        <f t="shared" si="14"/>
        <v>11350271.74</v>
      </c>
      <c r="S181" s="15"/>
      <c r="T181" s="62"/>
      <c r="U181" s="62"/>
      <c r="V181" s="1"/>
      <c r="W181" s="1"/>
      <c r="X181" s="1"/>
      <c r="Y181" s="1"/>
      <c r="Z181" s="1"/>
      <c r="AA181" s="1"/>
    </row>
    <row r="182" ht="13.5" customHeight="1">
      <c r="B182" s="3">
        <f t="shared" si="6"/>
        <v>181</v>
      </c>
      <c r="C182" s="1" t="s">
        <v>111</v>
      </c>
      <c r="D182" s="1" t="s">
        <v>58</v>
      </c>
      <c r="E182" s="1" t="s">
        <v>139</v>
      </c>
      <c r="F182" s="57" t="s">
        <v>163</v>
      </c>
      <c r="G182" s="57" t="s">
        <v>14</v>
      </c>
      <c r="H182" s="1" t="s">
        <v>201</v>
      </c>
      <c r="I182" s="62">
        <v>0.1989</v>
      </c>
      <c r="J182" s="52">
        <v>48714.0</v>
      </c>
      <c r="K182" s="122">
        <v>45834.0</v>
      </c>
      <c r="L182" s="122">
        <v>45838.0</v>
      </c>
      <c r="M182" s="62">
        <f t="shared" si="34"/>
        <v>0.1861369643</v>
      </c>
      <c r="N182" s="63">
        <v>105.08625</v>
      </c>
      <c r="O182" s="63">
        <v>1.0E9</v>
      </c>
      <c r="P182" s="15">
        <f t="shared" ref="P182:P270" si="36">IFERROR((O182*N182/100)+ACCRINT(COUPPCD(L182,J182,2,1),COUPNCD(L182,J182,2,1),L182,I182,O182,2,1),O182*N182/100)</f>
        <v>1075725000</v>
      </c>
      <c r="Q182" s="15">
        <f t="shared" si="23"/>
        <v>1050862500</v>
      </c>
      <c r="R182" s="15">
        <f t="shared" si="14"/>
        <v>24862500</v>
      </c>
      <c r="S182" s="15"/>
      <c r="T182" s="62"/>
      <c r="U182" s="62"/>
      <c r="V182" s="1"/>
      <c r="W182" s="1"/>
      <c r="X182" s="1"/>
      <c r="Y182" s="1"/>
      <c r="Z182" s="1"/>
      <c r="AA182" s="1"/>
    </row>
    <row r="183" ht="13.5" customHeight="1">
      <c r="B183" s="3">
        <f t="shared" si="6"/>
        <v>182</v>
      </c>
      <c r="C183" s="1" t="s">
        <v>111</v>
      </c>
      <c r="D183" s="1" t="s">
        <v>58</v>
      </c>
      <c r="E183" s="1" t="s">
        <v>139</v>
      </c>
      <c r="F183" s="57" t="s">
        <v>163</v>
      </c>
      <c r="G183" s="1" t="s">
        <v>12</v>
      </c>
      <c r="H183" s="1" t="s">
        <v>195</v>
      </c>
      <c r="I183" s="62">
        <v>0.19</v>
      </c>
      <c r="J183" s="52">
        <v>48996.0</v>
      </c>
      <c r="K183" s="122">
        <v>45856.0</v>
      </c>
      <c r="L183" s="122">
        <v>45860.0</v>
      </c>
      <c r="M183" s="62">
        <f t="shared" si="34"/>
        <v>0.160898172</v>
      </c>
      <c r="N183" s="63">
        <v>113.24375</v>
      </c>
      <c r="O183" s="63">
        <v>7.0E8</v>
      </c>
      <c r="P183" s="15">
        <f t="shared" si="36"/>
        <v>848184150.6</v>
      </c>
      <c r="Q183" s="15">
        <f t="shared" si="23"/>
        <v>792706250</v>
      </c>
      <c r="R183" s="15">
        <f t="shared" si="14"/>
        <v>55477900.55</v>
      </c>
      <c r="S183" s="15"/>
      <c r="T183" s="62"/>
      <c r="U183" s="62"/>
      <c r="V183" s="1"/>
      <c r="W183" s="1"/>
      <c r="X183" s="1"/>
      <c r="Y183" s="1"/>
      <c r="Z183" s="1"/>
      <c r="AA183" s="1"/>
    </row>
    <row r="184" ht="13.5" customHeight="1">
      <c r="B184" s="3">
        <f t="shared" si="6"/>
        <v>183</v>
      </c>
      <c r="C184" s="1" t="s">
        <v>134</v>
      </c>
      <c r="D184" s="1" t="s">
        <v>58</v>
      </c>
      <c r="E184" s="1" t="s">
        <v>139</v>
      </c>
      <c r="F184" s="57" t="s">
        <v>163</v>
      </c>
      <c r="G184" s="1" t="s">
        <v>12</v>
      </c>
      <c r="H184" s="1" t="s">
        <v>201</v>
      </c>
      <c r="I184" s="62">
        <v>0.1989</v>
      </c>
      <c r="J184" s="52">
        <v>48714.0</v>
      </c>
      <c r="K184" s="122">
        <v>45856.0</v>
      </c>
      <c r="L184" s="122">
        <v>45860.0</v>
      </c>
      <c r="M184" s="62">
        <f t="shared" si="34"/>
        <v>0.161005119</v>
      </c>
      <c r="N184" s="63">
        <v>116.43</v>
      </c>
      <c r="O184" s="63">
        <v>2.0E9</v>
      </c>
      <c r="P184" s="15">
        <f t="shared" si="36"/>
        <v>2402106522</v>
      </c>
      <c r="Q184" s="15">
        <f t="shared" si="23"/>
        <v>2328600000</v>
      </c>
      <c r="R184" s="15">
        <f t="shared" si="14"/>
        <v>73506521.74</v>
      </c>
      <c r="S184" s="15"/>
      <c r="T184" s="62"/>
      <c r="U184" s="62"/>
      <c r="V184" s="1"/>
      <c r="W184" s="1"/>
      <c r="X184" s="1"/>
      <c r="Y184" s="1"/>
      <c r="Z184" s="1"/>
      <c r="AA184" s="1"/>
    </row>
    <row r="185" ht="13.5" customHeight="1">
      <c r="B185" s="3">
        <f t="shared" si="6"/>
        <v>184</v>
      </c>
      <c r="C185" s="1" t="s">
        <v>126</v>
      </c>
      <c r="D185" s="1" t="s">
        <v>58</v>
      </c>
      <c r="E185" s="1" t="s">
        <v>139</v>
      </c>
      <c r="F185" s="57" t="s">
        <v>163</v>
      </c>
      <c r="G185" s="1" t="s">
        <v>12</v>
      </c>
      <c r="H185" s="1" t="s">
        <v>201</v>
      </c>
      <c r="I185" s="62">
        <v>0.1989</v>
      </c>
      <c r="J185" s="52">
        <v>48714.0</v>
      </c>
      <c r="K185" s="122">
        <v>45860.0</v>
      </c>
      <c r="L185" s="122">
        <v>45862.0</v>
      </c>
      <c r="M185" s="62">
        <f t="shared" si="34"/>
        <v>0.1588867807</v>
      </c>
      <c r="N185" s="63">
        <v>117.46375</v>
      </c>
      <c r="O185" s="63">
        <v>5.0E8</v>
      </c>
      <c r="P185" s="15">
        <f t="shared" si="36"/>
        <v>606235869.6</v>
      </c>
      <c r="Q185" s="15">
        <f t="shared" si="23"/>
        <v>587318750</v>
      </c>
      <c r="R185" s="15">
        <f t="shared" si="14"/>
        <v>18917119.57</v>
      </c>
      <c r="S185" s="15"/>
      <c r="T185" s="62"/>
      <c r="U185" s="62"/>
      <c r="V185" s="1"/>
      <c r="W185" s="1"/>
      <c r="X185" s="1"/>
      <c r="Y185" s="1"/>
      <c r="Z185" s="1"/>
      <c r="AA185" s="1"/>
    </row>
    <row r="186" ht="13.5" customHeight="1">
      <c r="B186" s="3">
        <f t="shared" si="6"/>
        <v>185</v>
      </c>
      <c r="C186" s="57" t="s">
        <v>123</v>
      </c>
      <c r="D186" s="1" t="s">
        <v>58</v>
      </c>
      <c r="E186" s="1" t="s">
        <v>139</v>
      </c>
      <c r="F186" s="57" t="s">
        <v>163</v>
      </c>
      <c r="G186" s="1" t="s">
        <v>12</v>
      </c>
      <c r="H186" s="1" t="s">
        <v>195</v>
      </c>
      <c r="I186" s="62">
        <v>0.19</v>
      </c>
      <c r="J186" s="52">
        <v>48996.0</v>
      </c>
      <c r="K186" s="122">
        <v>45859.0</v>
      </c>
      <c r="L186" s="122">
        <v>45861.0</v>
      </c>
      <c r="M186" s="62">
        <f t="shared" si="34"/>
        <v>0.1584913296</v>
      </c>
      <c r="N186" s="63">
        <v>114.46</v>
      </c>
      <c r="O186" s="63">
        <v>1.5E9</v>
      </c>
      <c r="P186" s="15">
        <f t="shared" si="36"/>
        <v>1836568508</v>
      </c>
      <c r="Q186" s="15">
        <f t="shared" si="23"/>
        <v>1716900000</v>
      </c>
      <c r="R186" s="15">
        <f t="shared" si="14"/>
        <v>119668508.3</v>
      </c>
      <c r="S186" s="15"/>
      <c r="T186" s="62"/>
      <c r="U186" s="62"/>
      <c r="V186" s="1"/>
      <c r="W186" s="1"/>
      <c r="X186" s="1"/>
      <c r="Y186" s="1"/>
      <c r="Z186" s="1"/>
      <c r="AA186" s="1"/>
    </row>
    <row r="187" ht="13.5" customHeight="1">
      <c r="B187" s="3">
        <f t="shared" si="6"/>
        <v>186</v>
      </c>
      <c r="C187" s="1" t="s">
        <v>92</v>
      </c>
      <c r="D187" s="1" t="s">
        <v>58</v>
      </c>
      <c r="E187" s="1" t="s">
        <v>139</v>
      </c>
      <c r="F187" s="57" t="s">
        <v>163</v>
      </c>
      <c r="G187" s="1" t="s">
        <v>12</v>
      </c>
      <c r="H187" s="1" t="s">
        <v>201</v>
      </c>
      <c r="I187" s="62">
        <v>0.1989</v>
      </c>
      <c r="J187" s="52">
        <v>48714.0</v>
      </c>
      <c r="K187" s="122">
        <v>45860.0</v>
      </c>
      <c r="L187" s="122">
        <v>45863.0</v>
      </c>
      <c r="M187" s="62">
        <f t="shared" si="34"/>
        <v>0.1588793687</v>
      </c>
      <c r="N187" s="63">
        <v>117.46375</v>
      </c>
      <c r="O187" s="63">
        <v>1.0E9</v>
      </c>
      <c r="P187" s="15">
        <f t="shared" si="36"/>
        <v>1213012228</v>
      </c>
      <c r="Q187" s="15">
        <f t="shared" si="23"/>
        <v>1174637500</v>
      </c>
      <c r="R187" s="15">
        <f t="shared" si="14"/>
        <v>38374728.26</v>
      </c>
      <c r="S187" s="15"/>
      <c r="T187" s="62"/>
      <c r="U187" s="62"/>
      <c r="V187" s="1"/>
      <c r="W187" s="1"/>
      <c r="X187" s="1"/>
      <c r="Y187" s="1"/>
      <c r="Z187" s="1"/>
      <c r="AA187" s="1"/>
    </row>
    <row r="188" ht="13.5" customHeight="1">
      <c r="B188" s="3">
        <f t="shared" si="6"/>
        <v>187</v>
      </c>
      <c r="C188" s="57" t="s">
        <v>123</v>
      </c>
      <c r="D188" s="1" t="s">
        <v>58</v>
      </c>
      <c r="E188" s="1" t="s">
        <v>139</v>
      </c>
      <c r="F188" s="57" t="s">
        <v>163</v>
      </c>
      <c r="G188" s="1" t="s">
        <v>12</v>
      </c>
      <c r="H188" s="1" t="s">
        <v>195</v>
      </c>
      <c r="I188" s="62">
        <v>0.19</v>
      </c>
      <c r="J188" s="52">
        <v>48996.0</v>
      </c>
      <c r="K188" s="122">
        <v>45860.0</v>
      </c>
      <c r="L188" s="122">
        <v>45862.0</v>
      </c>
      <c r="M188" s="62">
        <f t="shared" si="34"/>
        <v>0.1590007179</v>
      </c>
      <c r="N188" s="63">
        <v>114.2</v>
      </c>
      <c r="O188" s="63">
        <v>3.0E8</v>
      </c>
      <c r="P188" s="15">
        <f t="shared" si="36"/>
        <v>366691160.2</v>
      </c>
      <c r="Q188" s="15">
        <f t="shared" si="23"/>
        <v>342600000</v>
      </c>
      <c r="R188" s="15">
        <f t="shared" si="14"/>
        <v>24091160.22</v>
      </c>
      <c r="S188" s="15"/>
      <c r="T188" s="62"/>
      <c r="U188" s="62"/>
      <c r="V188" s="1"/>
      <c r="W188" s="1"/>
      <c r="X188" s="1"/>
      <c r="Y188" s="1"/>
      <c r="Z188" s="1"/>
      <c r="AA188" s="1"/>
    </row>
    <row r="189" ht="13.5" customHeight="1">
      <c r="B189" s="3">
        <f t="shared" si="6"/>
        <v>188</v>
      </c>
      <c r="C189" s="57" t="s">
        <v>123</v>
      </c>
      <c r="D189" s="1" t="s">
        <v>58</v>
      </c>
      <c r="E189" s="1" t="s">
        <v>139</v>
      </c>
      <c r="F189" s="57" t="s">
        <v>163</v>
      </c>
      <c r="G189" s="1" t="s">
        <v>12</v>
      </c>
      <c r="H189" s="57" t="s">
        <v>208</v>
      </c>
      <c r="I189" s="87">
        <v>0.185</v>
      </c>
      <c r="J189" s="167">
        <v>47900.0</v>
      </c>
      <c r="K189" s="122">
        <v>45867.0</v>
      </c>
      <c r="L189" s="122">
        <v>45869.0</v>
      </c>
      <c r="M189" s="62">
        <f t="shared" si="34"/>
        <v>0.1603053523</v>
      </c>
      <c r="N189" s="63">
        <v>108.83</v>
      </c>
      <c r="O189" s="63">
        <v>2.0E9</v>
      </c>
      <c r="P189" s="15">
        <f t="shared" si="36"/>
        <v>2340135912</v>
      </c>
      <c r="Q189" s="15">
        <f t="shared" si="23"/>
        <v>2176600000</v>
      </c>
      <c r="R189" s="15">
        <f t="shared" si="14"/>
        <v>163535911.6</v>
      </c>
      <c r="S189" s="15"/>
      <c r="T189" s="62"/>
      <c r="U189" s="62"/>
      <c r="V189" s="1"/>
      <c r="W189" s="1"/>
      <c r="X189" s="1"/>
      <c r="Y189" s="1"/>
      <c r="Z189" s="1"/>
      <c r="AA189" s="1"/>
    </row>
    <row r="190" ht="13.5" customHeight="1">
      <c r="B190" s="3">
        <f t="shared" si="6"/>
        <v>189</v>
      </c>
      <c r="C190" s="1" t="s">
        <v>111</v>
      </c>
      <c r="D190" s="1" t="s">
        <v>58</v>
      </c>
      <c r="E190" s="1" t="s">
        <v>139</v>
      </c>
      <c r="F190" s="57" t="s">
        <v>163</v>
      </c>
      <c r="G190" s="1" t="s">
        <v>12</v>
      </c>
      <c r="H190" s="1" t="s">
        <v>195</v>
      </c>
      <c r="I190" s="62">
        <v>0.19</v>
      </c>
      <c r="J190" s="52">
        <v>48996.0</v>
      </c>
      <c r="K190" s="122">
        <v>45867.0</v>
      </c>
      <c r="L190" s="122">
        <v>45870.0</v>
      </c>
      <c r="M190" s="62">
        <f t="shared" si="34"/>
        <v>0.1605874384</v>
      </c>
      <c r="N190" s="63">
        <v>113.39375</v>
      </c>
      <c r="O190" s="63">
        <v>1.0E9</v>
      </c>
      <c r="P190" s="15">
        <f t="shared" si="36"/>
        <v>1218440262</v>
      </c>
      <c r="Q190" s="15">
        <f t="shared" si="23"/>
        <v>1133937500</v>
      </c>
      <c r="R190" s="15">
        <f t="shared" si="14"/>
        <v>84502762.43</v>
      </c>
      <c r="S190" s="15"/>
      <c r="T190" s="62"/>
      <c r="U190" s="62"/>
      <c r="V190" s="1"/>
      <c r="W190" s="1"/>
      <c r="X190" s="1"/>
      <c r="Y190" s="1"/>
      <c r="Z190" s="1"/>
      <c r="AA190" s="1"/>
    </row>
    <row r="191" ht="14.25" customHeight="1">
      <c r="B191" s="3">
        <f t="shared" si="6"/>
        <v>190</v>
      </c>
      <c r="C191" s="1" t="s">
        <v>134</v>
      </c>
      <c r="D191" s="1" t="s">
        <v>58</v>
      </c>
      <c r="E191" s="1" t="s">
        <v>139</v>
      </c>
      <c r="F191" s="1" t="s">
        <v>188</v>
      </c>
      <c r="G191" s="1" t="s">
        <v>12</v>
      </c>
      <c r="H191" s="1" t="s">
        <v>208</v>
      </c>
      <c r="I191" s="62">
        <v>0.185</v>
      </c>
      <c r="J191" s="52">
        <v>47900.0</v>
      </c>
      <c r="K191" s="122">
        <v>45889.0</v>
      </c>
      <c r="L191" s="122">
        <v>45891.0</v>
      </c>
      <c r="M191" s="62">
        <f t="shared" si="34"/>
        <v>0.1765094904</v>
      </c>
      <c r="N191" s="189">
        <v>102.91</v>
      </c>
      <c r="O191" s="63">
        <v>8.0E8</v>
      </c>
      <c r="P191" s="15">
        <f t="shared" si="36"/>
        <v>823682173.9</v>
      </c>
      <c r="Q191" s="15">
        <f t="shared" si="23"/>
        <v>823280000</v>
      </c>
      <c r="R191" s="15">
        <f t="shared" si="14"/>
        <v>402173.913</v>
      </c>
      <c r="S191" s="15"/>
      <c r="T191" s="62"/>
      <c r="U191" s="62"/>
      <c r="V191" s="1"/>
      <c r="W191" s="1"/>
      <c r="X191" s="1"/>
      <c r="Y191" s="1"/>
      <c r="Z191" s="1"/>
      <c r="AA191" s="1"/>
    </row>
    <row r="192" ht="13.5" customHeight="1">
      <c r="B192" s="3">
        <f t="shared" si="6"/>
        <v>191</v>
      </c>
      <c r="C192" s="1" t="s">
        <v>111</v>
      </c>
      <c r="D192" s="1" t="s">
        <v>58</v>
      </c>
      <c r="E192" s="1" t="s">
        <v>139</v>
      </c>
      <c r="F192" s="57" t="s">
        <v>163</v>
      </c>
      <c r="G192" s="1" t="s">
        <v>12</v>
      </c>
      <c r="H192" s="1" t="s">
        <v>195</v>
      </c>
      <c r="I192" s="62">
        <v>0.19</v>
      </c>
      <c r="J192" s="52">
        <v>48996.0</v>
      </c>
      <c r="K192" s="122">
        <v>45889.0</v>
      </c>
      <c r="L192" s="122">
        <v>45894.0</v>
      </c>
      <c r="M192" s="62">
        <f t="shared" si="34"/>
        <v>0.1715787965</v>
      </c>
      <c r="N192" s="63">
        <v>108.07375</v>
      </c>
      <c r="O192" s="63">
        <v>7.0E8</v>
      </c>
      <c r="P192" s="15">
        <f t="shared" si="36"/>
        <v>757961902.2</v>
      </c>
      <c r="Q192" s="15">
        <f t="shared" si="23"/>
        <v>756516250</v>
      </c>
      <c r="R192" s="15">
        <f t="shared" si="14"/>
        <v>1445652.174</v>
      </c>
      <c r="S192" s="15"/>
      <c r="T192" s="62"/>
      <c r="U192" s="62"/>
      <c r="V192" s="1"/>
      <c r="W192" s="1"/>
      <c r="X192" s="1"/>
      <c r="Y192" s="1"/>
      <c r="Z192" s="1"/>
      <c r="AA192" s="1"/>
    </row>
    <row r="193" ht="13.5" customHeight="1">
      <c r="A193" s="191"/>
      <c r="B193" s="3">
        <f t="shared" si="6"/>
        <v>192</v>
      </c>
      <c r="C193" s="113" t="s">
        <v>134</v>
      </c>
      <c r="D193" s="113" t="s">
        <v>58</v>
      </c>
      <c r="E193" s="113" t="s">
        <v>139</v>
      </c>
      <c r="F193" s="113" t="s">
        <v>188</v>
      </c>
      <c r="G193" s="113" t="s">
        <v>12</v>
      </c>
      <c r="H193" s="113" t="s">
        <v>214</v>
      </c>
      <c r="I193" s="114">
        <v>0.1795</v>
      </c>
      <c r="J193" s="192">
        <v>48390.0</v>
      </c>
      <c r="K193" s="193">
        <v>45918.0</v>
      </c>
      <c r="L193" s="193">
        <v>45922.0</v>
      </c>
      <c r="M193" s="114">
        <f t="shared" si="34"/>
        <v>0.1613015724</v>
      </c>
      <c r="N193" s="116">
        <v>107.24</v>
      </c>
      <c r="O193" s="116">
        <v>5.0E8</v>
      </c>
      <c r="P193" s="109">
        <f t="shared" si="36"/>
        <v>558024453.6</v>
      </c>
      <c r="Q193" s="109">
        <f t="shared" si="23"/>
        <v>536200000</v>
      </c>
      <c r="R193" s="109">
        <f t="shared" si="14"/>
        <v>21824453.55</v>
      </c>
      <c r="S193" s="109"/>
      <c r="T193" s="114"/>
      <c r="U193" s="114"/>
      <c r="V193" s="113"/>
      <c r="W193" s="113"/>
      <c r="X193" s="113"/>
      <c r="Y193" s="113"/>
      <c r="Z193" s="113"/>
      <c r="AA193" s="113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</row>
    <row r="194" ht="13.5" customHeight="1">
      <c r="A194" s="191"/>
      <c r="B194" s="3">
        <f t="shared" si="6"/>
        <v>193</v>
      </c>
      <c r="C194" s="113" t="s">
        <v>123</v>
      </c>
      <c r="D194" s="113" t="s">
        <v>58</v>
      </c>
      <c r="E194" s="113" t="s">
        <v>139</v>
      </c>
      <c r="F194" s="113" t="s">
        <v>188</v>
      </c>
      <c r="G194" s="113" t="s">
        <v>12</v>
      </c>
      <c r="H194" s="113" t="s">
        <v>210</v>
      </c>
      <c r="I194" s="114">
        <v>0.185</v>
      </c>
      <c r="J194" s="192">
        <v>47900.0</v>
      </c>
      <c r="K194" s="193">
        <v>45918.0</v>
      </c>
      <c r="L194" s="193">
        <v>45922.0</v>
      </c>
      <c r="M194" s="114">
        <f t="shared" si="34"/>
        <v>0.1615066612</v>
      </c>
      <c r="N194" s="116">
        <v>108.22</v>
      </c>
      <c r="O194" s="116">
        <v>5.0E8</v>
      </c>
      <c r="P194" s="109">
        <f t="shared" si="36"/>
        <v>549143478.3</v>
      </c>
      <c r="Q194" s="109">
        <f t="shared" si="23"/>
        <v>541100000</v>
      </c>
      <c r="R194" s="109">
        <f t="shared" si="14"/>
        <v>8043478.261</v>
      </c>
      <c r="S194" s="109"/>
      <c r="T194" s="114"/>
      <c r="U194" s="114"/>
      <c r="V194" s="113"/>
      <c r="W194" s="113"/>
      <c r="X194" s="113"/>
      <c r="Y194" s="113"/>
      <c r="Z194" s="113"/>
      <c r="AA194" s="113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</row>
    <row r="195" ht="13.5" customHeight="1">
      <c r="A195" s="191"/>
      <c r="B195" s="3">
        <f t="shared" si="6"/>
        <v>194</v>
      </c>
      <c r="C195" s="113" t="s">
        <v>134</v>
      </c>
      <c r="D195" s="113" t="s">
        <v>58</v>
      </c>
      <c r="E195" s="113" t="s">
        <v>139</v>
      </c>
      <c r="F195" s="113" t="s">
        <v>188</v>
      </c>
      <c r="G195" s="113" t="s">
        <v>12</v>
      </c>
      <c r="H195" s="113" t="s">
        <v>214</v>
      </c>
      <c r="I195" s="114">
        <v>0.1795</v>
      </c>
      <c r="J195" s="192">
        <v>48390.0</v>
      </c>
      <c r="K195" s="193">
        <v>45919.0</v>
      </c>
      <c r="L195" s="193">
        <v>45923.0</v>
      </c>
      <c r="M195" s="114">
        <f t="shared" si="34"/>
        <v>0.1630047824</v>
      </c>
      <c r="N195" s="116">
        <v>106.52</v>
      </c>
      <c r="O195" s="116">
        <v>1.0E9</v>
      </c>
      <c r="P195" s="109">
        <f t="shared" si="36"/>
        <v>1109339344</v>
      </c>
      <c r="Q195" s="109">
        <f t="shared" si="23"/>
        <v>1065200000</v>
      </c>
      <c r="R195" s="109">
        <f t="shared" si="14"/>
        <v>44139344.26</v>
      </c>
      <c r="S195" s="109"/>
      <c r="T195" s="114"/>
      <c r="U195" s="114"/>
      <c r="V195" s="113"/>
      <c r="W195" s="113"/>
      <c r="X195" s="113"/>
      <c r="Y195" s="113"/>
      <c r="Z195" s="113"/>
      <c r="AA195" s="113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</row>
    <row r="196" ht="13.5" customHeight="1">
      <c r="A196" s="191"/>
      <c r="B196" s="3">
        <f t="shared" si="6"/>
        <v>195</v>
      </c>
      <c r="C196" s="113" t="s">
        <v>134</v>
      </c>
      <c r="D196" s="113" t="s">
        <v>58</v>
      </c>
      <c r="E196" s="113" t="s">
        <v>139</v>
      </c>
      <c r="F196" s="113" t="s">
        <v>163</v>
      </c>
      <c r="G196" s="113" t="s">
        <v>12</v>
      </c>
      <c r="H196" s="113" t="s">
        <v>201</v>
      </c>
      <c r="I196" s="114">
        <v>0.1989</v>
      </c>
      <c r="J196" s="192">
        <v>48714.0</v>
      </c>
      <c r="K196" s="193">
        <v>45919.0</v>
      </c>
      <c r="L196" s="193">
        <v>45923.0</v>
      </c>
      <c r="M196" s="114">
        <f t="shared" si="34"/>
        <v>0.162007343</v>
      </c>
      <c r="N196" s="116">
        <v>115.77</v>
      </c>
      <c r="O196" s="116">
        <v>1.5E9</v>
      </c>
      <c r="P196" s="109">
        <f t="shared" si="36"/>
        <v>1842756114</v>
      </c>
      <c r="Q196" s="109">
        <f t="shared" si="23"/>
        <v>1736550000</v>
      </c>
      <c r="R196" s="109">
        <f t="shared" si="14"/>
        <v>106206114.1</v>
      </c>
      <c r="S196" s="109"/>
      <c r="T196" s="114"/>
      <c r="U196" s="114"/>
      <c r="V196" s="113"/>
      <c r="W196" s="113"/>
      <c r="X196" s="113"/>
      <c r="Y196" s="113"/>
      <c r="Z196" s="113"/>
      <c r="AA196" s="113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</row>
    <row r="197" ht="13.5" customHeight="1">
      <c r="A197" s="191"/>
      <c r="B197" s="3">
        <f t="shared" si="6"/>
        <v>196</v>
      </c>
      <c r="C197" s="113" t="s">
        <v>92</v>
      </c>
      <c r="D197" s="113" t="s">
        <v>58</v>
      </c>
      <c r="E197" s="113" t="s">
        <v>139</v>
      </c>
      <c r="F197" s="113" t="s">
        <v>163</v>
      </c>
      <c r="G197" s="113" t="s">
        <v>12</v>
      </c>
      <c r="H197" s="113" t="s">
        <v>201</v>
      </c>
      <c r="I197" s="114">
        <v>0.1989</v>
      </c>
      <c r="J197" s="192">
        <v>48714.0</v>
      </c>
      <c r="K197" s="193">
        <v>45918.0</v>
      </c>
      <c r="L197" s="193">
        <v>45922.0</v>
      </c>
      <c r="M197" s="114">
        <f t="shared" si="34"/>
        <v>0.1608805001</v>
      </c>
      <c r="N197" s="116">
        <v>116.31375</v>
      </c>
      <c r="O197" s="116">
        <v>6.0E8</v>
      </c>
      <c r="P197" s="109">
        <f t="shared" si="36"/>
        <v>740040652.2</v>
      </c>
      <c r="Q197" s="109">
        <f t="shared" si="23"/>
        <v>697882500</v>
      </c>
      <c r="R197" s="109">
        <f t="shared" si="14"/>
        <v>42158152.17</v>
      </c>
      <c r="S197" s="109"/>
      <c r="T197" s="114"/>
      <c r="U197" s="114"/>
      <c r="V197" s="113"/>
      <c r="W197" s="113"/>
      <c r="X197" s="113"/>
      <c r="Y197" s="113"/>
      <c r="Z197" s="113"/>
      <c r="AA197" s="113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</row>
    <row r="198" ht="13.5" customHeight="1">
      <c r="B198" s="3">
        <f t="shared" si="6"/>
        <v>197</v>
      </c>
      <c r="C198" s="1" t="s">
        <v>111</v>
      </c>
      <c r="D198" s="1" t="s">
        <v>58</v>
      </c>
      <c r="E198" s="1" t="s">
        <v>139</v>
      </c>
      <c r="F198" s="57" t="s">
        <v>163</v>
      </c>
      <c r="G198" s="1" t="s">
        <v>12</v>
      </c>
      <c r="H198" s="1" t="s">
        <v>208</v>
      </c>
      <c r="I198" s="62">
        <v>0.185</v>
      </c>
      <c r="J198" s="52">
        <v>47900.0</v>
      </c>
      <c r="K198" s="122">
        <v>45933.0</v>
      </c>
      <c r="L198" s="122">
        <v>45938.0</v>
      </c>
      <c r="M198" s="62">
        <f t="shared" si="34"/>
        <v>0.1563460453</v>
      </c>
      <c r="N198" s="63">
        <v>110.09375</v>
      </c>
      <c r="O198" s="63">
        <v>5.0E8</v>
      </c>
      <c r="P198" s="15">
        <f t="shared" si="36"/>
        <v>562533967.4</v>
      </c>
      <c r="Q198" s="15">
        <f t="shared" si="23"/>
        <v>550468750</v>
      </c>
      <c r="R198" s="15">
        <f t="shared" si="14"/>
        <v>12065217.39</v>
      </c>
      <c r="S198" s="15"/>
      <c r="T198" s="62"/>
      <c r="U198" s="62"/>
      <c r="V198" s="1"/>
      <c r="W198" s="1"/>
      <c r="X198" s="1"/>
      <c r="Y198" s="1"/>
      <c r="Z198" s="1"/>
      <c r="AA198" s="1"/>
    </row>
    <row r="199" ht="13.5" customHeight="1">
      <c r="B199" s="3">
        <f t="shared" si="6"/>
        <v>198</v>
      </c>
      <c r="C199" s="1" t="s">
        <v>134</v>
      </c>
      <c r="D199" s="1" t="s">
        <v>58</v>
      </c>
      <c r="E199" s="1" t="s">
        <v>139</v>
      </c>
      <c r="F199" s="57" t="s">
        <v>163</v>
      </c>
      <c r="G199" s="1" t="s">
        <v>12</v>
      </c>
      <c r="H199" s="1" t="s">
        <v>214</v>
      </c>
      <c r="I199" s="62">
        <v>0.1795</v>
      </c>
      <c r="J199" s="52">
        <v>48390.0</v>
      </c>
      <c r="K199" s="122">
        <v>45933.0</v>
      </c>
      <c r="L199" s="122">
        <v>45937.0</v>
      </c>
      <c r="M199" s="62">
        <f t="shared" si="34"/>
        <v>0.1559958043</v>
      </c>
      <c r="N199" s="63">
        <v>109.49</v>
      </c>
      <c r="O199" s="63">
        <v>1.5E9</v>
      </c>
      <c r="P199" s="15">
        <f t="shared" si="36"/>
        <v>1718858197</v>
      </c>
      <c r="Q199" s="15">
        <f t="shared" si="23"/>
        <v>1642350000</v>
      </c>
      <c r="R199" s="15">
        <f t="shared" si="14"/>
        <v>76508196.72</v>
      </c>
      <c r="S199" s="15"/>
      <c r="T199" s="62"/>
      <c r="U199" s="62"/>
      <c r="V199" s="1"/>
      <c r="W199" s="1"/>
      <c r="X199" s="1"/>
      <c r="Y199" s="1"/>
      <c r="Z199" s="1"/>
      <c r="AA199" s="1"/>
    </row>
    <row r="200" ht="13.5" customHeight="1">
      <c r="B200" s="3">
        <f t="shared" si="6"/>
        <v>199</v>
      </c>
      <c r="C200" s="1" t="s">
        <v>92</v>
      </c>
      <c r="D200" s="1" t="s">
        <v>58</v>
      </c>
      <c r="E200" s="1" t="s">
        <v>139</v>
      </c>
      <c r="F200" s="57" t="s">
        <v>163</v>
      </c>
      <c r="G200" s="1" t="s">
        <v>12</v>
      </c>
      <c r="H200" s="1" t="s">
        <v>208</v>
      </c>
      <c r="I200" s="62">
        <v>0.185</v>
      </c>
      <c r="J200" s="52">
        <v>47900.0</v>
      </c>
      <c r="K200" s="122">
        <v>45933.0</v>
      </c>
      <c r="L200" s="122">
        <v>45938.0</v>
      </c>
      <c r="M200" s="62">
        <f t="shared" si="34"/>
        <v>0.1563460453</v>
      </c>
      <c r="N200" s="63">
        <v>110.09375</v>
      </c>
      <c r="O200" s="63">
        <v>5.0E8</v>
      </c>
      <c r="P200" s="15">
        <f t="shared" si="36"/>
        <v>562533967.4</v>
      </c>
      <c r="Q200" s="15">
        <f t="shared" si="23"/>
        <v>550468750</v>
      </c>
      <c r="R200" s="15">
        <f t="shared" si="14"/>
        <v>12065217.39</v>
      </c>
      <c r="S200" s="15"/>
      <c r="T200" s="62"/>
      <c r="U200" s="62"/>
      <c r="V200" s="1"/>
      <c r="W200" s="1"/>
      <c r="X200" s="1"/>
      <c r="Y200" s="1"/>
      <c r="Z200" s="1"/>
      <c r="AA200" s="1"/>
    </row>
    <row r="201" ht="13.5" customHeight="1">
      <c r="B201" s="3">
        <f t="shared" si="6"/>
        <v>200</v>
      </c>
      <c r="C201" s="1" t="s">
        <v>123</v>
      </c>
      <c r="D201" s="1" t="s">
        <v>58</v>
      </c>
      <c r="E201" s="1" t="s">
        <v>139</v>
      </c>
      <c r="F201" s="57" t="s">
        <v>163</v>
      </c>
      <c r="G201" s="1" t="s">
        <v>12</v>
      </c>
      <c r="H201" s="1" t="s">
        <v>201</v>
      </c>
      <c r="I201" s="62">
        <v>0.1989</v>
      </c>
      <c r="J201" s="52">
        <v>48714.0</v>
      </c>
      <c r="K201" s="122">
        <v>45936.0</v>
      </c>
      <c r="L201" s="122">
        <v>45938.0</v>
      </c>
      <c r="M201" s="62">
        <f t="shared" si="34"/>
        <v>0.1560040138</v>
      </c>
      <c r="N201" s="63">
        <v>118.66</v>
      </c>
      <c r="O201" s="63">
        <v>3.0E8</v>
      </c>
      <c r="P201" s="15">
        <f t="shared" si="36"/>
        <v>379653423.9</v>
      </c>
      <c r="Q201" s="15">
        <f t="shared" si="23"/>
        <v>355980000</v>
      </c>
      <c r="R201" s="15">
        <f t="shared" si="14"/>
        <v>23673423.91</v>
      </c>
      <c r="S201" s="15"/>
      <c r="T201" s="62"/>
      <c r="U201" s="62"/>
      <c r="V201" s="1"/>
      <c r="W201" s="1"/>
      <c r="X201" s="1"/>
      <c r="Y201" s="1"/>
      <c r="Z201" s="1"/>
      <c r="AA201" s="1"/>
    </row>
    <row r="202" ht="13.5" customHeight="1">
      <c r="B202" s="3">
        <f t="shared" si="6"/>
        <v>201</v>
      </c>
      <c r="C202" s="1" t="s">
        <v>57</v>
      </c>
      <c r="D202" s="1" t="s">
        <v>58</v>
      </c>
      <c r="E202" s="1" t="s">
        <v>139</v>
      </c>
      <c r="F202" s="57" t="s">
        <v>163</v>
      </c>
      <c r="G202" s="1" t="s">
        <v>12</v>
      </c>
      <c r="H202" s="1" t="s">
        <v>220</v>
      </c>
      <c r="I202" s="62">
        <v>0.13</v>
      </c>
      <c r="J202" s="52">
        <v>51887.0</v>
      </c>
      <c r="K202" s="122">
        <v>45933.0</v>
      </c>
      <c r="L202" s="122">
        <v>45938.0</v>
      </c>
      <c r="M202" s="62">
        <f t="shared" si="34"/>
        <v>0.1540000006</v>
      </c>
      <c r="N202" s="63">
        <v>85.747873</v>
      </c>
      <c r="O202" s="63">
        <v>2.5E8</v>
      </c>
      <c r="P202" s="15">
        <f t="shared" si="36"/>
        <v>221346584.7</v>
      </c>
      <c r="Q202" s="15">
        <f t="shared" si="23"/>
        <v>214369682.5</v>
      </c>
      <c r="R202" s="15">
        <f t="shared" si="14"/>
        <v>6976902.174</v>
      </c>
      <c r="S202" s="15"/>
      <c r="T202" s="62"/>
      <c r="U202" s="62"/>
      <c r="V202" s="1"/>
      <c r="W202" s="1"/>
      <c r="X202" s="1"/>
      <c r="Y202" s="1"/>
      <c r="Z202" s="1"/>
      <c r="AA202" s="1"/>
    </row>
    <row r="203" ht="13.5" customHeight="1">
      <c r="B203" s="3">
        <f t="shared" si="6"/>
        <v>202</v>
      </c>
      <c r="C203" s="1" t="s">
        <v>111</v>
      </c>
      <c r="D203" s="1" t="s">
        <v>58</v>
      </c>
      <c r="E203" s="1" t="s">
        <v>139</v>
      </c>
      <c r="F203" s="57" t="s">
        <v>163</v>
      </c>
      <c r="G203" s="1" t="s">
        <v>14</v>
      </c>
      <c r="H203" s="1" t="s">
        <v>201</v>
      </c>
      <c r="I203" s="62">
        <v>0.1989</v>
      </c>
      <c r="J203" s="52">
        <v>48714.0</v>
      </c>
      <c r="K203" s="122">
        <v>45936.0</v>
      </c>
      <c r="L203" s="122">
        <v>45937.0</v>
      </c>
      <c r="M203" s="62">
        <f t="shared" si="34"/>
        <v>0.1601067174</v>
      </c>
      <c r="N203" s="63">
        <v>116.65625</v>
      </c>
      <c r="O203" s="63">
        <v>3.0E8</v>
      </c>
      <c r="P203" s="15">
        <f t="shared" si="36"/>
        <v>373480027.2</v>
      </c>
      <c r="Q203" s="15">
        <f t="shared" si="23"/>
        <v>349968750</v>
      </c>
      <c r="R203" s="15">
        <f t="shared" si="14"/>
        <v>23511277.17</v>
      </c>
      <c r="S203" s="15"/>
      <c r="T203" s="62"/>
      <c r="U203" s="62"/>
      <c r="V203" s="1"/>
      <c r="W203" s="1"/>
      <c r="X203" s="1"/>
      <c r="Y203" s="1"/>
      <c r="Z203" s="1"/>
      <c r="AA203" s="1"/>
    </row>
    <row r="204" ht="13.5" customHeight="1">
      <c r="B204" s="3">
        <f t="shared" si="6"/>
        <v>203</v>
      </c>
      <c r="C204" s="1" t="s">
        <v>92</v>
      </c>
      <c r="D204" s="1" t="s">
        <v>58</v>
      </c>
      <c r="E204" s="1" t="s">
        <v>139</v>
      </c>
      <c r="F204" s="57" t="s">
        <v>163</v>
      </c>
      <c r="G204" s="1" t="s">
        <v>12</v>
      </c>
      <c r="H204" s="1" t="s">
        <v>201</v>
      </c>
      <c r="I204" s="62">
        <v>0.1989</v>
      </c>
      <c r="J204" s="52">
        <v>48714.0</v>
      </c>
      <c r="K204" s="122">
        <v>45971.0</v>
      </c>
      <c r="L204" s="122">
        <v>45973.0</v>
      </c>
      <c r="M204" s="62">
        <f t="shared" si="34"/>
        <v>0.1523869339</v>
      </c>
      <c r="N204" s="63">
        <v>120.38375</v>
      </c>
      <c r="O204" s="63">
        <v>1.5E9</v>
      </c>
      <c r="P204" s="15">
        <f t="shared" si="36"/>
        <v>1952499049</v>
      </c>
      <c r="Q204" s="15">
        <f t="shared" si="23"/>
        <v>1805756250</v>
      </c>
      <c r="R204" s="15">
        <f t="shared" si="14"/>
        <v>146742798.9</v>
      </c>
      <c r="S204" s="15"/>
      <c r="T204" s="62"/>
      <c r="U204" s="62"/>
      <c r="V204" s="1"/>
      <c r="W204" s="1"/>
      <c r="X204" s="1"/>
      <c r="Y204" s="1"/>
      <c r="Z204" s="1"/>
      <c r="AA204" s="1"/>
    </row>
    <row r="205" ht="13.5" customHeight="1">
      <c r="B205" s="3">
        <f t="shared" si="6"/>
        <v>204</v>
      </c>
      <c r="C205" s="1" t="s">
        <v>110</v>
      </c>
      <c r="D205" s="1" t="s">
        <v>58</v>
      </c>
      <c r="E205" s="1" t="s">
        <v>139</v>
      </c>
      <c r="F205" s="57" t="s">
        <v>163</v>
      </c>
      <c r="G205" s="1" t="s">
        <v>12</v>
      </c>
      <c r="H205" s="1" t="s">
        <v>201</v>
      </c>
      <c r="I205" s="62">
        <v>0.1989</v>
      </c>
      <c r="J205" s="52">
        <v>48714.0</v>
      </c>
      <c r="K205" s="122">
        <v>45971.0</v>
      </c>
      <c r="L205" s="122">
        <v>45973.0</v>
      </c>
      <c r="M205" s="62">
        <f t="shared" si="34"/>
        <v>0.1538967289</v>
      </c>
      <c r="N205" s="63">
        <v>119.63</v>
      </c>
      <c r="O205" s="63">
        <v>1.0E9</v>
      </c>
      <c r="P205" s="15">
        <f t="shared" si="36"/>
        <v>1294128533</v>
      </c>
      <c r="Q205" s="15">
        <f t="shared" si="23"/>
        <v>1196300000</v>
      </c>
      <c r="R205" s="15">
        <f t="shared" si="14"/>
        <v>97828532.61</v>
      </c>
      <c r="S205" s="15"/>
      <c r="T205" s="62"/>
      <c r="U205" s="62"/>
      <c r="V205" s="1"/>
      <c r="W205" s="1"/>
      <c r="X205" s="1"/>
      <c r="Y205" s="1"/>
      <c r="Z205" s="1"/>
      <c r="AA205" s="1"/>
    </row>
    <row r="206" ht="13.5" customHeight="1">
      <c r="B206" s="3">
        <f t="shared" si="6"/>
        <v>205</v>
      </c>
      <c r="C206" s="1" t="s">
        <v>92</v>
      </c>
      <c r="D206" s="1" t="s">
        <v>58</v>
      </c>
      <c r="E206" s="1" t="s">
        <v>139</v>
      </c>
      <c r="F206" s="57" t="s">
        <v>163</v>
      </c>
      <c r="G206" s="1" t="s">
        <v>12</v>
      </c>
      <c r="H206" s="57" t="s">
        <v>221</v>
      </c>
      <c r="I206" s="87"/>
      <c r="J206" s="167">
        <v>46331.0</v>
      </c>
      <c r="K206" s="168">
        <v>45972.0</v>
      </c>
      <c r="L206" s="168">
        <v>45975.0</v>
      </c>
      <c r="M206" s="87">
        <v>0.1525</v>
      </c>
      <c r="N206" s="63">
        <f t="shared" ref="N206:N208" si="37">PRICEDISC(L206,J206,M206,100,1)</f>
        <v>85.1260274</v>
      </c>
      <c r="O206" s="63">
        <v>1.0E9</v>
      </c>
      <c r="P206" s="15">
        <f t="shared" si="36"/>
        <v>851260274</v>
      </c>
      <c r="Q206" s="15">
        <f t="shared" si="23"/>
        <v>851260274</v>
      </c>
      <c r="R206" s="15" t="str">
        <f t="shared" si="14"/>
        <v/>
      </c>
      <c r="S206" s="15"/>
      <c r="T206" s="62"/>
      <c r="U206" s="62"/>
      <c r="V206" s="1"/>
      <c r="W206" s="1"/>
      <c r="X206" s="1"/>
      <c r="Y206" s="1"/>
      <c r="Z206" s="1"/>
      <c r="AA206" s="1"/>
    </row>
    <row r="207" ht="13.5" customHeight="1">
      <c r="B207" s="3">
        <f t="shared" si="6"/>
        <v>206</v>
      </c>
      <c r="C207" s="1" t="s">
        <v>83</v>
      </c>
      <c r="D207" s="1" t="s">
        <v>58</v>
      </c>
      <c r="E207" s="1" t="s">
        <v>139</v>
      </c>
      <c r="F207" s="57" t="s">
        <v>163</v>
      </c>
      <c r="G207" s="1" t="s">
        <v>12</v>
      </c>
      <c r="H207" s="57" t="s">
        <v>221</v>
      </c>
      <c r="I207" s="87"/>
      <c r="J207" s="167">
        <v>46331.0</v>
      </c>
      <c r="K207" s="168">
        <v>45972.0</v>
      </c>
      <c r="L207" s="168">
        <v>45975.0</v>
      </c>
      <c r="M207" s="87">
        <v>0.153</v>
      </c>
      <c r="N207" s="63">
        <f t="shared" si="37"/>
        <v>85.07726027</v>
      </c>
      <c r="O207" s="63">
        <v>1.8E9</v>
      </c>
      <c r="P207" s="15">
        <f t="shared" si="36"/>
        <v>1531390685</v>
      </c>
      <c r="Q207" s="15">
        <f t="shared" si="23"/>
        <v>1531390685</v>
      </c>
      <c r="R207" s="15" t="str">
        <f t="shared" si="14"/>
        <v/>
      </c>
      <c r="S207" s="15"/>
      <c r="T207" s="62"/>
      <c r="U207" s="62"/>
      <c r="V207" s="1"/>
      <c r="W207" s="1"/>
      <c r="X207" s="1"/>
      <c r="Y207" s="1"/>
      <c r="Z207" s="1"/>
      <c r="AA207" s="1"/>
    </row>
    <row r="208" ht="13.5" customHeight="1">
      <c r="A208" s="180"/>
      <c r="B208" s="3">
        <f t="shared" si="6"/>
        <v>207</v>
      </c>
      <c r="C208" s="1" t="s">
        <v>134</v>
      </c>
      <c r="D208" s="1" t="s">
        <v>58</v>
      </c>
      <c r="E208" s="1" t="s">
        <v>139</v>
      </c>
      <c r="F208" s="57" t="s">
        <v>163</v>
      </c>
      <c r="G208" s="1" t="s">
        <v>12</v>
      </c>
      <c r="H208" s="57" t="s">
        <v>221</v>
      </c>
      <c r="I208" s="87"/>
      <c r="J208" s="167">
        <v>46331.0</v>
      </c>
      <c r="K208" s="168">
        <v>45972.0</v>
      </c>
      <c r="L208" s="168">
        <v>45974.0</v>
      </c>
      <c r="M208" s="87">
        <v>0.1525</v>
      </c>
      <c r="N208" s="63">
        <f t="shared" si="37"/>
        <v>85.08424658</v>
      </c>
      <c r="O208" s="63">
        <v>1.0E9</v>
      </c>
      <c r="P208" s="15">
        <f t="shared" si="36"/>
        <v>850842465.8</v>
      </c>
      <c r="Q208" s="15">
        <f t="shared" si="23"/>
        <v>850842465.8</v>
      </c>
      <c r="R208" s="15" t="str">
        <f t="shared" si="14"/>
        <v/>
      </c>
      <c r="S208" s="15"/>
      <c r="T208" s="62"/>
      <c r="U208" s="62"/>
      <c r="V208" s="1"/>
      <c r="W208" s="1"/>
      <c r="X208" s="1"/>
      <c r="Y208" s="1"/>
      <c r="Z208" s="1"/>
      <c r="AA208" s="1"/>
      <c r="AB208" s="180"/>
      <c r="AC208" s="180"/>
      <c r="AD208" s="180"/>
      <c r="AE208" s="180"/>
      <c r="AF208" s="180"/>
      <c r="AG208" s="180"/>
      <c r="AH208" s="180"/>
      <c r="AI208" s="180"/>
      <c r="AJ208" s="180"/>
      <c r="AK208" s="180"/>
      <c r="AL208" s="180"/>
      <c r="AM208" s="180"/>
      <c r="AN208" s="180"/>
      <c r="AO208" s="180"/>
      <c r="AP208" s="180"/>
    </row>
    <row r="209" ht="13.5" customHeight="1">
      <c r="A209" s="180"/>
      <c r="B209" s="3">
        <f t="shared" si="6"/>
        <v>208</v>
      </c>
      <c r="C209" s="57" t="s">
        <v>92</v>
      </c>
      <c r="D209" s="57" t="s">
        <v>58</v>
      </c>
      <c r="E209" s="57" t="s">
        <v>139</v>
      </c>
      <c r="F209" s="57" t="s">
        <v>163</v>
      </c>
      <c r="G209" s="57" t="s">
        <v>12</v>
      </c>
      <c r="H209" s="57" t="s">
        <v>208</v>
      </c>
      <c r="I209" s="87">
        <v>0.185</v>
      </c>
      <c r="J209" s="167">
        <v>47900.0</v>
      </c>
      <c r="K209" s="168">
        <v>45992.0</v>
      </c>
      <c r="L209" s="168">
        <v>45994.0</v>
      </c>
      <c r="M209" s="87">
        <f t="shared" ref="M209:M216" si="38">IFERROR(YIELD(L209,J209,I209,N209,100,2,1),"")</f>
        <v>0.1573481855</v>
      </c>
      <c r="N209" s="111">
        <v>109.51375</v>
      </c>
      <c r="O209" s="111">
        <v>1.0E9</v>
      </c>
      <c r="P209" s="27">
        <f t="shared" si="36"/>
        <v>1147420109</v>
      </c>
      <c r="Q209" s="27">
        <f t="shared" si="23"/>
        <v>1095137500</v>
      </c>
      <c r="R209" s="27">
        <f t="shared" si="14"/>
        <v>52282608.7</v>
      </c>
      <c r="S209" s="27"/>
      <c r="T209" s="87"/>
      <c r="U209" s="87"/>
      <c r="V209" s="57"/>
      <c r="W209" s="57"/>
      <c r="X209" s="57"/>
      <c r="Y209" s="57"/>
      <c r="Z209" s="57"/>
      <c r="AA209" s="57"/>
      <c r="AB209" s="180"/>
      <c r="AC209" s="180"/>
      <c r="AD209" s="180"/>
      <c r="AE209" s="180"/>
      <c r="AF209" s="180"/>
      <c r="AG209" s="180"/>
      <c r="AH209" s="180"/>
      <c r="AI209" s="180"/>
      <c r="AJ209" s="180"/>
      <c r="AK209" s="180"/>
      <c r="AL209" s="180"/>
      <c r="AM209" s="180"/>
      <c r="AN209" s="180"/>
      <c r="AO209" s="180"/>
      <c r="AP209" s="180"/>
    </row>
    <row r="210" ht="13.5" customHeight="1">
      <c r="A210" s="180"/>
      <c r="B210" s="3">
        <f t="shared" si="6"/>
        <v>209</v>
      </c>
      <c r="C210" s="57" t="s">
        <v>111</v>
      </c>
      <c r="D210" s="57" t="s">
        <v>58</v>
      </c>
      <c r="E210" s="57" t="s">
        <v>139</v>
      </c>
      <c r="F210" s="57" t="s">
        <v>163</v>
      </c>
      <c r="G210" s="57" t="s">
        <v>12</v>
      </c>
      <c r="H210" s="57" t="s">
        <v>223</v>
      </c>
      <c r="I210" s="87">
        <v>0.1795</v>
      </c>
      <c r="J210" s="167">
        <v>48390.0</v>
      </c>
      <c r="K210" s="168">
        <v>45992.0</v>
      </c>
      <c r="L210" s="168">
        <v>45994.0</v>
      </c>
      <c r="M210" s="87">
        <f t="shared" si="38"/>
        <v>0.1584713096</v>
      </c>
      <c r="N210" s="111">
        <v>108.35375</v>
      </c>
      <c r="O210" s="111">
        <v>1.0E9</v>
      </c>
      <c r="P210" s="222">
        <f t="shared" si="36"/>
        <v>1162497883</v>
      </c>
      <c r="Q210" s="27">
        <f t="shared" si="23"/>
        <v>1083537500</v>
      </c>
      <c r="R210" s="27">
        <f t="shared" si="14"/>
        <v>78960382.51</v>
      </c>
      <c r="S210" s="27"/>
      <c r="T210" s="87"/>
      <c r="U210" s="87"/>
      <c r="V210" s="57"/>
      <c r="W210" s="57"/>
      <c r="X210" s="57"/>
      <c r="Y210" s="57"/>
      <c r="Z210" s="57"/>
      <c r="AA210" s="57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  <c r="AN210" s="180"/>
      <c r="AO210" s="180"/>
      <c r="AP210" s="180"/>
    </row>
    <row r="211" ht="13.5" customHeight="1">
      <c r="A211" s="180"/>
      <c r="B211" s="3">
        <f t="shared" si="6"/>
        <v>210</v>
      </c>
      <c r="C211" s="57" t="s">
        <v>123</v>
      </c>
      <c r="D211" s="57" t="s">
        <v>58</v>
      </c>
      <c r="E211" s="57" t="s">
        <v>139</v>
      </c>
      <c r="F211" s="57" t="s">
        <v>163</v>
      </c>
      <c r="G211" s="57" t="s">
        <v>12</v>
      </c>
      <c r="H211" s="57" t="s">
        <v>223</v>
      </c>
      <c r="I211" s="87">
        <v>0.1795</v>
      </c>
      <c r="J211" s="167">
        <v>48390.0</v>
      </c>
      <c r="K211" s="168">
        <v>45992.0</v>
      </c>
      <c r="L211" s="168">
        <v>45994.0</v>
      </c>
      <c r="M211" s="87">
        <f t="shared" si="38"/>
        <v>0.1588830139</v>
      </c>
      <c r="N211" s="111">
        <v>108.18</v>
      </c>
      <c r="O211" s="111">
        <v>7.0E8</v>
      </c>
      <c r="P211" s="27">
        <f t="shared" si="36"/>
        <v>812532267.8</v>
      </c>
      <c r="Q211" s="27">
        <f t="shared" si="23"/>
        <v>757260000</v>
      </c>
      <c r="R211" s="27">
        <f t="shared" si="14"/>
        <v>55272267.76</v>
      </c>
      <c r="S211" s="27"/>
      <c r="T211" s="87"/>
      <c r="U211" s="87"/>
      <c r="V211" s="57"/>
      <c r="W211" s="57"/>
      <c r="X211" s="57"/>
      <c r="Y211" s="57"/>
      <c r="Z211" s="57"/>
      <c r="AA211" s="57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  <c r="AN211" s="180"/>
      <c r="AO211" s="180"/>
      <c r="AP211" s="180"/>
    </row>
    <row r="212" ht="13.5" customHeight="1">
      <c r="A212" s="180"/>
      <c r="B212" s="3">
        <f t="shared" si="6"/>
        <v>211</v>
      </c>
      <c r="C212" s="57" t="s">
        <v>111</v>
      </c>
      <c r="D212" s="57" t="s">
        <v>58</v>
      </c>
      <c r="E212" s="57" t="s">
        <v>139</v>
      </c>
      <c r="F212" s="57" t="s">
        <v>163</v>
      </c>
      <c r="G212" s="57" t="s">
        <v>12</v>
      </c>
      <c r="H212" s="57" t="s">
        <v>223</v>
      </c>
      <c r="I212" s="87">
        <v>0.1795</v>
      </c>
      <c r="J212" s="167">
        <v>48390.0</v>
      </c>
      <c r="K212" s="168">
        <v>45992.0</v>
      </c>
      <c r="L212" s="168">
        <v>45994.0</v>
      </c>
      <c r="M212" s="87">
        <f t="shared" si="38"/>
        <v>0.1585038567</v>
      </c>
      <c r="N212" s="111">
        <v>108.34</v>
      </c>
      <c r="O212" s="111">
        <v>1.0E9</v>
      </c>
      <c r="P212" s="222">
        <f t="shared" si="36"/>
        <v>1162360383</v>
      </c>
      <c r="Q212" s="27">
        <f t="shared" si="23"/>
        <v>1083400000</v>
      </c>
      <c r="R212" s="27">
        <f t="shared" si="14"/>
        <v>78960382.51</v>
      </c>
      <c r="S212" s="27"/>
      <c r="T212" s="87"/>
      <c r="U212" s="87"/>
      <c r="V212" s="57"/>
      <c r="W212" s="57"/>
      <c r="X212" s="57"/>
      <c r="Y212" s="57"/>
      <c r="Z212" s="57"/>
      <c r="AA212" s="57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  <c r="AN212" s="180"/>
      <c r="AO212" s="180"/>
      <c r="AP212" s="180"/>
    </row>
    <row r="213" ht="13.5" customHeight="1">
      <c r="A213" s="180"/>
      <c r="B213" s="3">
        <f t="shared" si="6"/>
        <v>212</v>
      </c>
      <c r="C213" s="57" t="s">
        <v>111</v>
      </c>
      <c r="D213" s="57" t="s">
        <v>58</v>
      </c>
      <c r="E213" s="57" t="s">
        <v>139</v>
      </c>
      <c r="F213" s="57" t="s">
        <v>163</v>
      </c>
      <c r="G213" s="57" t="s">
        <v>12</v>
      </c>
      <c r="H213" s="57" t="s">
        <v>208</v>
      </c>
      <c r="I213" s="87">
        <v>0.185</v>
      </c>
      <c r="J213" s="167">
        <v>47900.0</v>
      </c>
      <c r="K213" s="168">
        <v>45992.0</v>
      </c>
      <c r="L213" s="168">
        <v>45994.0</v>
      </c>
      <c r="M213" s="87">
        <f t="shared" si="38"/>
        <v>0.1580077124</v>
      </c>
      <c r="N213" s="111">
        <v>109.27</v>
      </c>
      <c r="O213" s="111">
        <v>1.0E9</v>
      </c>
      <c r="P213" s="222">
        <f t="shared" si="36"/>
        <v>1144982609</v>
      </c>
      <c r="Q213" s="27">
        <f t="shared" si="23"/>
        <v>1092700000</v>
      </c>
      <c r="R213" s="27">
        <f t="shared" si="14"/>
        <v>52282608.7</v>
      </c>
      <c r="S213" s="27"/>
      <c r="T213" s="87"/>
      <c r="U213" s="87"/>
      <c r="V213" s="57"/>
      <c r="W213" s="57"/>
      <c r="X213" s="57"/>
      <c r="Y213" s="57"/>
      <c r="Z213" s="57"/>
      <c r="AA213" s="57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  <c r="AN213" s="180"/>
      <c r="AO213" s="180"/>
      <c r="AP213" s="180"/>
    </row>
    <row r="214" ht="13.5" customHeight="1">
      <c r="A214" s="180"/>
      <c r="B214" s="3">
        <f t="shared" si="6"/>
        <v>213</v>
      </c>
      <c r="C214" s="57" t="s">
        <v>225</v>
      </c>
      <c r="D214" s="57" t="s">
        <v>58</v>
      </c>
      <c r="E214" s="57" t="s">
        <v>139</v>
      </c>
      <c r="F214" s="57" t="s">
        <v>163</v>
      </c>
      <c r="G214" s="57" t="s">
        <v>14</v>
      </c>
      <c r="H214" s="57" t="s">
        <v>201</v>
      </c>
      <c r="I214" s="87">
        <v>0.1989</v>
      </c>
      <c r="J214" s="167">
        <v>48714.0</v>
      </c>
      <c r="K214" s="168">
        <v>45993.0</v>
      </c>
      <c r="L214" s="168">
        <v>45994.0</v>
      </c>
      <c r="M214" s="87">
        <f t="shared" si="38"/>
        <v>0.163621141</v>
      </c>
      <c r="N214" s="111">
        <v>114.84625</v>
      </c>
      <c r="O214" s="111">
        <v>1.2E9</v>
      </c>
      <c r="P214" s="27">
        <f t="shared" si="36"/>
        <v>1390023066</v>
      </c>
      <c r="Q214" s="27">
        <f t="shared" si="23"/>
        <v>1378155000</v>
      </c>
      <c r="R214" s="27">
        <f t="shared" si="14"/>
        <v>11868066.3</v>
      </c>
      <c r="S214" s="27"/>
      <c r="T214" s="87"/>
      <c r="U214" s="87"/>
      <c r="V214" s="57"/>
      <c r="W214" s="57"/>
      <c r="X214" s="57"/>
      <c r="Y214" s="57"/>
      <c r="Z214" s="57"/>
      <c r="AA214" s="57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  <c r="AN214" s="180"/>
      <c r="AO214" s="180"/>
      <c r="AP214" s="180"/>
    </row>
    <row r="215" ht="13.5" customHeight="1">
      <c r="A215" s="180"/>
      <c r="B215" s="3">
        <f t="shared" si="6"/>
        <v>214</v>
      </c>
      <c r="C215" s="57" t="s">
        <v>226</v>
      </c>
      <c r="D215" s="57" t="s">
        <v>58</v>
      </c>
      <c r="E215" s="57" t="s">
        <v>139</v>
      </c>
      <c r="F215" s="57" t="s">
        <v>163</v>
      </c>
      <c r="G215" s="57" t="s">
        <v>12</v>
      </c>
      <c r="H215" s="57" t="s">
        <v>208</v>
      </c>
      <c r="I215" s="87">
        <v>0.185</v>
      </c>
      <c r="J215" s="167">
        <v>47900.0</v>
      </c>
      <c r="K215" s="168">
        <v>46008.0</v>
      </c>
      <c r="L215" s="168">
        <v>46010.0</v>
      </c>
      <c r="M215" s="87">
        <f t="shared" si="38"/>
        <v>0.1713406979</v>
      </c>
      <c r="N215" s="111">
        <v>104.48</v>
      </c>
      <c r="O215" s="111">
        <v>4.5E8</v>
      </c>
      <c r="P215" s="27">
        <f t="shared" si="36"/>
        <v>497306739.1</v>
      </c>
      <c r="Q215" s="27">
        <f t="shared" si="23"/>
        <v>470160000</v>
      </c>
      <c r="R215" s="27">
        <f t="shared" si="14"/>
        <v>27146739.13</v>
      </c>
      <c r="S215" s="27"/>
      <c r="T215" s="87"/>
      <c r="U215" s="87"/>
      <c r="V215" s="57"/>
      <c r="W215" s="57"/>
      <c r="X215" s="57"/>
      <c r="Y215" s="57"/>
      <c r="Z215" s="57"/>
      <c r="AA215" s="57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  <c r="AN215" s="180"/>
      <c r="AO215" s="180"/>
      <c r="AP215" s="180"/>
    </row>
    <row r="216" ht="13.5" customHeight="1">
      <c r="A216" s="180"/>
      <c r="B216" s="3">
        <f t="shared" si="6"/>
        <v>215</v>
      </c>
      <c r="C216" s="57" t="s">
        <v>225</v>
      </c>
      <c r="D216" s="57" t="s">
        <v>58</v>
      </c>
      <c r="E216" s="57" t="s">
        <v>139</v>
      </c>
      <c r="F216" s="57" t="s">
        <v>163</v>
      </c>
      <c r="G216" s="57" t="s">
        <v>12</v>
      </c>
      <c r="H216" s="57" t="s">
        <v>208</v>
      </c>
      <c r="I216" s="87">
        <v>0.185</v>
      </c>
      <c r="J216" s="167">
        <v>47900.0</v>
      </c>
      <c r="K216" s="168">
        <v>46009.0</v>
      </c>
      <c r="L216" s="168">
        <v>46013.0</v>
      </c>
      <c r="M216" s="87">
        <f t="shared" si="38"/>
        <v>0.170338633</v>
      </c>
      <c r="N216" s="111">
        <v>104.82375</v>
      </c>
      <c r="O216" s="111">
        <v>4.5E8</v>
      </c>
      <c r="P216" s="27">
        <f t="shared" si="36"/>
        <v>499532282.6</v>
      </c>
      <c r="Q216" s="27">
        <f t="shared" si="23"/>
        <v>471706875</v>
      </c>
      <c r="R216" s="27">
        <f t="shared" si="14"/>
        <v>27825407.61</v>
      </c>
      <c r="S216" s="27"/>
      <c r="T216" s="87"/>
      <c r="U216" s="87"/>
      <c r="V216" s="57"/>
      <c r="W216" s="57"/>
      <c r="X216" s="57"/>
      <c r="Y216" s="57"/>
      <c r="Z216" s="57"/>
      <c r="AA216" s="57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  <c r="AN216" s="180"/>
      <c r="AO216" s="180"/>
      <c r="AP216" s="180"/>
    </row>
    <row r="217" ht="13.5" customHeight="1">
      <c r="A217" s="180"/>
      <c r="B217" s="3">
        <f t="shared" si="6"/>
        <v>216</v>
      </c>
      <c r="C217" s="57" t="s">
        <v>110</v>
      </c>
      <c r="D217" s="57" t="s">
        <v>58</v>
      </c>
      <c r="E217" s="57" t="s">
        <v>139</v>
      </c>
      <c r="F217" s="57" t="s">
        <v>163</v>
      </c>
      <c r="G217" s="57" t="s">
        <v>12</v>
      </c>
      <c r="H217" s="57" t="s">
        <v>228</v>
      </c>
      <c r="I217" s="87"/>
      <c r="J217" s="167">
        <v>46226.0</v>
      </c>
      <c r="K217" s="168">
        <v>46037.0</v>
      </c>
      <c r="L217" s="168">
        <v>46041.0</v>
      </c>
      <c r="M217" s="87">
        <v>0.16</v>
      </c>
      <c r="N217" s="111">
        <f t="shared" ref="N217:N220" si="39">PRICEDISC(L217,J217,M217,100,1)</f>
        <v>91.89041096</v>
      </c>
      <c r="O217" s="111">
        <v>1.0E9</v>
      </c>
      <c r="P217" s="27">
        <f t="shared" si="36"/>
        <v>918904109.6</v>
      </c>
      <c r="Q217" s="27">
        <f t="shared" si="23"/>
        <v>918904109.6</v>
      </c>
      <c r="R217" s="27" t="str">
        <f t="shared" si="14"/>
        <v/>
      </c>
      <c r="S217" s="27"/>
      <c r="T217" s="87"/>
      <c r="U217" s="87"/>
      <c r="V217" s="57"/>
      <c r="W217" s="57"/>
      <c r="X217" s="57"/>
      <c r="Y217" s="57"/>
      <c r="Z217" s="57"/>
      <c r="AA217" s="57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  <c r="AN217" s="180"/>
      <c r="AO217" s="180"/>
      <c r="AP217" s="180"/>
    </row>
    <row r="218" ht="13.5" customHeight="1">
      <c r="A218" s="180"/>
      <c r="B218" s="3">
        <f t="shared" si="6"/>
        <v>217</v>
      </c>
      <c r="C218" s="57" t="s">
        <v>92</v>
      </c>
      <c r="D218" s="57" t="s">
        <v>58</v>
      </c>
      <c r="E218" s="57" t="s">
        <v>139</v>
      </c>
      <c r="F218" s="57" t="s">
        <v>163</v>
      </c>
      <c r="G218" s="57" t="s">
        <v>12</v>
      </c>
      <c r="H218" s="57" t="s">
        <v>229</v>
      </c>
      <c r="I218" s="87"/>
      <c r="J218" s="167">
        <v>46191.0</v>
      </c>
      <c r="K218" s="168">
        <v>46037.0</v>
      </c>
      <c r="L218" s="168">
        <v>46041.0</v>
      </c>
      <c r="M218" s="87">
        <v>0.16</v>
      </c>
      <c r="N218" s="111">
        <f t="shared" si="39"/>
        <v>93.42465753</v>
      </c>
      <c r="O218" s="111">
        <v>6.0E8</v>
      </c>
      <c r="P218" s="27">
        <f t="shared" si="36"/>
        <v>560547945.2</v>
      </c>
      <c r="Q218" s="27">
        <f t="shared" si="23"/>
        <v>560547945.2</v>
      </c>
      <c r="R218" s="27" t="str">
        <f t="shared" si="14"/>
        <v/>
      </c>
      <c r="S218" s="27"/>
      <c r="T218" s="87"/>
      <c r="U218" s="87"/>
      <c r="V218" s="57"/>
      <c r="W218" s="57"/>
      <c r="X218" s="57"/>
      <c r="Y218" s="57"/>
      <c r="Z218" s="57"/>
      <c r="AA218" s="57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  <c r="AN218" s="180"/>
      <c r="AO218" s="180"/>
      <c r="AP218" s="180"/>
    </row>
    <row r="219" ht="13.5" customHeight="1">
      <c r="A219" s="179"/>
      <c r="B219" s="3" t="str">
        <f>#REF!+1</f>
        <v>#REF!</v>
      </c>
      <c r="C219" s="72" t="s">
        <v>111</v>
      </c>
      <c r="D219" s="72" t="s">
        <v>58</v>
      </c>
      <c r="E219" s="72" t="s">
        <v>139</v>
      </c>
      <c r="F219" s="72" t="s">
        <v>163</v>
      </c>
      <c r="G219" s="72" t="s">
        <v>14</v>
      </c>
      <c r="H219" s="72" t="s">
        <v>221</v>
      </c>
      <c r="I219" s="169"/>
      <c r="J219" s="223">
        <v>46331.0</v>
      </c>
      <c r="K219" s="224">
        <v>46045.0</v>
      </c>
      <c r="L219" s="224">
        <v>46048.0</v>
      </c>
      <c r="M219" s="169">
        <v>0.1715</v>
      </c>
      <c r="N219" s="171">
        <f t="shared" si="39"/>
        <v>86.70287671</v>
      </c>
      <c r="O219" s="111">
        <v>6.0E8</v>
      </c>
      <c r="P219" s="27">
        <f t="shared" si="36"/>
        <v>520217260.3</v>
      </c>
      <c r="Q219" s="172">
        <f t="shared" si="23"/>
        <v>520217260.3</v>
      </c>
      <c r="R219" s="172" t="str">
        <f t="shared" ref="R219:R220" si="40">IFERROR(ACCRINT(COUPPCD(L219,J219,2,1),COUPNCD(L219,J219,2,0),L219,I219,100,2,1),"")</f>
        <v/>
      </c>
      <c r="S219" s="172"/>
      <c r="T219" s="169"/>
      <c r="U219" s="169"/>
      <c r="V219" s="72"/>
      <c r="W219" s="72"/>
      <c r="X219" s="72"/>
      <c r="Y219" s="72"/>
      <c r="Z219" s="72"/>
      <c r="AA219" s="72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</row>
    <row r="220" ht="13.5" customHeight="1">
      <c r="A220" s="179"/>
      <c r="B220" s="3" t="str">
        <f t="shared" ref="B220:B251" si="41">B219+1</f>
        <v>#REF!</v>
      </c>
      <c r="C220" s="72" t="s">
        <v>83</v>
      </c>
      <c r="D220" s="72" t="s">
        <v>58</v>
      </c>
      <c r="E220" s="72" t="s">
        <v>139</v>
      </c>
      <c r="F220" s="72" t="s">
        <v>163</v>
      </c>
      <c r="G220" s="72" t="s">
        <v>14</v>
      </c>
      <c r="H220" s="72" t="s">
        <v>221</v>
      </c>
      <c r="I220" s="169"/>
      <c r="J220" s="223">
        <v>46331.0</v>
      </c>
      <c r="K220" s="224">
        <v>46045.0</v>
      </c>
      <c r="L220" s="224">
        <v>46048.0</v>
      </c>
      <c r="M220" s="169">
        <v>0.175</v>
      </c>
      <c r="N220" s="171">
        <f t="shared" si="39"/>
        <v>86.43150685</v>
      </c>
      <c r="O220" s="111">
        <v>6.0E8</v>
      </c>
      <c r="P220" s="27">
        <f t="shared" si="36"/>
        <v>518589041.1</v>
      </c>
      <c r="Q220" s="172">
        <f t="shared" si="23"/>
        <v>518589041.1</v>
      </c>
      <c r="R220" s="172" t="str">
        <f t="shared" si="40"/>
        <v/>
      </c>
      <c r="S220" s="172"/>
      <c r="T220" s="169"/>
      <c r="U220" s="169"/>
      <c r="V220" s="72"/>
      <c r="W220" s="72"/>
      <c r="X220" s="72"/>
      <c r="Y220" s="72"/>
      <c r="Z220" s="72"/>
      <c r="AA220" s="72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  <c r="AN220" s="179"/>
      <c r="AO220" s="179"/>
      <c r="AP220" s="179"/>
    </row>
    <row r="221" ht="13.5" customHeight="1">
      <c r="A221" s="180"/>
      <c r="B221" s="3" t="str">
        <f t="shared" si="41"/>
        <v>#REF!</v>
      </c>
      <c r="C221" s="57" t="s">
        <v>111</v>
      </c>
      <c r="D221" s="57" t="s">
        <v>58</v>
      </c>
      <c r="E221" s="57" t="s">
        <v>139</v>
      </c>
      <c r="F221" s="57" t="s">
        <v>163</v>
      </c>
      <c r="G221" s="57" t="s">
        <v>12</v>
      </c>
      <c r="H221" s="57" t="s">
        <v>232</v>
      </c>
      <c r="I221" s="87">
        <v>0.19</v>
      </c>
      <c r="J221" s="167">
        <v>48996.0</v>
      </c>
      <c r="K221" s="168">
        <v>46064.0</v>
      </c>
      <c r="L221" s="168">
        <v>46066.0</v>
      </c>
      <c r="M221" s="87">
        <f t="shared" ref="M221:M246" si="42">IFERROR(YIELD(L221,J221,I221,N221,100,2,1),"")</f>
        <v>0.165507028</v>
      </c>
      <c r="N221" s="111">
        <v>110.65</v>
      </c>
      <c r="O221" s="111">
        <v>1.0E9</v>
      </c>
      <c r="P221" s="27">
        <f t="shared" si="36"/>
        <v>1197369565</v>
      </c>
      <c r="Q221" s="27">
        <f t="shared" si="23"/>
        <v>1106500000</v>
      </c>
      <c r="R221" s="27">
        <f t="shared" ref="R221:R246" si="43">IFERROR(ACCRINT(COUPPCD(L221,J221,2,1),COUPNCD(L221,J221,2,0),L221,I221,O221,2,1),"")</f>
        <v>90869565.22</v>
      </c>
      <c r="S221" s="27"/>
      <c r="T221" s="87"/>
      <c r="U221" s="87"/>
      <c r="V221" s="57"/>
      <c r="W221" s="57"/>
      <c r="X221" s="57"/>
      <c r="Y221" s="57"/>
      <c r="Z221" s="57"/>
      <c r="AA221" s="57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  <c r="AN221" s="180"/>
      <c r="AO221" s="180"/>
      <c r="AP221" s="180"/>
    </row>
    <row r="222" ht="13.5" customHeight="1">
      <c r="A222" s="180"/>
      <c r="B222" s="3" t="str">
        <f t="shared" si="41"/>
        <v>#REF!</v>
      </c>
      <c r="C222" s="57" t="s">
        <v>233</v>
      </c>
      <c r="D222" s="57" t="s">
        <v>58</v>
      </c>
      <c r="E222" s="57" t="s">
        <v>139</v>
      </c>
      <c r="F222" s="57" t="s">
        <v>163</v>
      </c>
      <c r="G222" s="57" t="s">
        <v>12</v>
      </c>
      <c r="H222" s="57" t="s">
        <v>232</v>
      </c>
      <c r="I222" s="87">
        <v>0.19</v>
      </c>
      <c r="J222" s="167">
        <v>48996.0</v>
      </c>
      <c r="K222" s="168">
        <v>46066.0</v>
      </c>
      <c r="L222" s="168">
        <v>46070.0</v>
      </c>
      <c r="M222" s="87">
        <f t="shared" si="42"/>
        <v>0.1664921774</v>
      </c>
      <c r="N222" s="111">
        <v>110.19</v>
      </c>
      <c r="O222" s="111">
        <v>3.55E8</v>
      </c>
      <c r="P222" s="27">
        <f t="shared" si="36"/>
        <v>424166347.8</v>
      </c>
      <c r="Q222" s="27">
        <f t="shared" si="23"/>
        <v>391174500</v>
      </c>
      <c r="R222" s="27">
        <f t="shared" si="43"/>
        <v>32991847.83</v>
      </c>
      <c r="S222" s="27"/>
      <c r="T222" s="87"/>
      <c r="U222" s="87"/>
      <c r="V222" s="57"/>
      <c r="W222" s="57"/>
      <c r="X222" s="57"/>
      <c r="Y222" s="57"/>
      <c r="Z222" s="57"/>
      <c r="AA222" s="57"/>
      <c r="AB222" s="180"/>
      <c r="AC222" s="180"/>
      <c r="AD222" s="180"/>
      <c r="AE222" s="180"/>
      <c r="AF222" s="180"/>
      <c r="AG222" s="180"/>
      <c r="AH222" s="180"/>
      <c r="AI222" s="180"/>
      <c r="AJ222" s="180"/>
      <c r="AK222" s="180"/>
      <c r="AL222" s="180"/>
      <c r="AM222" s="180"/>
      <c r="AN222" s="180"/>
      <c r="AO222" s="180"/>
      <c r="AP222" s="180"/>
    </row>
    <row r="223" ht="13.5" customHeight="1">
      <c r="A223" s="180"/>
      <c r="B223" s="3" t="str">
        <f t="shared" si="41"/>
        <v>#REF!</v>
      </c>
      <c r="C223" s="57" t="s">
        <v>225</v>
      </c>
      <c r="D223" s="57" t="s">
        <v>58</v>
      </c>
      <c r="E223" s="57" t="s">
        <v>139</v>
      </c>
      <c r="F223" s="57" t="s">
        <v>163</v>
      </c>
      <c r="G223" s="57" t="s">
        <v>12</v>
      </c>
      <c r="H223" s="57" t="s">
        <v>232</v>
      </c>
      <c r="I223" s="87">
        <v>0.19</v>
      </c>
      <c r="J223" s="167">
        <v>48996.0</v>
      </c>
      <c r="K223" s="168">
        <v>46066.0</v>
      </c>
      <c r="L223" s="168">
        <v>46070.0</v>
      </c>
      <c r="M223" s="87">
        <f t="shared" si="42"/>
        <v>0.1668922483</v>
      </c>
      <c r="N223" s="111">
        <v>110.00375</v>
      </c>
      <c r="O223" s="111">
        <v>3.5E8</v>
      </c>
      <c r="P223" s="27">
        <f t="shared" si="36"/>
        <v>417540298.9</v>
      </c>
      <c r="Q223" s="27">
        <f t="shared" si="23"/>
        <v>385013125</v>
      </c>
      <c r="R223" s="27">
        <f t="shared" si="43"/>
        <v>32527173.91</v>
      </c>
      <c r="S223" s="27"/>
      <c r="T223" s="87"/>
      <c r="U223" s="87"/>
      <c r="V223" s="57"/>
      <c r="W223" s="57"/>
      <c r="X223" s="57"/>
      <c r="Y223" s="57"/>
      <c r="Z223" s="57"/>
      <c r="AA223" s="57"/>
      <c r="AB223" s="180"/>
      <c r="AC223" s="180"/>
      <c r="AD223" s="180"/>
      <c r="AE223" s="180"/>
      <c r="AF223" s="180"/>
      <c r="AG223" s="180"/>
      <c r="AH223" s="180"/>
      <c r="AI223" s="180"/>
      <c r="AJ223" s="180"/>
      <c r="AK223" s="180"/>
      <c r="AL223" s="180"/>
      <c r="AM223" s="180"/>
      <c r="AN223" s="180"/>
      <c r="AO223" s="180"/>
      <c r="AP223" s="180"/>
    </row>
    <row r="224" ht="13.5" customHeight="1">
      <c r="A224" s="179"/>
      <c r="B224" s="3" t="str">
        <f t="shared" si="41"/>
        <v>#REF!</v>
      </c>
      <c r="C224" s="51" t="s">
        <v>126</v>
      </c>
      <c r="D224" s="72" t="s">
        <v>58</v>
      </c>
      <c r="E224" s="72" t="s">
        <v>139</v>
      </c>
      <c r="F224" s="51" t="s">
        <v>153</v>
      </c>
      <c r="G224" s="72" t="s">
        <v>12</v>
      </c>
      <c r="H224" s="72" t="s">
        <v>208</v>
      </c>
      <c r="I224" s="169">
        <v>0.185</v>
      </c>
      <c r="J224" s="223">
        <v>47900.0</v>
      </c>
      <c r="K224" s="224">
        <v>46078.0</v>
      </c>
      <c r="L224" s="224">
        <v>46084.0</v>
      </c>
      <c r="M224" s="87">
        <f t="shared" si="42"/>
        <v>0.1578536304</v>
      </c>
      <c r="N224" s="171">
        <v>109.1</v>
      </c>
      <c r="O224" s="111">
        <v>7.0E8</v>
      </c>
      <c r="P224" s="27">
        <f t="shared" si="36"/>
        <v>767277348.1</v>
      </c>
      <c r="Q224" s="172">
        <f t="shared" si="23"/>
        <v>763700000</v>
      </c>
      <c r="R224" s="172">
        <f t="shared" si="43"/>
        <v>3577348.066</v>
      </c>
      <c r="S224" s="172"/>
      <c r="T224" s="169"/>
      <c r="U224" s="169"/>
      <c r="V224" s="72"/>
      <c r="W224" s="72"/>
      <c r="X224" s="72"/>
      <c r="Y224" s="72"/>
      <c r="Z224" s="72"/>
      <c r="AA224" s="72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</row>
    <row r="225" ht="13.5" customHeight="1">
      <c r="A225" s="179"/>
      <c r="B225" s="3" t="str">
        <f t="shared" si="41"/>
        <v>#REF!</v>
      </c>
      <c r="C225" s="72" t="s">
        <v>225</v>
      </c>
      <c r="D225" s="72" t="s">
        <v>58</v>
      </c>
      <c r="E225" s="72" t="s">
        <v>139</v>
      </c>
      <c r="F225" s="51" t="s">
        <v>153</v>
      </c>
      <c r="G225" s="72" t="s">
        <v>12</v>
      </c>
      <c r="H225" s="72" t="s">
        <v>201</v>
      </c>
      <c r="I225" s="169">
        <v>0.1989</v>
      </c>
      <c r="J225" s="223">
        <v>48714.0</v>
      </c>
      <c r="K225" s="224">
        <v>46078.0</v>
      </c>
      <c r="L225" s="224">
        <v>46084.0</v>
      </c>
      <c r="M225" s="87">
        <f t="shared" si="42"/>
        <v>0.1570013796</v>
      </c>
      <c r="N225" s="171">
        <v>117.61</v>
      </c>
      <c r="O225" s="111">
        <v>3.0E8</v>
      </c>
      <c r="P225" s="27">
        <f t="shared" si="36"/>
        <v>370632099.4</v>
      </c>
      <c r="Q225" s="172">
        <f t="shared" si="23"/>
        <v>352830000</v>
      </c>
      <c r="R225" s="172">
        <f t="shared" si="43"/>
        <v>17802099.45</v>
      </c>
      <c r="S225" s="172"/>
      <c r="T225" s="169"/>
      <c r="U225" s="169"/>
      <c r="V225" s="72"/>
      <c r="W225" s="72"/>
      <c r="X225" s="72"/>
      <c r="Y225" s="72"/>
      <c r="Z225" s="72"/>
      <c r="AA225" s="72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</row>
    <row r="226" ht="13.5" customHeight="1">
      <c r="A226" s="179"/>
      <c r="B226" s="3" t="str">
        <f t="shared" si="41"/>
        <v>#REF!</v>
      </c>
      <c r="C226" s="72" t="s">
        <v>225</v>
      </c>
      <c r="D226" s="72" t="s">
        <v>58</v>
      </c>
      <c r="E226" s="72" t="s">
        <v>139</v>
      </c>
      <c r="F226" s="51" t="s">
        <v>153</v>
      </c>
      <c r="G226" s="72" t="s">
        <v>12</v>
      </c>
      <c r="H226" s="72" t="s">
        <v>223</v>
      </c>
      <c r="I226" s="169">
        <v>0.1795</v>
      </c>
      <c r="J226" s="223">
        <v>48390.0</v>
      </c>
      <c r="K226" s="224">
        <v>46079.0</v>
      </c>
      <c r="L226" s="224">
        <v>46085.0</v>
      </c>
      <c r="M226" s="87">
        <f t="shared" si="42"/>
        <v>0.1564957878</v>
      </c>
      <c r="N226" s="171">
        <v>108.94</v>
      </c>
      <c r="O226" s="111">
        <v>9.0E8</v>
      </c>
      <c r="P226" s="27">
        <f t="shared" si="36"/>
        <v>1011083489</v>
      </c>
      <c r="Q226" s="172">
        <f t="shared" si="23"/>
        <v>980460000</v>
      </c>
      <c r="R226" s="172">
        <f t="shared" si="43"/>
        <v>30623489.01</v>
      </c>
      <c r="S226" s="172"/>
      <c r="T226" s="169"/>
      <c r="U226" s="169"/>
      <c r="V226" s="72"/>
      <c r="W226" s="72"/>
      <c r="X226" s="72"/>
      <c r="Y226" s="72"/>
      <c r="Z226" s="72"/>
      <c r="AA226" s="72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</row>
    <row r="227" ht="13.5" customHeight="1">
      <c r="A227" s="179"/>
      <c r="B227" s="3" t="str">
        <f t="shared" si="41"/>
        <v>#REF!</v>
      </c>
      <c r="C227" s="51" t="s">
        <v>126</v>
      </c>
      <c r="D227" s="72" t="s">
        <v>58</v>
      </c>
      <c r="E227" s="72" t="s">
        <v>139</v>
      </c>
      <c r="F227" s="51" t="s">
        <v>153</v>
      </c>
      <c r="G227" s="72" t="s">
        <v>14</v>
      </c>
      <c r="H227" s="72" t="s">
        <v>201</v>
      </c>
      <c r="I227" s="169">
        <v>0.1989</v>
      </c>
      <c r="J227" s="223">
        <v>48714.0</v>
      </c>
      <c r="K227" s="224">
        <v>46108.0</v>
      </c>
      <c r="L227" s="224">
        <v>46112.0</v>
      </c>
      <c r="M227" s="87">
        <f t="shared" si="42"/>
        <v>0.1651138947</v>
      </c>
      <c r="N227" s="171">
        <v>113.78</v>
      </c>
      <c r="O227" s="111">
        <v>2.0E9</v>
      </c>
      <c r="P227" s="27">
        <f t="shared" si="36"/>
        <v>2425049724</v>
      </c>
      <c r="Q227" s="172">
        <f t="shared" si="23"/>
        <v>2275600000</v>
      </c>
      <c r="R227" s="172">
        <f t="shared" si="43"/>
        <v>149449723.8</v>
      </c>
      <c r="S227" s="172"/>
      <c r="T227" s="169"/>
      <c r="U227" s="169"/>
      <c r="V227" s="72"/>
      <c r="W227" s="72"/>
      <c r="X227" s="72"/>
      <c r="Y227" s="72"/>
      <c r="Z227" s="72"/>
      <c r="AA227" s="72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</row>
    <row r="228" ht="13.5" customHeight="1">
      <c r="A228" s="179"/>
      <c r="B228" s="3" t="str">
        <f t="shared" si="41"/>
        <v>#REF!</v>
      </c>
      <c r="C228" s="51" t="s">
        <v>123</v>
      </c>
      <c r="D228" s="72" t="s">
        <v>58</v>
      </c>
      <c r="E228" s="72" t="s">
        <v>139</v>
      </c>
      <c r="F228" s="51" t="s">
        <v>153</v>
      </c>
      <c r="G228" s="72" t="s">
        <v>14</v>
      </c>
      <c r="H228" s="72" t="s">
        <v>201</v>
      </c>
      <c r="I228" s="169">
        <v>0.1989</v>
      </c>
      <c r="J228" s="223">
        <v>48714.0</v>
      </c>
      <c r="K228" s="224">
        <v>46108.0</v>
      </c>
      <c r="L228" s="224">
        <v>46112.0</v>
      </c>
      <c r="M228" s="87">
        <f t="shared" si="42"/>
        <v>0.1651138947</v>
      </c>
      <c r="N228" s="171">
        <v>113.78</v>
      </c>
      <c r="O228" s="111">
        <v>3.0E9</v>
      </c>
      <c r="P228" s="27">
        <f t="shared" si="36"/>
        <v>3637574586</v>
      </c>
      <c r="Q228" s="172">
        <f t="shared" si="23"/>
        <v>3413400000</v>
      </c>
      <c r="R228" s="172">
        <f t="shared" si="43"/>
        <v>224174585.6</v>
      </c>
      <c r="S228" s="172"/>
      <c r="T228" s="169"/>
      <c r="U228" s="169"/>
      <c r="V228" s="72"/>
      <c r="W228" s="72"/>
      <c r="X228" s="72"/>
      <c r="Y228" s="72"/>
      <c r="Z228" s="72"/>
      <c r="AA228" s="72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</row>
    <row r="229" ht="13.5" customHeight="1">
      <c r="A229" s="180"/>
      <c r="B229" s="3" t="str">
        <f t="shared" si="41"/>
        <v>#REF!</v>
      </c>
      <c r="C229" s="57" t="s">
        <v>225</v>
      </c>
      <c r="D229" s="57" t="s">
        <v>58</v>
      </c>
      <c r="E229" s="57" t="s">
        <v>139</v>
      </c>
      <c r="F229" s="51" t="s">
        <v>153</v>
      </c>
      <c r="G229" s="72" t="s">
        <v>14</v>
      </c>
      <c r="H229" s="57" t="s">
        <v>232</v>
      </c>
      <c r="I229" s="87">
        <v>0.19</v>
      </c>
      <c r="J229" s="167">
        <v>48996.0</v>
      </c>
      <c r="K229" s="224">
        <v>46108.0</v>
      </c>
      <c r="L229" s="224">
        <v>46112.0</v>
      </c>
      <c r="M229" s="87">
        <f t="shared" si="42"/>
        <v>0.1628011668</v>
      </c>
      <c r="N229" s="111">
        <v>111.79</v>
      </c>
      <c r="O229" s="111">
        <v>2.5E9</v>
      </c>
      <c r="P229" s="27">
        <f t="shared" si="36"/>
        <v>2844611878</v>
      </c>
      <c r="Q229" s="27">
        <f t="shared" si="23"/>
        <v>2794750000</v>
      </c>
      <c r="R229" s="27">
        <f t="shared" si="43"/>
        <v>49861878.45</v>
      </c>
      <c r="S229" s="27"/>
      <c r="T229" s="87"/>
      <c r="U229" s="87"/>
      <c r="V229" s="57"/>
      <c r="W229" s="57"/>
      <c r="X229" s="57"/>
      <c r="Y229" s="57"/>
      <c r="Z229" s="57"/>
      <c r="AA229" s="57"/>
      <c r="AB229" s="180"/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  <c r="AN229" s="180"/>
      <c r="AO229" s="180"/>
      <c r="AP229" s="180"/>
    </row>
    <row r="230" ht="13.5" customHeight="1">
      <c r="B230" s="3" t="str">
        <f t="shared" si="41"/>
        <v>#REF!</v>
      </c>
      <c r="C230" s="57" t="s">
        <v>233</v>
      </c>
      <c r="D230" s="1" t="s">
        <v>58</v>
      </c>
      <c r="E230" s="1" t="s">
        <v>139</v>
      </c>
      <c r="F230" s="51" t="s">
        <v>153</v>
      </c>
      <c r="G230" s="72" t="s">
        <v>14</v>
      </c>
      <c r="H230" s="1" t="s">
        <v>220</v>
      </c>
      <c r="I230" s="62">
        <v>0.13</v>
      </c>
      <c r="J230" s="52">
        <v>51887.0</v>
      </c>
      <c r="K230" s="224">
        <v>46108.0</v>
      </c>
      <c r="L230" s="224">
        <v>46111.0</v>
      </c>
      <c r="M230" s="62">
        <f t="shared" si="42"/>
        <v>0.149088112</v>
      </c>
      <c r="N230" s="63">
        <v>88.46</v>
      </c>
      <c r="O230" s="111">
        <v>2.5E8</v>
      </c>
      <c r="P230" s="27">
        <f t="shared" si="36"/>
        <v>227254972.4</v>
      </c>
      <c r="Q230" s="15">
        <f t="shared" si="23"/>
        <v>221150000</v>
      </c>
      <c r="R230" s="15">
        <f t="shared" si="43"/>
        <v>6104972.376</v>
      </c>
      <c r="S230" s="15"/>
      <c r="T230" s="62"/>
      <c r="U230" s="62"/>
      <c r="V230" s="1"/>
      <c r="W230" s="1"/>
      <c r="X230" s="1"/>
      <c r="Y230" s="1"/>
      <c r="Z230" s="1"/>
      <c r="AA230" s="1"/>
    </row>
    <row r="231" ht="13.5" customHeight="1">
      <c r="A231" s="180"/>
      <c r="B231" s="3" t="str">
        <f t="shared" si="41"/>
        <v>#REF!</v>
      </c>
      <c r="C231" s="57" t="s">
        <v>233</v>
      </c>
      <c r="D231" s="57" t="s">
        <v>58</v>
      </c>
      <c r="E231" s="57" t="s">
        <v>139</v>
      </c>
      <c r="F231" s="51" t="s">
        <v>153</v>
      </c>
      <c r="G231" s="72" t="s">
        <v>14</v>
      </c>
      <c r="H231" s="57" t="s">
        <v>208</v>
      </c>
      <c r="I231" s="87">
        <v>0.185</v>
      </c>
      <c r="J231" s="167">
        <v>47900.0</v>
      </c>
      <c r="K231" s="168">
        <v>46111.0</v>
      </c>
      <c r="L231" s="168">
        <v>46113.0</v>
      </c>
      <c r="M231" s="87">
        <f t="shared" si="42"/>
        <v>0.1661410704</v>
      </c>
      <c r="N231" s="111">
        <v>106.09</v>
      </c>
      <c r="O231" s="111">
        <v>3.0E9</v>
      </c>
      <c r="P231" s="27">
        <f t="shared" si="36"/>
        <v>3242492818</v>
      </c>
      <c r="Q231" s="27">
        <f t="shared" si="23"/>
        <v>3182700000</v>
      </c>
      <c r="R231" s="27">
        <f t="shared" si="43"/>
        <v>59792817.68</v>
      </c>
      <c r="S231" s="27"/>
      <c r="T231" s="87"/>
      <c r="U231" s="87"/>
      <c r="V231" s="57"/>
      <c r="W231" s="57"/>
      <c r="X231" s="57"/>
      <c r="Y231" s="57"/>
      <c r="Z231" s="57"/>
      <c r="AA231" s="57"/>
      <c r="AB231" s="180"/>
      <c r="AC231" s="180"/>
      <c r="AD231" s="180"/>
      <c r="AE231" s="180"/>
      <c r="AF231" s="180"/>
      <c r="AG231" s="180"/>
      <c r="AH231" s="180"/>
      <c r="AI231" s="180"/>
      <c r="AJ231" s="180"/>
      <c r="AK231" s="180"/>
      <c r="AL231" s="180"/>
      <c r="AM231" s="180"/>
      <c r="AN231" s="180"/>
      <c r="AO231" s="180"/>
      <c r="AP231" s="180"/>
    </row>
    <row r="232" ht="13.5" customHeight="1">
      <c r="A232" s="179"/>
      <c r="B232" s="3" t="str">
        <f t="shared" si="41"/>
        <v>#REF!</v>
      </c>
      <c r="C232" s="72" t="s">
        <v>225</v>
      </c>
      <c r="D232" s="72" t="s">
        <v>58</v>
      </c>
      <c r="E232" s="72" t="s">
        <v>139</v>
      </c>
      <c r="F232" s="51" t="s">
        <v>153</v>
      </c>
      <c r="G232" s="72" t="s">
        <v>14</v>
      </c>
      <c r="H232" s="72" t="s">
        <v>223</v>
      </c>
      <c r="I232" s="169">
        <v>0.1795</v>
      </c>
      <c r="J232" s="223">
        <v>48390.0</v>
      </c>
      <c r="K232" s="168">
        <v>46111.0</v>
      </c>
      <c r="L232" s="224">
        <v>46112.0</v>
      </c>
      <c r="M232" s="87">
        <f t="shared" si="42"/>
        <v>0.1629880919</v>
      </c>
      <c r="N232" s="171">
        <v>106.23</v>
      </c>
      <c r="O232" s="111">
        <v>5.0E8</v>
      </c>
      <c r="P232" s="27">
        <f t="shared" si="36"/>
        <v>554820329.7</v>
      </c>
      <c r="Q232" s="172">
        <f t="shared" si="23"/>
        <v>531150000</v>
      </c>
      <c r="R232" s="172">
        <f t="shared" si="43"/>
        <v>23670329.67</v>
      </c>
      <c r="S232" s="172"/>
      <c r="T232" s="169"/>
      <c r="U232" s="169"/>
      <c r="V232" s="72"/>
      <c r="W232" s="72"/>
      <c r="X232" s="72"/>
      <c r="Y232" s="72"/>
      <c r="Z232" s="72"/>
      <c r="AA232" s="72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</row>
    <row r="233" ht="13.5" customHeight="1">
      <c r="A233" s="180"/>
      <c r="B233" s="3" t="str">
        <f t="shared" si="41"/>
        <v>#REF!</v>
      </c>
      <c r="C233" s="72" t="s">
        <v>225</v>
      </c>
      <c r="D233" s="57" t="s">
        <v>58</v>
      </c>
      <c r="E233" s="57" t="s">
        <v>139</v>
      </c>
      <c r="F233" s="51" t="s">
        <v>153</v>
      </c>
      <c r="G233" s="72" t="s">
        <v>14</v>
      </c>
      <c r="H233" s="57" t="s">
        <v>208</v>
      </c>
      <c r="I233" s="87">
        <v>0.185</v>
      </c>
      <c r="J233" s="167">
        <v>47900.0</v>
      </c>
      <c r="K233" s="168">
        <v>46111.0</v>
      </c>
      <c r="L233" s="224">
        <v>46112.0</v>
      </c>
      <c r="M233" s="87">
        <f t="shared" si="42"/>
        <v>0.1657988037</v>
      </c>
      <c r="N233" s="111">
        <v>106.21</v>
      </c>
      <c r="O233" s="111">
        <v>2.0E9</v>
      </c>
      <c r="P233" s="27">
        <f t="shared" si="36"/>
        <v>2163039779</v>
      </c>
      <c r="Q233" s="27">
        <f t="shared" si="23"/>
        <v>2124200000</v>
      </c>
      <c r="R233" s="27">
        <f t="shared" si="43"/>
        <v>38839779.01</v>
      </c>
      <c r="S233" s="27"/>
      <c r="T233" s="87"/>
      <c r="U233" s="87"/>
      <c r="V233" s="57"/>
      <c r="W233" s="57"/>
      <c r="X233" s="57"/>
      <c r="Y233" s="57"/>
      <c r="Z233" s="57"/>
      <c r="AA233" s="57"/>
      <c r="AB233" s="180"/>
      <c r="AC233" s="180"/>
      <c r="AD233" s="180"/>
      <c r="AE233" s="180"/>
      <c r="AF233" s="180"/>
      <c r="AG233" s="180"/>
      <c r="AH233" s="180"/>
      <c r="AI233" s="180"/>
      <c r="AJ233" s="180"/>
      <c r="AK233" s="180"/>
      <c r="AL233" s="180"/>
      <c r="AM233" s="180"/>
      <c r="AN233" s="180"/>
      <c r="AO233" s="180"/>
      <c r="AP233" s="180"/>
    </row>
    <row r="234" ht="13.5" customHeight="1">
      <c r="A234" s="146"/>
      <c r="B234" s="3" t="str">
        <f t="shared" si="41"/>
        <v>#REF!</v>
      </c>
      <c r="C234" s="141" t="s">
        <v>126</v>
      </c>
      <c r="D234" s="141" t="s">
        <v>58</v>
      </c>
      <c r="E234" s="141" t="s">
        <v>139</v>
      </c>
      <c r="F234" s="141" t="s">
        <v>230</v>
      </c>
      <c r="G234" s="141" t="s">
        <v>14</v>
      </c>
      <c r="H234" s="141" t="s">
        <v>201</v>
      </c>
      <c r="I234" s="142">
        <v>0.1989</v>
      </c>
      <c r="J234" s="226">
        <v>48714.0</v>
      </c>
      <c r="K234" s="227">
        <v>46114.0</v>
      </c>
      <c r="L234" s="227">
        <v>46120.0</v>
      </c>
      <c r="M234" s="142">
        <f t="shared" si="42"/>
        <v>0.1661084969</v>
      </c>
      <c r="N234" s="144">
        <v>113.32</v>
      </c>
      <c r="O234" s="111">
        <v>4.5E8</v>
      </c>
      <c r="P234" s="27">
        <f t="shared" si="36"/>
        <v>545544198.9</v>
      </c>
      <c r="Q234" s="105">
        <f t="shared" si="23"/>
        <v>509940000</v>
      </c>
      <c r="R234" s="105">
        <f t="shared" si="43"/>
        <v>35604198.9</v>
      </c>
      <c r="S234" s="105"/>
      <c r="T234" s="142"/>
      <c r="U234" s="142"/>
      <c r="V234" s="141"/>
      <c r="W234" s="141"/>
      <c r="X234" s="141"/>
      <c r="Y234" s="141"/>
      <c r="Z234" s="141"/>
      <c r="AA234" s="141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</row>
    <row r="235" ht="13.5" customHeight="1">
      <c r="B235" s="3" t="str">
        <f t="shared" si="41"/>
        <v>#REF!</v>
      </c>
      <c r="C235" s="51" t="s">
        <v>123</v>
      </c>
      <c r="D235" s="72" t="s">
        <v>58</v>
      </c>
      <c r="E235" s="72" t="s">
        <v>139</v>
      </c>
      <c r="F235" s="51" t="s">
        <v>230</v>
      </c>
      <c r="G235" s="72" t="s">
        <v>14</v>
      </c>
      <c r="H235" s="57" t="s">
        <v>208</v>
      </c>
      <c r="I235" s="87">
        <v>0.185</v>
      </c>
      <c r="J235" s="167">
        <v>47900.0</v>
      </c>
      <c r="K235" s="224">
        <v>46114.0</v>
      </c>
      <c r="L235" s="224">
        <v>46120.0</v>
      </c>
      <c r="M235" s="87">
        <f t="shared" si="42"/>
        <v>0.165541493</v>
      </c>
      <c r="N235" s="171">
        <v>106.27</v>
      </c>
      <c r="O235" s="111">
        <v>1.0E9</v>
      </c>
      <c r="P235" s="27">
        <f t="shared" si="36"/>
        <v>1086208287</v>
      </c>
      <c r="Q235" s="172">
        <f t="shared" si="23"/>
        <v>1062700000</v>
      </c>
      <c r="R235" s="172">
        <f t="shared" si="43"/>
        <v>23508287.29</v>
      </c>
      <c r="S235" s="172"/>
      <c r="T235" s="169"/>
      <c r="U235" s="169"/>
      <c r="V235" s="72"/>
      <c r="W235" s="72"/>
      <c r="X235" s="72"/>
      <c r="Y235" s="72"/>
      <c r="Z235" s="72"/>
      <c r="AA235" s="72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</row>
    <row r="236" ht="13.5" customHeight="1">
      <c r="B236" s="3" t="str">
        <f t="shared" si="41"/>
        <v>#REF!</v>
      </c>
      <c r="C236" s="72" t="s">
        <v>225</v>
      </c>
      <c r="D236" s="72" t="s">
        <v>58</v>
      </c>
      <c r="E236" s="72" t="s">
        <v>139</v>
      </c>
      <c r="F236" s="51" t="s">
        <v>230</v>
      </c>
      <c r="G236" s="72" t="s">
        <v>14</v>
      </c>
      <c r="H236" s="57" t="s">
        <v>208</v>
      </c>
      <c r="I236" s="87">
        <v>0.185</v>
      </c>
      <c r="J236" s="167">
        <v>47900.0</v>
      </c>
      <c r="K236" s="224">
        <v>46114.0</v>
      </c>
      <c r="L236" s="224">
        <v>46120.0</v>
      </c>
      <c r="M236" s="87">
        <f t="shared" si="42"/>
        <v>0.165394527</v>
      </c>
      <c r="N236" s="171">
        <v>106.32</v>
      </c>
      <c r="O236" s="111">
        <v>1.0E9</v>
      </c>
      <c r="P236" s="27">
        <f t="shared" si="36"/>
        <v>1086708287</v>
      </c>
      <c r="Q236" s="172">
        <f t="shared" si="23"/>
        <v>1063200000</v>
      </c>
      <c r="R236" s="172">
        <f t="shared" si="43"/>
        <v>23508287.29</v>
      </c>
      <c r="S236" s="172"/>
      <c r="T236" s="169"/>
      <c r="U236" s="169"/>
      <c r="V236" s="72"/>
      <c r="W236" s="72"/>
      <c r="X236" s="72"/>
      <c r="Y236" s="72"/>
      <c r="Z236" s="72"/>
      <c r="AA236" s="72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</row>
    <row r="237" ht="13.5" customHeight="1">
      <c r="B237" s="3" t="str">
        <f t="shared" si="41"/>
        <v>#REF!</v>
      </c>
      <c r="C237" s="72" t="s">
        <v>225</v>
      </c>
      <c r="D237" s="72" t="s">
        <v>58</v>
      </c>
      <c r="E237" s="72" t="s">
        <v>139</v>
      </c>
      <c r="F237" s="51" t="s">
        <v>230</v>
      </c>
      <c r="G237" s="72" t="s">
        <v>14</v>
      </c>
      <c r="H237" s="72" t="s">
        <v>201</v>
      </c>
      <c r="I237" s="169">
        <v>0.1989</v>
      </c>
      <c r="J237" s="223">
        <v>48714.0</v>
      </c>
      <c r="K237" s="224">
        <v>46113.0</v>
      </c>
      <c r="L237" s="224">
        <v>46119.0</v>
      </c>
      <c r="M237" s="87">
        <f t="shared" si="42"/>
        <v>0.166402586</v>
      </c>
      <c r="N237" s="171">
        <v>113.19</v>
      </c>
      <c r="O237" s="111">
        <v>2.0E9</v>
      </c>
      <c r="P237" s="27">
        <f t="shared" si="36"/>
        <v>2420941989</v>
      </c>
      <c r="Q237" s="172">
        <f t="shared" si="23"/>
        <v>2263800000</v>
      </c>
      <c r="R237" s="172">
        <f t="shared" si="43"/>
        <v>157141989</v>
      </c>
      <c r="S237" s="172"/>
      <c r="T237" s="169"/>
      <c r="U237" s="169"/>
      <c r="V237" s="72"/>
      <c r="W237" s="72"/>
      <c r="X237" s="72"/>
      <c r="Y237" s="72"/>
      <c r="Z237" s="72"/>
      <c r="AA237" s="72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</row>
    <row r="238" ht="13.5" customHeight="1">
      <c r="B238" s="3" t="str">
        <f t="shared" si="41"/>
        <v>#REF!</v>
      </c>
      <c r="C238" s="72" t="s">
        <v>225</v>
      </c>
      <c r="D238" s="72" t="s">
        <v>58</v>
      </c>
      <c r="E238" s="72" t="s">
        <v>139</v>
      </c>
      <c r="F238" s="51" t="s">
        <v>230</v>
      </c>
      <c r="G238" s="72" t="s">
        <v>14</v>
      </c>
      <c r="H238" s="72" t="s">
        <v>201</v>
      </c>
      <c r="I238" s="169">
        <v>0.1989</v>
      </c>
      <c r="J238" s="223">
        <v>48714.0</v>
      </c>
      <c r="K238" s="224">
        <v>46113.0</v>
      </c>
      <c r="L238" s="224">
        <v>46120.0</v>
      </c>
      <c r="M238" s="87">
        <f t="shared" si="42"/>
        <v>0.1664888266</v>
      </c>
      <c r="N238" s="171">
        <v>113.15</v>
      </c>
      <c r="O238" s="111">
        <v>2.0E9</v>
      </c>
      <c r="P238" s="27">
        <f t="shared" si="36"/>
        <v>2421240884</v>
      </c>
      <c r="Q238" s="172">
        <f t="shared" si="23"/>
        <v>2263000000</v>
      </c>
      <c r="R238" s="172">
        <f t="shared" si="43"/>
        <v>158240884</v>
      </c>
      <c r="S238" s="172"/>
      <c r="T238" s="169"/>
      <c r="U238" s="169"/>
      <c r="V238" s="72"/>
      <c r="W238" s="72"/>
      <c r="X238" s="72"/>
      <c r="Y238" s="72"/>
      <c r="Z238" s="72"/>
      <c r="AA238" s="72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</row>
    <row r="239" ht="13.5" customHeight="1">
      <c r="B239" s="3" t="str">
        <f t="shared" si="41"/>
        <v>#REF!</v>
      </c>
      <c r="C239" s="72" t="s">
        <v>225</v>
      </c>
      <c r="D239" s="72" t="s">
        <v>58</v>
      </c>
      <c r="E239" s="72" t="s">
        <v>139</v>
      </c>
      <c r="F239" s="51" t="s">
        <v>230</v>
      </c>
      <c r="G239" s="72" t="s">
        <v>14</v>
      </c>
      <c r="H239" s="72" t="s">
        <v>201</v>
      </c>
      <c r="I239" s="169">
        <v>0.1989</v>
      </c>
      <c r="J239" s="223">
        <v>48714.0</v>
      </c>
      <c r="K239" s="224">
        <v>46113.0</v>
      </c>
      <c r="L239" s="224">
        <v>46119.0</v>
      </c>
      <c r="M239" s="87">
        <f t="shared" si="42"/>
        <v>0.1662907217</v>
      </c>
      <c r="N239" s="171">
        <v>113.24</v>
      </c>
      <c r="O239" s="111">
        <v>1.0E9</v>
      </c>
      <c r="P239" s="27">
        <f t="shared" si="36"/>
        <v>1210970994</v>
      </c>
      <c r="Q239" s="172">
        <f t="shared" si="23"/>
        <v>1132400000</v>
      </c>
      <c r="R239" s="172">
        <f t="shared" si="43"/>
        <v>78570994.48</v>
      </c>
      <c r="S239" s="172"/>
      <c r="T239" s="169"/>
      <c r="U239" s="169"/>
      <c r="V239" s="72"/>
      <c r="W239" s="72"/>
      <c r="X239" s="72"/>
      <c r="Y239" s="72"/>
      <c r="Z239" s="72"/>
      <c r="AA239" s="72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</row>
    <row r="240" ht="13.5" customHeight="1">
      <c r="B240" s="3" t="str">
        <f t="shared" si="41"/>
        <v>#REF!</v>
      </c>
      <c r="C240" s="72" t="s">
        <v>225</v>
      </c>
      <c r="D240" s="72" t="s">
        <v>58</v>
      </c>
      <c r="E240" s="72" t="s">
        <v>139</v>
      </c>
      <c r="F240" s="51" t="s">
        <v>230</v>
      </c>
      <c r="G240" s="72" t="s">
        <v>14</v>
      </c>
      <c r="H240" s="72" t="s">
        <v>223</v>
      </c>
      <c r="I240" s="169">
        <v>0.1795</v>
      </c>
      <c r="J240" s="223">
        <v>48390.0</v>
      </c>
      <c r="K240" s="224">
        <v>46114.0</v>
      </c>
      <c r="L240" s="224">
        <v>46120.0</v>
      </c>
      <c r="M240" s="87">
        <f t="shared" si="42"/>
        <v>0.1648979494</v>
      </c>
      <c r="N240" s="171">
        <v>105.46</v>
      </c>
      <c r="O240" s="111">
        <v>1.1E9</v>
      </c>
      <c r="P240" s="27">
        <f t="shared" si="36"/>
        <v>1216474286</v>
      </c>
      <c r="Q240" s="172">
        <f t="shared" si="23"/>
        <v>1160060000</v>
      </c>
      <c r="R240" s="172">
        <f t="shared" si="43"/>
        <v>56414285.71</v>
      </c>
      <c r="S240" s="15"/>
      <c r="T240" s="62"/>
      <c r="U240" s="62"/>
      <c r="V240" s="1"/>
      <c r="W240" s="1"/>
      <c r="X240" s="1"/>
      <c r="Y240" s="1"/>
      <c r="Z240" s="1"/>
      <c r="AA240" s="1"/>
    </row>
    <row r="241" ht="13.5" customHeight="1">
      <c r="B241" s="3" t="str">
        <f t="shared" si="41"/>
        <v>#REF!</v>
      </c>
      <c r="C241" s="57" t="s">
        <v>225</v>
      </c>
      <c r="D241" s="57" t="s">
        <v>58</v>
      </c>
      <c r="E241" s="57" t="s">
        <v>139</v>
      </c>
      <c r="F241" s="51" t="s">
        <v>230</v>
      </c>
      <c r="G241" s="72" t="s">
        <v>14</v>
      </c>
      <c r="H241" s="57" t="s">
        <v>232</v>
      </c>
      <c r="I241" s="87">
        <v>0.19</v>
      </c>
      <c r="J241" s="167">
        <v>48996.0</v>
      </c>
      <c r="K241" s="224">
        <v>46114.0</v>
      </c>
      <c r="L241" s="224">
        <v>46120.0</v>
      </c>
      <c r="M241" s="87">
        <f t="shared" si="42"/>
        <v>0.1639994009</v>
      </c>
      <c r="N241" s="111">
        <v>111.2</v>
      </c>
      <c r="O241" s="111">
        <v>2.0E9</v>
      </c>
      <c r="P241" s="27">
        <f t="shared" si="36"/>
        <v>2272287293</v>
      </c>
      <c r="Q241" s="27">
        <f t="shared" si="23"/>
        <v>2224000000</v>
      </c>
      <c r="R241" s="27">
        <f t="shared" si="43"/>
        <v>48287292.82</v>
      </c>
      <c r="S241" s="15"/>
      <c r="T241" s="62"/>
      <c r="U241" s="62"/>
      <c r="V241" s="1"/>
      <c r="W241" s="1"/>
      <c r="X241" s="1"/>
      <c r="Y241" s="1"/>
      <c r="Z241" s="1"/>
      <c r="AA241" s="1"/>
    </row>
    <row r="242" ht="13.5" customHeight="1">
      <c r="B242" s="3" t="str">
        <f t="shared" si="41"/>
        <v>#REF!</v>
      </c>
      <c r="C242" s="57" t="s">
        <v>225</v>
      </c>
      <c r="D242" s="57" t="s">
        <v>58</v>
      </c>
      <c r="E242" s="57" t="s">
        <v>139</v>
      </c>
      <c r="F242" s="51" t="s">
        <v>230</v>
      </c>
      <c r="G242" s="72" t="s">
        <v>14</v>
      </c>
      <c r="H242" s="57" t="s">
        <v>232</v>
      </c>
      <c r="I242" s="87">
        <v>0.19</v>
      </c>
      <c r="J242" s="167">
        <v>48996.0</v>
      </c>
      <c r="K242" s="224">
        <v>46114.0</v>
      </c>
      <c r="L242" s="224">
        <v>46119.0</v>
      </c>
      <c r="M242" s="87">
        <f t="shared" si="42"/>
        <v>0.1641977313</v>
      </c>
      <c r="N242" s="111">
        <v>111.11</v>
      </c>
      <c r="O242" s="111">
        <v>1.405E9</v>
      </c>
      <c r="P242" s="27">
        <f t="shared" si="36"/>
        <v>1594279892</v>
      </c>
      <c r="Q242" s="27">
        <f t="shared" si="23"/>
        <v>1561095500</v>
      </c>
      <c r="R242" s="27">
        <f t="shared" si="43"/>
        <v>33184392.27</v>
      </c>
      <c r="S242" s="15"/>
      <c r="T242" s="62"/>
      <c r="U242" s="62"/>
      <c r="V242" s="1"/>
      <c r="W242" s="1"/>
      <c r="X242" s="1"/>
      <c r="Y242" s="1"/>
      <c r="Z242" s="1"/>
      <c r="AA242" s="1"/>
    </row>
    <row r="243" ht="13.5" customHeight="1">
      <c r="B243" s="3" t="str">
        <f t="shared" si="41"/>
        <v>#REF!</v>
      </c>
      <c r="C243" s="57" t="s">
        <v>225</v>
      </c>
      <c r="D243" s="57" t="s">
        <v>58</v>
      </c>
      <c r="E243" s="57" t="s">
        <v>139</v>
      </c>
      <c r="F243" s="51" t="s">
        <v>153</v>
      </c>
      <c r="G243" s="72" t="s">
        <v>14</v>
      </c>
      <c r="H243" s="57" t="s">
        <v>232</v>
      </c>
      <c r="I243" s="87">
        <v>0.19</v>
      </c>
      <c r="J243" s="167">
        <v>48996.0</v>
      </c>
      <c r="K243" s="224">
        <v>46108.0</v>
      </c>
      <c r="L243" s="224">
        <v>46111.0</v>
      </c>
      <c r="M243" s="87">
        <f t="shared" si="42"/>
        <v>0.1628081383</v>
      </c>
      <c r="N243" s="111">
        <v>111.79</v>
      </c>
      <c r="O243" s="111">
        <v>5.0E8</v>
      </c>
      <c r="P243" s="27">
        <f t="shared" si="36"/>
        <v>568659944.8</v>
      </c>
      <c r="Q243" s="27">
        <f t="shared" si="23"/>
        <v>558950000</v>
      </c>
      <c r="R243" s="27">
        <f t="shared" si="43"/>
        <v>9709944.751</v>
      </c>
      <c r="S243" s="15"/>
      <c r="T243" s="62"/>
      <c r="U243" s="62"/>
      <c r="V243" s="1"/>
      <c r="W243" s="1"/>
      <c r="X243" s="1"/>
      <c r="Y243" s="1"/>
      <c r="Z243" s="1"/>
      <c r="AA243" s="1"/>
    </row>
    <row r="244" ht="13.5" customHeight="1">
      <c r="B244" s="3" t="str">
        <f t="shared" si="41"/>
        <v>#REF!</v>
      </c>
      <c r="C244" s="57" t="s">
        <v>233</v>
      </c>
      <c r="D244" s="72" t="s">
        <v>58</v>
      </c>
      <c r="E244" s="72" t="s">
        <v>139</v>
      </c>
      <c r="F244" s="51" t="s">
        <v>230</v>
      </c>
      <c r="G244" s="72" t="s">
        <v>14</v>
      </c>
      <c r="H244" s="72" t="s">
        <v>223</v>
      </c>
      <c r="I244" s="169">
        <v>0.1795</v>
      </c>
      <c r="J244" s="223">
        <v>48390.0</v>
      </c>
      <c r="K244" s="224">
        <v>46114.0</v>
      </c>
      <c r="L244" s="224">
        <v>46119.0</v>
      </c>
      <c r="M244" s="87">
        <f t="shared" si="42"/>
        <v>0.1655346581</v>
      </c>
      <c r="N244" s="171">
        <v>105.21</v>
      </c>
      <c r="O244" s="111">
        <v>2.4E9</v>
      </c>
      <c r="P244" s="27">
        <f t="shared" si="36"/>
        <v>2646942198</v>
      </c>
      <c r="Q244" s="172">
        <f t="shared" si="23"/>
        <v>2525040000</v>
      </c>
      <c r="R244" s="172">
        <f t="shared" si="43"/>
        <v>121902197.8</v>
      </c>
      <c r="S244" s="15"/>
      <c r="T244" s="62"/>
      <c r="U244" s="62"/>
      <c r="V244" s="1"/>
      <c r="W244" s="1"/>
      <c r="X244" s="1"/>
      <c r="Y244" s="1"/>
      <c r="Z244" s="1"/>
      <c r="AA244" s="1"/>
    </row>
    <row r="245" ht="13.5" customHeight="1">
      <c r="B245" s="3" t="str">
        <f t="shared" si="41"/>
        <v>#REF!</v>
      </c>
      <c r="C245" s="51" t="s">
        <v>126</v>
      </c>
      <c r="D245" s="72" t="s">
        <v>58</v>
      </c>
      <c r="E245" s="72" t="s">
        <v>139</v>
      </c>
      <c r="F245" s="51" t="s">
        <v>230</v>
      </c>
      <c r="G245" s="72" t="s">
        <v>14</v>
      </c>
      <c r="H245" s="72" t="s">
        <v>223</v>
      </c>
      <c r="I245" s="169">
        <v>0.1795</v>
      </c>
      <c r="J245" s="223">
        <v>48390.0</v>
      </c>
      <c r="K245" s="224">
        <v>46114.0</v>
      </c>
      <c r="L245" s="224">
        <v>46119.0</v>
      </c>
      <c r="M245" s="87">
        <f t="shared" si="42"/>
        <v>0.1655346581</v>
      </c>
      <c r="N245" s="171">
        <v>105.21</v>
      </c>
      <c r="O245" s="111">
        <v>2.6E9</v>
      </c>
      <c r="P245" s="27">
        <f t="shared" si="36"/>
        <v>2867520714</v>
      </c>
      <c r="Q245" s="172">
        <f t="shared" si="23"/>
        <v>2735460000</v>
      </c>
      <c r="R245" s="172">
        <f t="shared" si="43"/>
        <v>132060714.3</v>
      </c>
      <c r="S245" s="15"/>
      <c r="T245" s="62"/>
      <c r="U245" s="62"/>
      <c r="V245" s="1"/>
      <c r="W245" s="1"/>
      <c r="X245" s="1"/>
      <c r="Y245" s="1"/>
      <c r="Z245" s="1"/>
      <c r="AA245" s="1"/>
    </row>
    <row r="246" ht="13.5" customHeight="1">
      <c r="B246" s="3" t="str">
        <f t="shared" si="41"/>
        <v>#REF!</v>
      </c>
      <c r="C246" s="57" t="s">
        <v>225</v>
      </c>
      <c r="D246" s="57" t="s">
        <v>58</v>
      </c>
      <c r="E246" s="57" t="s">
        <v>139</v>
      </c>
      <c r="F246" s="51" t="s">
        <v>230</v>
      </c>
      <c r="G246" s="72" t="s">
        <v>12</v>
      </c>
      <c r="H246" s="57" t="s">
        <v>232</v>
      </c>
      <c r="I246" s="87">
        <v>0.19</v>
      </c>
      <c r="J246" s="167">
        <v>48996.0</v>
      </c>
      <c r="K246" s="224">
        <v>46120.0</v>
      </c>
      <c r="L246" s="224">
        <v>46121.0</v>
      </c>
      <c r="M246" s="87">
        <f t="shared" si="42"/>
        <v>0.1622968183</v>
      </c>
      <c r="N246" s="111">
        <v>112.0</v>
      </c>
      <c r="O246" s="111">
        <v>5.0E8</v>
      </c>
      <c r="P246" s="27">
        <f t="shared" si="36"/>
        <v>572334254.1</v>
      </c>
      <c r="Q246" s="27">
        <f t="shared" si="23"/>
        <v>560000000</v>
      </c>
      <c r="R246" s="27">
        <f t="shared" si="43"/>
        <v>12334254.14</v>
      </c>
      <c r="S246" s="15"/>
      <c r="T246" s="62"/>
      <c r="U246" s="62"/>
      <c r="V246" s="1"/>
      <c r="W246" s="1"/>
      <c r="X246" s="1"/>
      <c r="Y246" s="1"/>
      <c r="Z246" s="1"/>
      <c r="AA246" s="1"/>
    </row>
    <row r="247" ht="13.5" customHeight="1">
      <c r="A247" s="179"/>
      <c r="B247" s="3" t="str">
        <f t="shared" si="41"/>
        <v>#REF!</v>
      </c>
      <c r="C247" s="72" t="s">
        <v>225</v>
      </c>
      <c r="D247" s="72" t="s">
        <v>58</v>
      </c>
      <c r="E247" s="72" t="s">
        <v>139</v>
      </c>
      <c r="F247" s="72" t="s">
        <v>230</v>
      </c>
      <c r="G247" s="72" t="s">
        <v>14</v>
      </c>
      <c r="H247" s="72" t="s">
        <v>221</v>
      </c>
      <c r="I247" s="169"/>
      <c r="J247" s="223">
        <v>46331.0</v>
      </c>
      <c r="K247" s="224">
        <v>46139.0</v>
      </c>
      <c r="L247" s="224">
        <v>46140.0</v>
      </c>
      <c r="M247" s="169">
        <v>0.165</v>
      </c>
      <c r="N247" s="171">
        <f t="shared" ref="N247:N250" si="44">PRICEDISC(L247,J247,M247,100,1)</f>
        <v>91.36575342</v>
      </c>
      <c r="O247" s="111">
        <v>1.3E9</v>
      </c>
      <c r="P247" s="27">
        <f t="shared" si="36"/>
        <v>1187754795</v>
      </c>
      <c r="Q247" s="172">
        <f t="shared" si="23"/>
        <v>1187754795</v>
      </c>
      <c r="R247" s="172" t="str">
        <f t="shared" ref="R247:R250" si="45">IFERROR(ACCRINT(COUPPCD(L247,J247,2,1),COUPNCD(L247,J247,2,0),L247,I247,100,2,1),"")</f>
        <v/>
      </c>
      <c r="S247" s="172"/>
      <c r="T247" s="169"/>
      <c r="U247" s="169"/>
      <c r="V247" s="72"/>
      <c r="W247" s="72"/>
      <c r="X247" s="72"/>
      <c r="Y247" s="72"/>
      <c r="Z247" s="72"/>
      <c r="AA247" s="72"/>
      <c r="AB247" s="179"/>
      <c r="AC247" s="179"/>
      <c r="AD247" s="179"/>
      <c r="AE247" s="179"/>
      <c r="AF247" s="179"/>
      <c r="AG247" s="179"/>
      <c r="AH247" s="179"/>
      <c r="AI247" s="179"/>
      <c r="AJ247" s="179"/>
      <c r="AK247" s="179"/>
      <c r="AL247" s="179"/>
      <c r="AM247" s="179"/>
      <c r="AN247" s="179"/>
      <c r="AO247" s="179"/>
      <c r="AP247" s="179"/>
    </row>
    <row r="248" ht="13.5" customHeight="1">
      <c r="A248" s="179"/>
      <c r="B248" s="3" t="str">
        <f t="shared" si="41"/>
        <v>#REF!</v>
      </c>
      <c r="C248" s="72" t="s">
        <v>225</v>
      </c>
      <c r="D248" s="72" t="s">
        <v>58</v>
      </c>
      <c r="E248" s="72" t="s">
        <v>139</v>
      </c>
      <c r="F248" s="72" t="s">
        <v>230</v>
      </c>
      <c r="G248" s="72" t="s">
        <v>14</v>
      </c>
      <c r="H248" s="72" t="s">
        <v>221</v>
      </c>
      <c r="I248" s="169"/>
      <c r="J248" s="223">
        <v>46331.0</v>
      </c>
      <c r="K248" s="224">
        <v>46139.0</v>
      </c>
      <c r="L248" s="224">
        <v>46140.0</v>
      </c>
      <c r="M248" s="169">
        <v>0.1646</v>
      </c>
      <c r="N248" s="171">
        <f t="shared" si="44"/>
        <v>91.38668493</v>
      </c>
      <c r="O248" s="111">
        <v>1.3E9</v>
      </c>
      <c r="P248" s="27">
        <f t="shared" si="36"/>
        <v>1188026904</v>
      </c>
      <c r="Q248" s="172">
        <f t="shared" si="23"/>
        <v>1188026904</v>
      </c>
      <c r="R248" s="172" t="str">
        <f t="shared" si="45"/>
        <v/>
      </c>
      <c r="S248" s="172"/>
      <c r="T248" s="169"/>
      <c r="U248" s="169"/>
      <c r="V248" s="72"/>
      <c r="W248" s="72"/>
      <c r="X248" s="72"/>
      <c r="Y248" s="72"/>
      <c r="Z248" s="72"/>
      <c r="AA248" s="72"/>
      <c r="AB248" s="179"/>
      <c r="AC248" s="179"/>
      <c r="AD248" s="179"/>
      <c r="AE248" s="179"/>
      <c r="AF248" s="179"/>
      <c r="AG248" s="179"/>
      <c r="AH248" s="179"/>
      <c r="AI248" s="179"/>
      <c r="AJ248" s="179"/>
      <c r="AK248" s="179"/>
      <c r="AL248" s="179"/>
      <c r="AM248" s="179"/>
      <c r="AN248" s="179"/>
      <c r="AO248" s="179"/>
      <c r="AP248" s="179"/>
    </row>
    <row r="249" ht="13.5" customHeight="1">
      <c r="A249" s="179"/>
      <c r="B249" s="3" t="str">
        <f t="shared" si="41"/>
        <v>#REF!</v>
      </c>
      <c r="C249" s="72" t="s">
        <v>225</v>
      </c>
      <c r="D249" s="72" t="s">
        <v>58</v>
      </c>
      <c r="E249" s="72" t="s">
        <v>139</v>
      </c>
      <c r="F249" s="72" t="s">
        <v>230</v>
      </c>
      <c r="G249" s="72" t="s">
        <v>14</v>
      </c>
      <c r="H249" s="72" t="s">
        <v>228</v>
      </c>
      <c r="I249" s="169"/>
      <c r="J249" s="223">
        <v>46226.0</v>
      </c>
      <c r="K249" s="224">
        <v>46153.0</v>
      </c>
      <c r="L249" s="224">
        <v>46154.0</v>
      </c>
      <c r="M249" s="169">
        <v>0.16</v>
      </c>
      <c r="N249" s="171">
        <f t="shared" si="44"/>
        <v>96.84383562</v>
      </c>
      <c r="O249" s="111">
        <v>1.0E9</v>
      </c>
      <c r="P249" s="27">
        <f t="shared" si="36"/>
        <v>968438356.2</v>
      </c>
      <c r="Q249" s="172">
        <f t="shared" si="23"/>
        <v>968438356.2</v>
      </c>
      <c r="R249" s="172" t="str">
        <f t="shared" si="45"/>
        <v/>
      </c>
      <c r="S249" s="172"/>
      <c r="T249" s="169"/>
      <c r="U249" s="169"/>
      <c r="V249" s="72"/>
      <c r="W249" s="72"/>
      <c r="X249" s="72"/>
      <c r="Y249" s="72"/>
      <c r="Z249" s="72"/>
      <c r="AA249" s="72"/>
      <c r="AB249" s="179"/>
      <c r="AC249" s="179"/>
      <c r="AD249" s="179"/>
      <c r="AE249" s="179"/>
      <c r="AF249" s="179"/>
      <c r="AG249" s="179"/>
      <c r="AH249" s="179"/>
      <c r="AI249" s="179"/>
      <c r="AJ249" s="179"/>
      <c r="AK249" s="179"/>
      <c r="AL249" s="179"/>
      <c r="AM249" s="179"/>
      <c r="AN249" s="179"/>
      <c r="AO249" s="179"/>
      <c r="AP249" s="179"/>
    </row>
    <row r="250" ht="13.5" customHeight="1">
      <c r="A250" s="179"/>
      <c r="B250" s="3" t="str">
        <f t="shared" si="41"/>
        <v>#REF!</v>
      </c>
      <c r="C250" s="72" t="s">
        <v>225</v>
      </c>
      <c r="D250" s="72" t="s">
        <v>58</v>
      </c>
      <c r="E250" s="72" t="s">
        <v>139</v>
      </c>
      <c r="F250" s="72" t="s">
        <v>230</v>
      </c>
      <c r="G250" s="72" t="s">
        <v>14</v>
      </c>
      <c r="H250" s="72" t="s">
        <v>229</v>
      </c>
      <c r="I250" s="169"/>
      <c r="J250" s="223">
        <v>46191.0</v>
      </c>
      <c r="K250" s="224">
        <v>46155.0</v>
      </c>
      <c r="L250" s="224">
        <v>46156.0</v>
      </c>
      <c r="M250" s="169">
        <v>0.1699</v>
      </c>
      <c r="N250" s="171">
        <f t="shared" si="44"/>
        <v>98.37082192</v>
      </c>
      <c r="O250" s="111">
        <v>6.0E8</v>
      </c>
      <c r="P250" s="27">
        <f t="shared" si="36"/>
        <v>590224931.5</v>
      </c>
      <c r="Q250" s="172">
        <f t="shared" si="23"/>
        <v>590224931.5</v>
      </c>
      <c r="R250" s="172" t="str">
        <f t="shared" si="45"/>
        <v/>
      </c>
      <c r="S250" s="172"/>
      <c r="T250" s="169"/>
      <c r="U250" s="169"/>
      <c r="V250" s="72"/>
      <c r="W250" s="72"/>
      <c r="X250" s="72"/>
      <c r="Y250" s="72"/>
      <c r="Z250" s="72"/>
      <c r="AA250" s="72"/>
      <c r="AB250" s="179"/>
      <c r="AC250" s="179"/>
      <c r="AD250" s="179"/>
      <c r="AE250" s="179"/>
      <c r="AF250" s="179"/>
      <c r="AG250" s="179"/>
      <c r="AH250" s="179"/>
      <c r="AI250" s="179"/>
      <c r="AJ250" s="179"/>
      <c r="AK250" s="179"/>
      <c r="AL250" s="179"/>
      <c r="AM250" s="179"/>
      <c r="AN250" s="179"/>
      <c r="AO250" s="179"/>
      <c r="AP250" s="179"/>
    </row>
    <row r="251" ht="13.5" customHeight="1">
      <c r="B251" s="3" t="str">
        <f t="shared" si="41"/>
        <v>#REF!</v>
      </c>
      <c r="C251" s="72" t="s">
        <v>123</v>
      </c>
      <c r="D251" s="72" t="s">
        <v>58</v>
      </c>
      <c r="E251" s="72" t="s">
        <v>139</v>
      </c>
      <c r="F251" s="51" t="s">
        <v>230</v>
      </c>
      <c r="G251" s="72" t="s">
        <v>14</v>
      </c>
      <c r="H251" s="57" t="s">
        <v>208</v>
      </c>
      <c r="I251" s="87">
        <v>0.185</v>
      </c>
      <c r="J251" s="167">
        <v>47900.0</v>
      </c>
      <c r="K251" s="224">
        <v>46155.0</v>
      </c>
      <c r="L251" s="224">
        <v>46156.0</v>
      </c>
      <c r="M251" s="87">
        <f>IFERROR(YIELD(L251,J251,I251,N251,100,2,1),"")</f>
        <v>0.1686386328</v>
      </c>
      <c r="N251" s="171">
        <v>105.13</v>
      </c>
      <c r="O251" s="111">
        <v>9.0E8</v>
      </c>
      <c r="P251" s="27">
        <f t="shared" si="36"/>
        <v>983885469.6</v>
      </c>
      <c r="Q251" s="172">
        <f t="shared" si="23"/>
        <v>946170000</v>
      </c>
      <c r="R251" s="172">
        <f>IFERROR(ACCRINT(COUPPCD(L251,J251,2,1),COUPNCD(L251,J251,2,0),L251,I251,O251,2,1),"")</f>
        <v>37715469.61</v>
      </c>
      <c r="S251" s="172"/>
      <c r="T251" s="169"/>
      <c r="U251" s="169"/>
      <c r="V251" s="72"/>
      <c r="W251" s="72"/>
      <c r="X251" s="72"/>
      <c r="Y251" s="72"/>
      <c r="Z251" s="72"/>
      <c r="AA251" s="72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</row>
    <row r="252" ht="13.5" customHeight="1">
      <c r="A252" s="179"/>
      <c r="B252" s="3" t="str">
        <f>#REF!+1</f>
        <v>#REF!</v>
      </c>
      <c r="C252" s="72" t="s">
        <v>235</v>
      </c>
      <c r="D252" s="72" t="s">
        <v>58</v>
      </c>
      <c r="E252" s="72" t="s">
        <v>139</v>
      </c>
      <c r="F252" s="72" t="s">
        <v>230</v>
      </c>
      <c r="G252" s="72" t="s">
        <v>12</v>
      </c>
      <c r="H252" s="72" t="s">
        <v>236</v>
      </c>
      <c r="I252" s="169"/>
      <c r="J252" s="223">
        <v>46436.0</v>
      </c>
      <c r="K252" s="224">
        <v>46206.0</v>
      </c>
      <c r="L252" s="224">
        <v>46210.0</v>
      </c>
      <c r="M252" s="169">
        <v>0.174</v>
      </c>
      <c r="N252" s="171">
        <f>PRICEDISC(L252,J252,M252,100,1)</f>
        <v>89.22630137</v>
      </c>
      <c r="O252" s="111">
        <v>1.9E9</v>
      </c>
      <c r="P252" s="27">
        <f t="shared" si="36"/>
        <v>1695299726</v>
      </c>
      <c r="Q252" s="172">
        <f t="shared" si="23"/>
        <v>1695299726</v>
      </c>
      <c r="R252" s="172" t="str">
        <f>IFERROR(ACCRINT(COUPPCD(L252,J252,2,1),COUPNCD(L252,J252,2,0),L252,I252,100,2,1),"")</f>
        <v/>
      </c>
      <c r="S252" s="172"/>
      <c r="T252" s="169"/>
      <c r="U252" s="169"/>
      <c r="V252" s="72"/>
      <c r="W252" s="72"/>
      <c r="X252" s="72"/>
      <c r="Y252" s="72"/>
      <c r="Z252" s="72"/>
      <c r="AA252" s="72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</row>
    <row r="253" ht="13.5" customHeight="1">
      <c r="B253" s="3" t="str">
        <f t="shared" ref="B253:B270" si="46">B252+1</f>
        <v>#REF!</v>
      </c>
      <c r="C253" s="72" t="s">
        <v>123</v>
      </c>
      <c r="D253" s="1" t="s">
        <v>58</v>
      </c>
      <c r="E253" s="3" t="s">
        <v>139</v>
      </c>
      <c r="F253" s="72" t="s">
        <v>230</v>
      </c>
      <c r="G253" s="1" t="s">
        <v>12</v>
      </c>
      <c r="H253" s="1" t="s">
        <v>144</v>
      </c>
      <c r="I253" s="62">
        <v>0.226</v>
      </c>
      <c r="J253" s="52">
        <v>49338.0</v>
      </c>
      <c r="K253" s="122">
        <v>46220.0</v>
      </c>
      <c r="L253" s="122">
        <v>46225.0</v>
      </c>
      <c r="M253" s="87">
        <f t="shared" ref="M253:M255" si="47">IFERROR(YIELD(L253,J253,I253,N253,100,2,1),"")</f>
        <v>0.1828962778</v>
      </c>
      <c r="N253" s="63">
        <v>118.24243</v>
      </c>
      <c r="O253" s="63">
        <v>5.0E8</v>
      </c>
      <c r="P253" s="15">
        <f t="shared" si="36"/>
        <v>645527067.1</v>
      </c>
      <c r="Q253" s="15">
        <f t="shared" si="23"/>
        <v>591212150</v>
      </c>
      <c r="R253" s="15">
        <f t="shared" ref="R253:R270" si="48">IFERROR(ACCRINT(COUPPCD(L253,J253,2,1),COUPNCD(L253,J253,2,0),L253,I253,O253,2,1),"")</f>
        <v>54314917.13</v>
      </c>
      <c r="S253" s="15"/>
      <c r="T253" s="62"/>
      <c r="U253" s="62"/>
      <c r="V253" s="1"/>
      <c r="W253" s="1"/>
      <c r="X253" s="1"/>
      <c r="Y253" s="1"/>
      <c r="Z253" s="1"/>
      <c r="AA253" s="1"/>
    </row>
    <row r="254" ht="13.5" customHeight="1">
      <c r="A254" s="180"/>
      <c r="B254" s="3" t="str">
        <f t="shared" si="46"/>
        <v>#REF!</v>
      </c>
      <c r="C254" s="72" t="s">
        <v>123</v>
      </c>
      <c r="D254" s="57" t="s">
        <v>58</v>
      </c>
      <c r="E254" s="110" t="s">
        <v>139</v>
      </c>
      <c r="F254" s="72" t="s">
        <v>230</v>
      </c>
      <c r="G254" s="57" t="s">
        <v>12</v>
      </c>
      <c r="H254" s="57" t="s">
        <v>171</v>
      </c>
      <c r="I254" s="87">
        <v>0.162499</v>
      </c>
      <c r="J254" s="167">
        <v>50148.0</v>
      </c>
      <c r="K254" s="168">
        <v>46220.0</v>
      </c>
      <c r="L254" s="168">
        <v>46225.0</v>
      </c>
      <c r="M254" s="87">
        <f t="shared" si="47"/>
        <v>0.1828833698</v>
      </c>
      <c r="N254" s="63">
        <v>90.46665</v>
      </c>
      <c r="O254" s="63">
        <v>5.0E8</v>
      </c>
      <c r="P254" s="15">
        <f t="shared" si="36"/>
        <v>473422601.1</v>
      </c>
      <c r="Q254" s="15">
        <f t="shared" si="23"/>
        <v>452333250</v>
      </c>
      <c r="R254" s="15">
        <f t="shared" si="48"/>
        <v>21089351.09</v>
      </c>
      <c r="S254" s="15"/>
      <c r="T254" s="62"/>
      <c r="U254" s="62"/>
      <c r="V254" s="1"/>
      <c r="W254" s="1"/>
      <c r="X254" s="1"/>
      <c r="Y254" s="1"/>
      <c r="Z254" s="1"/>
      <c r="AA254" s="1"/>
      <c r="AB254" s="180"/>
      <c r="AC254" s="180"/>
      <c r="AD254" s="180"/>
      <c r="AE254" s="180"/>
      <c r="AF254" s="180"/>
      <c r="AG254" s="180"/>
      <c r="AH254" s="180"/>
      <c r="AI254" s="180"/>
      <c r="AJ254" s="180"/>
      <c r="AK254" s="180"/>
      <c r="AL254" s="180"/>
      <c r="AM254" s="180"/>
      <c r="AN254" s="180"/>
      <c r="AO254" s="180"/>
      <c r="AP254" s="180"/>
    </row>
    <row r="255" ht="13.5" customHeight="1">
      <c r="A255" s="180"/>
      <c r="B255" s="3" t="str">
        <f t="shared" si="46"/>
        <v>#REF!</v>
      </c>
      <c r="C255" s="72" t="s">
        <v>111</v>
      </c>
      <c r="D255" s="57" t="s">
        <v>58</v>
      </c>
      <c r="E255" s="110" t="s">
        <v>139</v>
      </c>
      <c r="F255" s="72" t="s">
        <v>230</v>
      </c>
      <c r="G255" s="57" t="s">
        <v>12</v>
      </c>
      <c r="H255" s="57" t="s">
        <v>237</v>
      </c>
      <c r="I255" s="87">
        <v>0.1545</v>
      </c>
      <c r="J255" s="167">
        <v>50577.0</v>
      </c>
      <c r="K255" s="168">
        <v>46225.0</v>
      </c>
      <c r="L255" s="168">
        <v>46230.0</v>
      </c>
      <c r="M255" s="87">
        <f t="shared" si="47"/>
        <v>0.177499999</v>
      </c>
      <c r="N255" s="63">
        <v>88.702862</v>
      </c>
      <c r="O255" s="63">
        <v>5.0E8</v>
      </c>
      <c r="P255" s="15">
        <f t="shared" si="36"/>
        <v>451112670.7</v>
      </c>
      <c r="Q255" s="15">
        <f t="shared" si="23"/>
        <v>443514310</v>
      </c>
      <c r="R255" s="15">
        <f t="shared" si="48"/>
        <v>7598360.656</v>
      </c>
      <c r="S255" s="15"/>
      <c r="T255" s="62"/>
      <c r="U255" s="62"/>
      <c r="V255" s="1"/>
      <c r="W255" s="1"/>
      <c r="X255" s="1"/>
      <c r="Y255" s="1"/>
      <c r="Z255" s="1"/>
      <c r="AA255" s="1"/>
      <c r="AB255" s="180"/>
      <c r="AC255" s="180"/>
      <c r="AD255" s="180"/>
      <c r="AE255" s="180"/>
      <c r="AF255" s="180"/>
      <c r="AG255" s="180"/>
      <c r="AH255" s="180"/>
      <c r="AI255" s="180"/>
      <c r="AJ255" s="180"/>
      <c r="AK255" s="180"/>
      <c r="AL255" s="180"/>
      <c r="AM255" s="180"/>
      <c r="AN255" s="180"/>
      <c r="AO255" s="180"/>
      <c r="AP255" s="180"/>
    </row>
    <row r="256" ht="13.5" customHeight="1">
      <c r="A256" s="180"/>
      <c r="B256" s="3" t="str">
        <f t="shared" si="46"/>
        <v>#REF!</v>
      </c>
      <c r="C256" s="1" t="s">
        <v>225</v>
      </c>
      <c r="D256" s="57" t="s">
        <v>58</v>
      </c>
      <c r="E256" s="110" t="s">
        <v>139</v>
      </c>
      <c r="F256" s="72" t="s">
        <v>230</v>
      </c>
      <c r="G256" s="57" t="s">
        <v>12</v>
      </c>
      <c r="H256" s="57" t="s">
        <v>238</v>
      </c>
      <c r="I256" s="87"/>
      <c r="J256" s="167">
        <v>46583.0</v>
      </c>
      <c r="K256" s="168">
        <v>46225.0</v>
      </c>
      <c r="L256" s="168">
        <v>46227.0</v>
      </c>
      <c r="M256" s="87">
        <v>0.1725</v>
      </c>
      <c r="N256" s="171">
        <f t="shared" ref="N256:N257" si="49">PRICEDISC(L256,J256,M256,100,1)</f>
        <v>83.17534247</v>
      </c>
      <c r="O256" s="63">
        <v>5.0E8</v>
      </c>
      <c r="P256" s="15">
        <f t="shared" si="36"/>
        <v>415876712.3</v>
      </c>
      <c r="Q256" s="15">
        <f t="shared" si="23"/>
        <v>415876712.3</v>
      </c>
      <c r="R256" s="15" t="str">
        <f t="shared" si="48"/>
        <v/>
      </c>
      <c r="S256" s="15"/>
      <c r="T256" s="62"/>
      <c r="U256" s="62"/>
      <c r="V256" s="1"/>
      <c r="W256" s="1"/>
      <c r="X256" s="1"/>
      <c r="Y256" s="1"/>
      <c r="Z256" s="1"/>
      <c r="AA256" s="1"/>
      <c r="AB256" s="180"/>
      <c r="AC256" s="180"/>
      <c r="AD256" s="180"/>
      <c r="AE256" s="180"/>
      <c r="AF256" s="180"/>
      <c r="AG256" s="180"/>
      <c r="AH256" s="180"/>
      <c r="AI256" s="180"/>
      <c r="AJ256" s="180"/>
      <c r="AK256" s="180"/>
      <c r="AL256" s="180"/>
      <c r="AM256" s="180"/>
      <c r="AN256" s="180"/>
      <c r="AO256" s="180"/>
      <c r="AP256" s="180"/>
    </row>
    <row r="257" ht="13.5" customHeight="1">
      <c r="A257" s="180"/>
      <c r="B257" s="3" t="str">
        <f t="shared" si="46"/>
        <v>#REF!</v>
      </c>
      <c r="C257" s="1" t="s">
        <v>225</v>
      </c>
      <c r="D257" s="57" t="s">
        <v>58</v>
      </c>
      <c r="E257" s="110" t="s">
        <v>139</v>
      </c>
      <c r="F257" s="72" t="s">
        <v>230</v>
      </c>
      <c r="G257" s="57" t="s">
        <v>12</v>
      </c>
      <c r="H257" s="57" t="s">
        <v>238</v>
      </c>
      <c r="I257" s="87"/>
      <c r="J257" s="167">
        <v>46583.0</v>
      </c>
      <c r="K257" s="168">
        <v>46226.0</v>
      </c>
      <c r="L257" s="168">
        <v>46230.0</v>
      </c>
      <c r="M257" s="87">
        <v>0.172</v>
      </c>
      <c r="N257" s="171">
        <f t="shared" si="49"/>
        <v>83.36547945</v>
      </c>
      <c r="O257" s="63">
        <v>1.0E9</v>
      </c>
      <c r="P257" s="15">
        <f t="shared" si="36"/>
        <v>833654794.5</v>
      </c>
      <c r="Q257" s="15">
        <f t="shared" si="23"/>
        <v>833654794.5</v>
      </c>
      <c r="R257" s="15" t="str">
        <f t="shared" si="48"/>
        <v/>
      </c>
      <c r="S257" s="15"/>
      <c r="T257" s="62"/>
      <c r="U257" s="62"/>
      <c r="V257" s="1"/>
      <c r="W257" s="1"/>
      <c r="X257" s="1"/>
      <c r="Y257" s="1"/>
      <c r="Z257" s="1"/>
      <c r="AA257" s="1"/>
      <c r="AB257" s="180"/>
      <c r="AC257" s="180"/>
      <c r="AD257" s="180"/>
      <c r="AE257" s="180"/>
      <c r="AF257" s="180"/>
      <c r="AG257" s="180"/>
      <c r="AH257" s="180"/>
      <c r="AI257" s="180"/>
      <c r="AJ257" s="180"/>
      <c r="AK257" s="180"/>
      <c r="AL257" s="180"/>
      <c r="AM257" s="180"/>
      <c r="AN257" s="180"/>
      <c r="AO257" s="180"/>
      <c r="AP257" s="180"/>
    </row>
    <row r="258" ht="13.5" customHeight="1">
      <c r="A258" s="180"/>
      <c r="B258" s="3" t="str">
        <f t="shared" si="46"/>
        <v>#REF!</v>
      </c>
      <c r="C258" s="72" t="s">
        <v>123</v>
      </c>
      <c r="D258" s="57" t="s">
        <v>58</v>
      </c>
      <c r="E258" s="110" t="s">
        <v>139</v>
      </c>
      <c r="F258" s="72" t="s">
        <v>230</v>
      </c>
      <c r="G258" s="57" t="s">
        <v>12</v>
      </c>
      <c r="H258" s="57" t="s">
        <v>171</v>
      </c>
      <c r="I258" s="87">
        <v>0.162499</v>
      </c>
      <c r="J258" s="167">
        <v>50148.0</v>
      </c>
      <c r="K258" s="168">
        <v>46226.0</v>
      </c>
      <c r="L258" s="168">
        <v>46231.0</v>
      </c>
      <c r="M258" s="87">
        <f t="shared" ref="M258:M259" si="50">IFERROR(YIELD(L258,J258,I258,N258,100,2,1),"")</f>
        <v>0.1770692801</v>
      </c>
      <c r="N258" s="63">
        <v>93.02</v>
      </c>
      <c r="O258" s="63">
        <v>5.0E8</v>
      </c>
      <c r="P258" s="15">
        <f t="shared" si="36"/>
        <v>487521310.1</v>
      </c>
      <c r="Q258" s="15">
        <f t="shared" si="23"/>
        <v>465100000</v>
      </c>
      <c r="R258" s="15">
        <f t="shared" si="48"/>
        <v>22421310.11</v>
      </c>
      <c r="S258" s="15"/>
      <c r="T258" s="62"/>
      <c r="U258" s="62"/>
      <c r="V258" s="1"/>
      <c r="W258" s="1"/>
      <c r="X258" s="1"/>
      <c r="Y258" s="1"/>
      <c r="Z258" s="1"/>
      <c r="AA258" s="1"/>
      <c r="AB258" s="180"/>
      <c r="AC258" s="180"/>
      <c r="AD258" s="180"/>
      <c r="AE258" s="180"/>
      <c r="AF258" s="180"/>
      <c r="AG258" s="180"/>
      <c r="AH258" s="180"/>
      <c r="AI258" s="180"/>
      <c r="AJ258" s="180"/>
      <c r="AK258" s="180"/>
      <c r="AL258" s="180"/>
      <c r="AM258" s="180"/>
      <c r="AN258" s="180"/>
      <c r="AO258" s="180"/>
      <c r="AP258" s="180"/>
    </row>
    <row r="259" ht="13.5" customHeight="1">
      <c r="B259" s="3" t="str">
        <f t="shared" si="46"/>
        <v>#REF!</v>
      </c>
      <c r="C259" s="72" t="s">
        <v>111</v>
      </c>
      <c r="D259" s="1" t="s">
        <v>58</v>
      </c>
      <c r="E259" s="3" t="s">
        <v>139</v>
      </c>
      <c r="F259" s="72" t="s">
        <v>230</v>
      </c>
      <c r="G259" s="1" t="s">
        <v>12</v>
      </c>
      <c r="H259" s="1" t="s">
        <v>144</v>
      </c>
      <c r="I259" s="62">
        <v>0.226</v>
      </c>
      <c r="J259" s="52">
        <v>49338.0</v>
      </c>
      <c r="K259" s="168">
        <v>46226.0</v>
      </c>
      <c r="L259" s="168">
        <v>46231.0</v>
      </c>
      <c r="M259" s="87">
        <f t="shared" si="50"/>
        <v>0.1772</v>
      </c>
      <c r="N259" s="63">
        <v>121.035672</v>
      </c>
      <c r="O259" s="63">
        <v>5.0E8</v>
      </c>
      <c r="P259" s="15">
        <f t="shared" si="36"/>
        <v>661366205.3</v>
      </c>
      <c r="Q259" s="15">
        <f t="shared" si="23"/>
        <v>605178360</v>
      </c>
      <c r="R259" s="15">
        <f t="shared" si="48"/>
        <v>56187845.3</v>
      </c>
      <c r="S259" s="15"/>
      <c r="T259" s="62"/>
      <c r="U259" s="62"/>
      <c r="V259" s="1"/>
      <c r="W259" s="1"/>
      <c r="X259" s="1"/>
      <c r="Y259" s="1"/>
      <c r="Z259" s="1"/>
      <c r="AA259" s="1"/>
    </row>
    <row r="260" ht="13.5" customHeight="1">
      <c r="A260" s="180"/>
      <c r="B260" s="3" t="str">
        <f t="shared" si="46"/>
        <v>#REF!</v>
      </c>
      <c r="C260" s="1" t="s">
        <v>233</v>
      </c>
      <c r="D260" s="57" t="s">
        <v>58</v>
      </c>
      <c r="E260" s="110" t="s">
        <v>139</v>
      </c>
      <c r="F260" s="72" t="s">
        <v>230</v>
      </c>
      <c r="G260" s="57" t="s">
        <v>12</v>
      </c>
      <c r="H260" s="57" t="s">
        <v>239</v>
      </c>
      <c r="I260" s="87"/>
      <c r="J260" s="167">
        <v>46597.0</v>
      </c>
      <c r="K260" s="168">
        <v>46233.0</v>
      </c>
      <c r="L260" s="168">
        <v>46234.0</v>
      </c>
      <c r="M260" s="87">
        <v>0.1697</v>
      </c>
      <c r="N260" s="171">
        <f t="shared" ref="N260:N265" si="51">PRICEDISC(L260,J260,M260,100,1)</f>
        <v>83.1229863</v>
      </c>
      <c r="O260" s="63">
        <v>3.0E9</v>
      </c>
      <c r="P260" s="15">
        <f t="shared" si="36"/>
        <v>2493689589</v>
      </c>
      <c r="Q260" s="15">
        <f t="shared" si="23"/>
        <v>2493689589</v>
      </c>
      <c r="R260" s="15" t="str">
        <f t="shared" si="48"/>
        <v/>
      </c>
      <c r="S260" s="15"/>
      <c r="T260" s="62"/>
      <c r="U260" s="62"/>
      <c r="V260" s="1"/>
      <c r="W260" s="1"/>
      <c r="X260" s="1"/>
      <c r="Y260" s="1"/>
      <c r="Z260" s="1"/>
      <c r="AA260" s="1"/>
      <c r="AB260" s="180"/>
      <c r="AC260" s="180"/>
      <c r="AD260" s="180"/>
      <c r="AE260" s="180"/>
      <c r="AF260" s="180"/>
      <c r="AG260" s="180"/>
      <c r="AH260" s="180"/>
      <c r="AI260" s="180"/>
      <c r="AJ260" s="180"/>
      <c r="AK260" s="180"/>
      <c r="AL260" s="180"/>
      <c r="AM260" s="180"/>
      <c r="AN260" s="180"/>
      <c r="AO260" s="180"/>
      <c r="AP260" s="180"/>
    </row>
    <row r="261" ht="13.5" customHeight="1">
      <c r="A261" s="180"/>
      <c r="B261" s="3" t="str">
        <f t="shared" si="46"/>
        <v>#REF!</v>
      </c>
      <c r="C261" s="1" t="s">
        <v>225</v>
      </c>
      <c r="D261" s="57" t="s">
        <v>58</v>
      </c>
      <c r="E261" s="110" t="s">
        <v>139</v>
      </c>
      <c r="F261" s="72" t="s">
        <v>230</v>
      </c>
      <c r="G261" s="57" t="s">
        <v>12</v>
      </c>
      <c r="H261" s="57" t="s">
        <v>239</v>
      </c>
      <c r="I261" s="87"/>
      <c r="J261" s="167">
        <v>46597.0</v>
      </c>
      <c r="K261" s="168">
        <v>46233.0</v>
      </c>
      <c r="L261" s="168">
        <v>46237.0</v>
      </c>
      <c r="M261" s="87">
        <v>0.1698</v>
      </c>
      <c r="N261" s="171">
        <f t="shared" si="51"/>
        <v>83.25260274</v>
      </c>
      <c r="O261" s="63">
        <v>3.0E9</v>
      </c>
      <c r="P261" s="15">
        <f t="shared" si="36"/>
        <v>2497578082</v>
      </c>
      <c r="Q261" s="15">
        <f t="shared" si="23"/>
        <v>2497578082</v>
      </c>
      <c r="R261" s="15" t="str">
        <f t="shared" si="48"/>
        <v/>
      </c>
      <c r="S261" s="15"/>
      <c r="T261" s="62"/>
      <c r="U261" s="62"/>
      <c r="V261" s="1"/>
      <c r="W261" s="1"/>
      <c r="X261" s="1"/>
      <c r="Y261" s="1"/>
      <c r="Z261" s="1"/>
      <c r="AA261" s="1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  <c r="AN261" s="180"/>
      <c r="AO261" s="180"/>
      <c r="AP261" s="180"/>
    </row>
    <row r="262" ht="13.5" customHeight="1">
      <c r="A262" s="180"/>
      <c r="B262" s="3" t="str">
        <f t="shared" si="46"/>
        <v>#REF!</v>
      </c>
      <c r="C262" s="1" t="s">
        <v>225</v>
      </c>
      <c r="D262" s="57" t="s">
        <v>58</v>
      </c>
      <c r="E262" s="110" t="s">
        <v>139</v>
      </c>
      <c r="F262" s="72" t="s">
        <v>230</v>
      </c>
      <c r="G262" s="57" t="s">
        <v>12</v>
      </c>
      <c r="H262" s="57" t="s">
        <v>240</v>
      </c>
      <c r="I262" s="87"/>
      <c r="J262" s="167">
        <v>46611.0</v>
      </c>
      <c r="K262" s="168">
        <v>46247.0</v>
      </c>
      <c r="L262" s="168">
        <v>46248.0</v>
      </c>
      <c r="M262" s="87">
        <v>0.173</v>
      </c>
      <c r="N262" s="171">
        <f t="shared" si="51"/>
        <v>82.79479452</v>
      </c>
      <c r="O262" s="63">
        <v>2.0E9</v>
      </c>
      <c r="P262" s="15">
        <f t="shared" si="36"/>
        <v>1655895890</v>
      </c>
      <c r="Q262" s="15">
        <f t="shared" si="23"/>
        <v>1655895890</v>
      </c>
      <c r="R262" s="15" t="str">
        <f t="shared" si="48"/>
        <v/>
      </c>
      <c r="S262" s="15"/>
      <c r="T262" s="62"/>
      <c r="U262" s="62"/>
      <c r="V262" s="1"/>
      <c r="W262" s="1"/>
      <c r="X262" s="1"/>
      <c r="Y262" s="1"/>
      <c r="Z262" s="1"/>
      <c r="AA262" s="1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  <c r="AN262" s="180"/>
      <c r="AO262" s="180"/>
      <c r="AP262" s="180"/>
    </row>
    <row r="263" ht="13.5" customHeight="1">
      <c r="A263" s="180"/>
      <c r="B263" s="3" t="str">
        <f t="shared" si="46"/>
        <v>#REF!</v>
      </c>
      <c r="C263" s="1" t="s">
        <v>225</v>
      </c>
      <c r="D263" s="57" t="s">
        <v>58</v>
      </c>
      <c r="E263" s="110" t="s">
        <v>139</v>
      </c>
      <c r="F263" s="72" t="s">
        <v>230</v>
      </c>
      <c r="G263" s="57" t="s">
        <v>12</v>
      </c>
      <c r="H263" s="57" t="s">
        <v>240</v>
      </c>
      <c r="I263" s="87"/>
      <c r="J263" s="167">
        <v>46611.0</v>
      </c>
      <c r="K263" s="168">
        <v>46247.0</v>
      </c>
      <c r="L263" s="168">
        <v>46248.0</v>
      </c>
      <c r="M263" s="87">
        <v>0.173</v>
      </c>
      <c r="N263" s="171">
        <f t="shared" si="51"/>
        <v>82.79479452</v>
      </c>
      <c r="O263" s="63">
        <v>1.0E9</v>
      </c>
      <c r="P263" s="15">
        <f t="shared" si="36"/>
        <v>827947945.2</v>
      </c>
      <c r="Q263" s="15">
        <f t="shared" si="23"/>
        <v>827947945.2</v>
      </c>
      <c r="R263" s="15" t="str">
        <f t="shared" si="48"/>
        <v/>
      </c>
      <c r="S263" s="15"/>
      <c r="T263" s="62"/>
      <c r="U263" s="62"/>
      <c r="V263" s="1"/>
      <c r="W263" s="1"/>
      <c r="X263" s="1"/>
      <c r="Y263" s="1"/>
      <c r="Z263" s="1"/>
      <c r="AA263" s="1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</row>
    <row r="264" ht="13.5" customHeight="1">
      <c r="A264" s="180"/>
      <c r="B264" s="3" t="str">
        <f t="shared" si="46"/>
        <v>#REF!</v>
      </c>
      <c r="C264" s="1" t="s">
        <v>233</v>
      </c>
      <c r="D264" s="57" t="s">
        <v>58</v>
      </c>
      <c r="E264" s="110" t="s">
        <v>139</v>
      </c>
      <c r="F264" s="72" t="s">
        <v>230</v>
      </c>
      <c r="G264" s="57" t="s">
        <v>12</v>
      </c>
      <c r="H264" s="57" t="s">
        <v>240</v>
      </c>
      <c r="I264" s="87"/>
      <c r="J264" s="167">
        <v>46611.0</v>
      </c>
      <c r="K264" s="168">
        <v>46247.0</v>
      </c>
      <c r="L264" s="168">
        <v>46248.0</v>
      </c>
      <c r="M264" s="87">
        <v>0.173</v>
      </c>
      <c r="N264" s="171">
        <f t="shared" si="51"/>
        <v>82.79479452</v>
      </c>
      <c r="O264" s="63">
        <v>1.0E9</v>
      </c>
      <c r="P264" s="15">
        <f t="shared" si="36"/>
        <v>827947945.2</v>
      </c>
      <c r="Q264" s="15">
        <f t="shared" si="23"/>
        <v>827947945.2</v>
      </c>
      <c r="R264" s="15" t="str">
        <f t="shared" si="48"/>
        <v/>
      </c>
      <c r="S264" s="15"/>
      <c r="T264" s="62"/>
      <c r="U264" s="62"/>
      <c r="V264" s="1"/>
      <c r="W264" s="1"/>
      <c r="X264" s="1"/>
      <c r="Y264" s="1"/>
      <c r="Z264" s="1"/>
      <c r="AA264" s="1"/>
      <c r="AB264" s="180"/>
      <c r="AC264" s="180"/>
      <c r="AD264" s="180"/>
      <c r="AE264" s="180"/>
      <c r="AF264" s="180"/>
      <c r="AG264" s="180"/>
      <c r="AH264" s="180"/>
      <c r="AI264" s="180"/>
      <c r="AJ264" s="180"/>
      <c r="AK264" s="180"/>
      <c r="AL264" s="180"/>
      <c r="AM264" s="180"/>
      <c r="AN264" s="180"/>
      <c r="AO264" s="180"/>
      <c r="AP264" s="180"/>
    </row>
    <row r="265" ht="13.5" customHeight="1">
      <c r="A265" s="180"/>
      <c r="B265" s="3" t="str">
        <f t="shared" si="46"/>
        <v>#REF!</v>
      </c>
      <c r="C265" s="1" t="s">
        <v>111</v>
      </c>
      <c r="D265" s="57" t="s">
        <v>58</v>
      </c>
      <c r="E265" s="110" t="s">
        <v>139</v>
      </c>
      <c r="F265" s="72" t="s">
        <v>230</v>
      </c>
      <c r="G265" s="57" t="s">
        <v>12</v>
      </c>
      <c r="H265" s="57" t="s">
        <v>240</v>
      </c>
      <c r="I265" s="87"/>
      <c r="J265" s="167">
        <v>46611.0</v>
      </c>
      <c r="K265" s="168">
        <v>46247.0</v>
      </c>
      <c r="L265" s="168">
        <v>46251.0</v>
      </c>
      <c r="M265" s="87">
        <v>0.173</v>
      </c>
      <c r="N265" s="171">
        <f t="shared" si="51"/>
        <v>82.9369863</v>
      </c>
      <c r="O265" s="63">
        <v>2.0E9</v>
      </c>
      <c r="P265" s="15">
        <f t="shared" si="36"/>
        <v>1658739726</v>
      </c>
      <c r="Q265" s="15">
        <f t="shared" si="23"/>
        <v>1658739726</v>
      </c>
      <c r="R265" s="15" t="str">
        <f t="shared" si="48"/>
        <v/>
      </c>
      <c r="S265" s="15"/>
      <c r="T265" s="62"/>
      <c r="U265" s="62"/>
      <c r="V265" s="1"/>
      <c r="W265" s="1"/>
      <c r="X265" s="1"/>
      <c r="Y265" s="1"/>
      <c r="Z265" s="1"/>
      <c r="AA265" s="1"/>
      <c r="AB265" s="180"/>
      <c r="AC265" s="180"/>
      <c r="AD265" s="180"/>
      <c r="AE265" s="180"/>
      <c r="AF265" s="180"/>
      <c r="AG265" s="180"/>
      <c r="AH265" s="180"/>
      <c r="AI265" s="180"/>
      <c r="AJ265" s="180"/>
      <c r="AK265" s="180"/>
      <c r="AL265" s="180"/>
      <c r="AM265" s="180"/>
      <c r="AN265" s="180"/>
      <c r="AO265" s="180"/>
      <c r="AP265" s="180"/>
    </row>
    <row r="266" ht="13.5" customHeight="1">
      <c r="A266" s="180"/>
      <c r="B266" s="3" t="str">
        <f t="shared" si="46"/>
        <v>#REF!</v>
      </c>
      <c r="C266" s="72" t="s">
        <v>83</v>
      </c>
      <c r="D266" s="57" t="s">
        <v>58</v>
      </c>
      <c r="E266" s="110" t="s">
        <v>139</v>
      </c>
      <c r="F266" s="72" t="s">
        <v>230</v>
      </c>
      <c r="G266" s="57" t="s">
        <v>12</v>
      </c>
      <c r="H266" s="57" t="s">
        <v>237</v>
      </c>
      <c r="I266" s="87">
        <v>0.1545</v>
      </c>
      <c r="J266" s="167">
        <v>50577.0</v>
      </c>
      <c r="K266" s="168">
        <v>46251.0</v>
      </c>
      <c r="L266" s="168">
        <v>46253.0</v>
      </c>
      <c r="M266" s="87">
        <f>IFERROR(YIELD(L266,J266,I266,N266,100,2,1),"")</f>
        <v>0.1778999999</v>
      </c>
      <c r="N266" s="63">
        <v>88.5239756343</v>
      </c>
      <c r="O266" s="63">
        <v>2.0E9</v>
      </c>
      <c r="P266" s="15">
        <f t="shared" si="36"/>
        <v>1820290988</v>
      </c>
      <c r="Q266" s="15">
        <f t="shared" si="23"/>
        <v>1770479513</v>
      </c>
      <c r="R266" s="15">
        <f t="shared" si="48"/>
        <v>49811475.41</v>
      </c>
      <c r="S266" s="15">
        <f>(P266/O266)*100</f>
        <v>91.0145494</v>
      </c>
      <c r="T266" s="15">
        <f>(Q266/O266)*100</f>
        <v>88.52397563</v>
      </c>
      <c r="U266" s="62"/>
      <c r="V266" s="1"/>
      <c r="W266" s="1"/>
      <c r="X266" s="1"/>
      <c r="Y266" s="1"/>
      <c r="Z266" s="1"/>
      <c r="AA266" s="1"/>
      <c r="AB266" s="180"/>
      <c r="AC266" s="180"/>
      <c r="AD266" s="180"/>
      <c r="AE266" s="180"/>
      <c r="AF266" s="180"/>
      <c r="AG266" s="180"/>
      <c r="AH266" s="180"/>
      <c r="AI266" s="180"/>
      <c r="AJ266" s="180"/>
      <c r="AK266" s="180"/>
      <c r="AL266" s="180"/>
      <c r="AM266" s="180"/>
      <c r="AN266" s="180"/>
      <c r="AO266" s="180"/>
      <c r="AP266" s="180"/>
    </row>
    <row r="267" ht="13.5" customHeight="1">
      <c r="A267" s="180"/>
      <c r="B267" s="3" t="str">
        <f t="shared" si="46"/>
        <v>#REF!</v>
      </c>
      <c r="C267" s="1" t="s">
        <v>235</v>
      </c>
      <c r="D267" s="57" t="s">
        <v>58</v>
      </c>
      <c r="E267" s="110" t="s">
        <v>139</v>
      </c>
      <c r="F267" s="72" t="s">
        <v>230</v>
      </c>
      <c r="G267" s="57" t="s">
        <v>12</v>
      </c>
      <c r="H267" s="57" t="s">
        <v>240</v>
      </c>
      <c r="I267" s="87"/>
      <c r="J267" s="167">
        <v>46611.0</v>
      </c>
      <c r="K267" s="168">
        <v>46253.0</v>
      </c>
      <c r="L267" s="168">
        <v>46254.0</v>
      </c>
      <c r="M267" s="87">
        <v>0.1716</v>
      </c>
      <c r="N267" s="171">
        <f t="shared" ref="N267:N270" si="52">PRICEDISC(L267,J267,M267,100,1)</f>
        <v>83.21610959</v>
      </c>
      <c r="O267" s="63">
        <v>1.0E9</v>
      </c>
      <c r="P267" s="15">
        <f t="shared" si="36"/>
        <v>832161095.9</v>
      </c>
      <c r="Q267" s="15">
        <f t="shared" si="23"/>
        <v>832161095.9</v>
      </c>
      <c r="R267" s="15" t="str">
        <f t="shared" si="48"/>
        <v/>
      </c>
      <c r="S267" s="15"/>
      <c r="T267" s="62"/>
      <c r="U267" s="62"/>
      <c r="V267" s="1"/>
      <c r="W267" s="1"/>
      <c r="X267" s="1"/>
      <c r="Y267" s="1"/>
      <c r="Z267" s="1"/>
      <c r="AA267" s="1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  <c r="AN267" s="180"/>
      <c r="AO267" s="180"/>
      <c r="AP267" s="180"/>
    </row>
    <row r="268" ht="13.5" customHeight="1">
      <c r="A268" s="180"/>
      <c r="B268" s="3" t="str">
        <f t="shared" si="46"/>
        <v>#REF!</v>
      </c>
      <c r="C268" s="1" t="s">
        <v>225</v>
      </c>
      <c r="D268" s="57" t="s">
        <v>58</v>
      </c>
      <c r="E268" s="110" t="s">
        <v>139</v>
      </c>
      <c r="F268" s="72" t="s">
        <v>230</v>
      </c>
      <c r="G268" s="57" t="s">
        <v>12</v>
      </c>
      <c r="H268" s="57" t="s">
        <v>240</v>
      </c>
      <c r="I268" s="87"/>
      <c r="J268" s="167">
        <v>46611.0</v>
      </c>
      <c r="K268" s="168">
        <v>46253.0</v>
      </c>
      <c r="L268" s="168">
        <v>46254.0</v>
      </c>
      <c r="M268" s="87">
        <v>0.1718</v>
      </c>
      <c r="N268" s="171">
        <f t="shared" si="52"/>
        <v>83.19654795</v>
      </c>
      <c r="O268" s="63">
        <v>1.0E9</v>
      </c>
      <c r="P268" s="15">
        <f t="shared" si="36"/>
        <v>831965479.5</v>
      </c>
      <c r="Q268" s="15">
        <f t="shared" si="23"/>
        <v>831965479.5</v>
      </c>
      <c r="R268" s="15" t="str">
        <f t="shared" si="48"/>
        <v/>
      </c>
      <c r="S268" s="15"/>
      <c r="T268" s="62"/>
      <c r="U268" s="62"/>
      <c r="V268" s="1"/>
      <c r="W268" s="1"/>
      <c r="X268" s="1"/>
      <c r="Y268" s="1"/>
      <c r="Z268" s="1"/>
      <c r="AA268" s="1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  <c r="AN268" s="180"/>
      <c r="AO268" s="180"/>
      <c r="AP268" s="180"/>
    </row>
    <row r="269" ht="13.5" customHeight="1">
      <c r="A269" s="180"/>
      <c r="B269" s="3" t="str">
        <f t="shared" si="46"/>
        <v>#REF!</v>
      </c>
      <c r="C269" s="1" t="s">
        <v>225</v>
      </c>
      <c r="D269" s="57" t="s">
        <v>58</v>
      </c>
      <c r="E269" s="110" t="s">
        <v>139</v>
      </c>
      <c r="F269" s="72" t="s">
        <v>230</v>
      </c>
      <c r="G269" s="57" t="s">
        <v>12</v>
      </c>
      <c r="H269" s="57" t="s">
        <v>240</v>
      </c>
      <c r="I269" s="87"/>
      <c r="J269" s="167">
        <v>46611.0</v>
      </c>
      <c r="K269" s="168">
        <v>46253.0</v>
      </c>
      <c r="L269" s="168">
        <v>46255.0</v>
      </c>
      <c r="M269" s="87">
        <v>0.1718</v>
      </c>
      <c r="N269" s="171">
        <f t="shared" si="52"/>
        <v>83.24361644</v>
      </c>
      <c r="O269" s="63">
        <v>1.0E9</v>
      </c>
      <c r="P269" s="15">
        <f t="shared" si="36"/>
        <v>832436164.4</v>
      </c>
      <c r="Q269" s="15">
        <f t="shared" si="23"/>
        <v>832436164.4</v>
      </c>
      <c r="R269" s="15" t="str">
        <f t="shared" si="48"/>
        <v/>
      </c>
      <c r="S269" s="15"/>
      <c r="T269" s="62"/>
      <c r="U269" s="62"/>
      <c r="V269" s="1"/>
      <c r="W269" s="1"/>
      <c r="X269" s="1"/>
      <c r="Y269" s="1"/>
      <c r="Z269" s="1"/>
      <c r="AA269" s="1"/>
      <c r="AB269" s="180"/>
      <c r="AC269" s="180"/>
      <c r="AD269" s="180"/>
      <c r="AE269" s="180"/>
      <c r="AF269" s="180"/>
      <c r="AG269" s="180"/>
      <c r="AH269" s="180"/>
      <c r="AI269" s="180"/>
      <c r="AJ269" s="180"/>
      <c r="AK269" s="180"/>
      <c r="AL269" s="180"/>
      <c r="AM269" s="180"/>
      <c r="AN269" s="180"/>
      <c r="AO269" s="180"/>
      <c r="AP269" s="180"/>
    </row>
    <row r="270" ht="13.5" customHeight="1">
      <c r="A270" s="180"/>
      <c r="B270" s="3" t="str">
        <f t="shared" si="46"/>
        <v>#REF!</v>
      </c>
      <c r="C270" s="1" t="s">
        <v>225</v>
      </c>
      <c r="D270" s="57" t="s">
        <v>58</v>
      </c>
      <c r="E270" s="110" t="s">
        <v>139</v>
      </c>
      <c r="F270" s="72" t="s">
        <v>230</v>
      </c>
      <c r="G270" s="57" t="s">
        <v>12</v>
      </c>
      <c r="H270" s="57" t="s">
        <v>240</v>
      </c>
      <c r="I270" s="87"/>
      <c r="J270" s="167">
        <v>46611.0</v>
      </c>
      <c r="K270" s="168">
        <v>46253.0</v>
      </c>
      <c r="L270" s="168">
        <v>46255.0</v>
      </c>
      <c r="M270" s="87">
        <v>0.1717</v>
      </c>
      <c r="N270" s="171">
        <f t="shared" si="52"/>
        <v>83.25336986</v>
      </c>
      <c r="O270" s="63">
        <v>1.5E9</v>
      </c>
      <c r="P270" s="15">
        <f t="shared" si="36"/>
        <v>1248800548</v>
      </c>
      <c r="Q270" s="15">
        <f t="shared" si="23"/>
        <v>1248800548</v>
      </c>
      <c r="R270" s="15" t="str">
        <f t="shared" si="48"/>
        <v/>
      </c>
      <c r="S270" s="15"/>
      <c r="T270" s="62"/>
      <c r="U270" s="62"/>
      <c r="V270" s="1"/>
      <c r="W270" s="1"/>
      <c r="X270" s="1"/>
      <c r="Y270" s="1"/>
      <c r="Z270" s="1"/>
      <c r="AA270" s="1"/>
      <c r="AB270" s="180"/>
      <c r="AC270" s="180"/>
      <c r="AD270" s="180"/>
      <c r="AE270" s="180"/>
      <c r="AF270" s="180"/>
      <c r="AG270" s="180"/>
      <c r="AH270" s="180"/>
      <c r="AI270" s="180"/>
      <c r="AJ270" s="180"/>
      <c r="AK270" s="180"/>
      <c r="AL270" s="180"/>
      <c r="AM270" s="180"/>
      <c r="AN270" s="180"/>
      <c r="AO270" s="180"/>
      <c r="AP270" s="180"/>
    </row>
    <row r="271" ht="13.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3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3.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3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3.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62"/>
      <c r="M273" s="1"/>
      <c r="N273" s="23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3.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30"/>
      <c r="O274" s="1"/>
      <c r="P274" s="15">
        <v>3.74536328767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3.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3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3.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3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3.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62">
        <v>0.17789999990641825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3.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3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3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3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3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3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3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3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3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3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3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3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3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3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3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3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3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3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3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3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3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3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30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3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3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3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3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3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3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3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3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3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3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3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3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3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3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3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3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3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3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3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3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3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3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3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3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3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3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3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3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3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3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3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3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3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3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3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3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3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3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3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3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3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3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3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3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3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3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3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3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3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3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3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3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3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3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3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3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3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3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3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3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3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3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3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3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3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3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3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3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3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3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3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3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3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3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3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3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3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3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3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3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3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3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3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3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3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3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3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3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3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3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3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3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3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3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3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3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3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3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3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3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3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3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3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3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3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3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3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3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3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3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3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3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3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3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3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3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3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3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3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3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3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3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3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A423" s="231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3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1"/>
      <c r="AC423" s="231"/>
      <c r="AD423" s="231"/>
      <c r="AE423" s="231"/>
      <c r="AF423" s="231"/>
      <c r="AG423" s="231"/>
      <c r="AH423" s="231"/>
      <c r="AI423" s="231"/>
      <c r="AJ423" s="231"/>
      <c r="AK423" s="231"/>
      <c r="AL423" s="231"/>
      <c r="AM423" s="231"/>
      <c r="AN423" s="231"/>
      <c r="AO423" s="231"/>
      <c r="AP423" s="231"/>
    </row>
    <row r="424" ht="13.5" customHeight="1">
      <c r="A424" s="231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3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1"/>
      <c r="AC424" s="231"/>
      <c r="AD424" s="231"/>
      <c r="AE424" s="231"/>
      <c r="AF424" s="231"/>
      <c r="AG424" s="231"/>
      <c r="AH424" s="231"/>
      <c r="AI424" s="231"/>
      <c r="AJ424" s="231"/>
      <c r="AK424" s="231"/>
      <c r="AL424" s="231"/>
      <c r="AM424" s="231"/>
      <c r="AN424" s="231"/>
      <c r="AO424" s="231"/>
      <c r="AP424" s="231"/>
    </row>
    <row r="425" ht="13.5" customHeight="1">
      <c r="A425" s="231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3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1"/>
      <c r="AC425" s="231"/>
      <c r="AD425" s="231"/>
      <c r="AE425" s="231"/>
      <c r="AF425" s="231"/>
      <c r="AG425" s="231"/>
      <c r="AH425" s="231"/>
      <c r="AI425" s="231"/>
      <c r="AJ425" s="231"/>
      <c r="AK425" s="231"/>
      <c r="AL425" s="231"/>
      <c r="AM425" s="231"/>
      <c r="AN425" s="231"/>
      <c r="AO425" s="231"/>
      <c r="AP425" s="231"/>
    </row>
    <row r="426" ht="13.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3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3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3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3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3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3.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6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3.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3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3.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3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3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3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3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3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3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3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3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3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3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3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3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3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3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3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3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3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3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3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3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3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3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3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3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3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3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3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3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3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3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3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3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3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3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3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3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3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3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3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3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3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3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3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3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3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3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3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3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3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3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3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3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3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3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3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3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3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3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3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3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3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3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3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3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3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3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3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3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3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3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3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3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3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3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3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3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3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3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3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3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3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3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3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3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3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3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3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3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3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3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3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3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3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3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3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3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3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3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3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3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3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3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3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3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3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3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3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3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3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3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3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3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3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3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3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3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3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3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3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3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3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3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3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3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3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3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3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3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3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3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3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3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3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3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3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3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3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3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3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3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3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3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3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3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3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3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3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3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3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3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3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3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3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3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3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3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3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3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30"/>
      <c r="O591" s="1"/>
      <c r="P591" s="234">
        <v>1715979.17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3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3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3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3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3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3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3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3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3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3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3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3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3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3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3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3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3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3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3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3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3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3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3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3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3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3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3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3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3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3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3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3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3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3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3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3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3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3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3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3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3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3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3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3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3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3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3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3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3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3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3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3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3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3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3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3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3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3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3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3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3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3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3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3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3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3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3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3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3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3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3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3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3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3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3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3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3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3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3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3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3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3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3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3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3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3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3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3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3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3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3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3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3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3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3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3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3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3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3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3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3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3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3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3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3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3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3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3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3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3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3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3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3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3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3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3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3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3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3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3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3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3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3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3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3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3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3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3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3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3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3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3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3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3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3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3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3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3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3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3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3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3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3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3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3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3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3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3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3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3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3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3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3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3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3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3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3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3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3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3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3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3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3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3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3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3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3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3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3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3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3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3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3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3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3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3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3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3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3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3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3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3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3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3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3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3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3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3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3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3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3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3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3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3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3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3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3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3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3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3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3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3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3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3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3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3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3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3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3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3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3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3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3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3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3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3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3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3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3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3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3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3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3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3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3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3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3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3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3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3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3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3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3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3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3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3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3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3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3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3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3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3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3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3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3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3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3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3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3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3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3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3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3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3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3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3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3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3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3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3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3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3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3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3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3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3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3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3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3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3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3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3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3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3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3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3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3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3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3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3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3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3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3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3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3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3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3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3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3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3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3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3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3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3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3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3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3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3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3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3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3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3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3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3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3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3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3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3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3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3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3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3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3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3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3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3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3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3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3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3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3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3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3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3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3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3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3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3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3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3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3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3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3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3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3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3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3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3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3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3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3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3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3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3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3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3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3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3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3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3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3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3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3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3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3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3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3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3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3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3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3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3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3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3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30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30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30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30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30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30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30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30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30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30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30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30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30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30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30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30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30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30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93">
      <c r="R993" s="248"/>
    </row>
  </sheetData>
  <dataValidations>
    <dataValidation type="list" allowBlank="1" showErrorMessage="1" sqref="C1 C20 C22:C51 C56:C60 C76 C80 C85:C86 C98:C99 C101 C113 C115 C281:C974">
      <formula1>'Prev. Dashboard'!C$20:C$43</formula1>
    </dataValidation>
    <dataValidation type="list" allowBlank="1" showErrorMessage="1" sqref="D1:D974">
      <formula1>"Stanbic,Rencap,Mauritius"</formula1>
    </dataValidation>
    <dataValidation type="list" allowBlank="1" showErrorMessage="1" sqref="C75">
      <formula1>'Prev. Dashboard'!C$20:C$58</formula1>
    </dataValidation>
    <dataValidation type="list" allowBlank="1" showErrorMessage="1" sqref="F1:F62 F194 F198:F223 F247:F250 F252:F974">
      <formula1>"Kingsley,Kamil,Rasheed,Gimba,Wahab"</formula1>
    </dataValidation>
    <dataValidation type="list" allowBlank="1" showErrorMessage="1" sqref="F67:F74 F115:F128 F224:F246 F251">
      <formula1>"Kingsley,Kamil,Rasheed,Victor,William"</formula1>
    </dataValidation>
    <dataValidation type="list" allowBlank="1" showErrorMessage="1" sqref="G1:G974">
      <formula1>"Sell,Buy"</formula1>
    </dataValidation>
    <dataValidation type="list" allowBlank="1" showErrorMessage="1" sqref="F75:F108 F114 F148:F155 F160:F164">
      <formula1>"Kingsley,Kamil,Rasheed,Victor,Oise"</formula1>
    </dataValidation>
    <dataValidation type="list" allowBlank="1" showErrorMessage="1" sqref="C63:C74 C77:C79 C81:C84 C87:C97 C100 C102:C112 C114 C116:C128 C138">
      <formula1>'Prev. Dashboard'!C$20:C$455</formula1>
    </dataValidation>
    <dataValidation type="list" allowBlank="1" showErrorMessage="1" sqref="F63:F66">
      <formula1>"Kingsley,Kamil,Rasheed,Victor"</formula1>
    </dataValidation>
    <dataValidation type="list" allowBlank="1" showErrorMessage="1" sqref="F142:F147 F156:F159 F165:F177 F182:F190 F192 F196:F197">
      <formula1>"Kingsley,Kamil,Rasheed,Dapo,Victor,Fareed"</formula1>
    </dataValidation>
    <dataValidation type="list" allowBlank="1" showErrorMessage="1" sqref="C2:C12 C61:C62">
      <formula1>'Prev. Dashboard'!C$20:C$47</formula1>
    </dataValidation>
    <dataValidation type="list" allowBlank="1" showErrorMessage="1" sqref="E2:E19 E24:E178 E253:E270">
      <formula1>"SMA - Chidi Iwuchukwu,GIF₦,SMA - Consonance,SMA - OneFi,Leverage,SMA - Lion&amp;Lily"</formula1>
    </dataValidation>
    <dataValidation type="list" allowBlank="1" showErrorMessage="1" sqref="C52:C55">
      <formula1>'Prev. Dashboard'!C$20:C$52</formula1>
    </dataValidation>
    <dataValidation type="list" allowBlank="1" showErrorMessage="1" sqref="C129:C137 C139:C280">
      <formula1>'Prev. Dashboard'!C$20:C$79</formula1>
    </dataValidation>
    <dataValidation type="list" allowBlank="1" showErrorMessage="1" sqref="F109:F113">
      <formula1>"Kingsley,Kamil,Rasheed,Victor,Oise,Ife"</formula1>
    </dataValidation>
    <dataValidation type="list" allowBlank="1" showErrorMessage="1" sqref="F178">
      <formula1>"Kingsley,Kamil,Rasheed,Dapo,Victor,Fareed,Femi Adisa"</formula1>
    </dataValidation>
    <dataValidation type="list" allowBlank="1" showErrorMessage="1" sqref="E1 E20:E23 E179:E252 E271:E974">
      <formula1>"SMA - Chidi Iwuchukwu,SADF$,GIF$,SMA - Consonance,SMA - OneFi,Leverage,SMA - Lion&amp;Lily"</formula1>
    </dataValidation>
    <dataValidation type="list" allowBlank="1" showErrorMessage="1" sqref="F129:F141 F179:F181 F191 F193 F195">
      <formula1>"Kingsley,Kamil,Rasheed,Dapo,Victor"</formula1>
    </dataValidation>
    <dataValidation type="list" allowBlank="1" showErrorMessage="1" sqref="V2:V60">
      <formula1>"Settled,Cancelled"</formula1>
    </dataValidation>
    <dataValidation type="list" allowBlank="1" showErrorMessage="1" sqref="C14:C19 C21">
      <formula1>'Prev. Dashboard'!C$20:C$50</formula1>
    </dataValidation>
    <dataValidation type="list" allowBlank="1" showErrorMessage="1" sqref="C13">
      <formula1>'Prev. Dashboard'!C$20:C$49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1" t="s">
        <v>20</v>
      </c>
      <c r="B1" s="81" t="s">
        <v>22</v>
      </c>
      <c r="C1" s="81" t="s">
        <v>24</v>
      </c>
      <c r="D1" s="81" t="s">
        <v>28</v>
      </c>
      <c r="E1" s="81" t="s">
        <v>29</v>
      </c>
      <c r="F1" s="81" t="s">
        <v>30</v>
      </c>
      <c r="G1" s="81" t="s">
        <v>31</v>
      </c>
      <c r="H1" s="81" t="s">
        <v>32</v>
      </c>
      <c r="I1" s="81" t="s">
        <v>33</v>
      </c>
      <c r="J1" s="81" t="s">
        <v>54</v>
      </c>
      <c r="K1" s="41" t="s">
        <v>55</v>
      </c>
      <c r="L1" s="41" t="s">
        <v>35</v>
      </c>
    </row>
    <row r="2">
      <c r="A2" s="3" t="s">
        <v>12</v>
      </c>
      <c r="B2" s="3" t="s">
        <v>140</v>
      </c>
      <c r="C2" s="48">
        <v>0.125</v>
      </c>
      <c r="D2" s="49">
        <v>46044.0</v>
      </c>
      <c r="E2" s="49">
        <v>44327.0</v>
      </c>
      <c r="F2" s="49">
        <v>44330.0</v>
      </c>
      <c r="G2" s="48">
        <f t="shared" ref="G2:G3" si="1">IFERROR(YIELD(F2,D2,C2,H2,100,2,1),"")</f>
        <v>0.1289945045</v>
      </c>
      <c r="H2" s="54">
        <v>98.58</v>
      </c>
      <c r="I2" s="54">
        <v>1.94E8</v>
      </c>
      <c r="J2" s="84">
        <f t="shared" ref="J2:J108" si="2">IFERROR((I2*H2/100)+ACCRINT(COUPPCD(F2,D2,2,1),COUPNCD(F2,D2,2,1),F2,C2,I2,2,1),I2*H2/100)</f>
        <v>198747962.4</v>
      </c>
      <c r="K2" s="9">
        <f t="shared" ref="K2:K108" si="3">I2*H2/100</f>
        <v>191245200</v>
      </c>
      <c r="L2" s="9">
        <f t="shared" ref="L2:L74" si="4">IFERROR(ACCRINT(COUPPCD(F2,D2,2,1),COUPNCD(F2,D2,2,0),F2,C2,I2,2,1),"")</f>
        <v>7502762.431</v>
      </c>
    </row>
    <row r="3">
      <c r="A3" s="3" t="s">
        <v>12</v>
      </c>
      <c r="B3" s="3" t="s">
        <v>144</v>
      </c>
      <c r="C3" s="48">
        <v>0.125</v>
      </c>
      <c r="D3" s="49">
        <v>49395.0</v>
      </c>
      <c r="E3" s="49">
        <v>44327.0</v>
      </c>
      <c r="F3" s="49">
        <v>44333.0</v>
      </c>
      <c r="G3" s="48">
        <f t="shared" si="1"/>
        <v>0.1385949543</v>
      </c>
      <c r="H3" s="54">
        <v>91.68</v>
      </c>
      <c r="I3" s="54">
        <v>2.0E8</v>
      </c>
      <c r="J3" s="84">
        <f t="shared" si="2"/>
        <v>186824673.9</v>
      </c>
      <c r="K3" s="9">
        <f t="shared" si="3"/>
        <v>183360000</v>
      </c>
      <c r="L3" s="9">
        <f t="shared" si="4"/>
        <v>3464673.913</v>
      </c>
    </row>
    <row r="4">
      <c r="A4" s="3" t="s">
        <v>12</v>
      </c>
      <c r="B4" s="3" t="s">
        <v>145</v>
      </c>
      <c r="C4" s="48">
        <v>0.098</v>
      </c>
      <c r="D4" s="49">
        <v>53167.0</v>
      </c>
      <c r="E4" s="49">
        <v>44334.0</v>
      </c>
      <c r="F4" s="49">
        <v>44336.0</v>
      </c>
      <c r="G4" s="48">
        <f t="shared" ref="G4:G6" si="5">YIELD(F4,D4,C4,H4,100,2,1)</f>
        <v>0.1399994984</v>
      </c>
      <c r="H4" s="54">
        <v>71.1</v>
      </c>
      <c r="I4" s="54">
        <v>2.0E8</v>
      </c>
      <c r="J4" s="84">
        <f t="shared" si="2"/>
        <v>148480663</v>
      </c>
      <c r="K4" s="9">
        <f t="shared" si="3"/>
        <v>142200000</v>
      </c>
      <c r="L4" s="9">
        <f t="shared" si="4"/>
        <v>6280662.983</v>
      </c>
    </row>
    <row r="5">
      <c r="A5" s="3" t="s">
        <v>12</v>
      </c>
      <c r="B5" s="3" t="s">
        <v>146</v>
      </c>
      <c r="C5" s="48">
        <v>0.162884</v>
      </c>
      <c r="D5" s="49">
        <v>46463.0</v>
      </c>
      <c r="E5" s="49">
        <v>44337.0</v>
      </c>
      <c r="F5" s="49">
        <v>44341.0</v>
      </c>
      <c r="G5" s="48">
        <f t="shared" si="5"/>
        <v>0.1309941755</v>
      </c>
      <c r="H5" s="54">
        <v>112.64</v>
      </c>
      <c r="I5" s="54">
        <v>1.0E8</v>
      </c>
      <c r="J5" s="84">
        <f t="shared" si="2"/>
        <v>115694075</v>
      </c>
      <c r="K5" s="9">
        <f t="shared" si="3"/>
        <v>112640000</v>
      </c>
      <c r="L5" s="9">
        <f t="shared" si="4"/>
        <v>3054075</v>
      </c>
    </row>
    <row r="6">
      <c r="A6" s="3" t="s">
        <v>12</v>
      </c>
      <c r="B6" s="3" t="s">
        <v>147</v>
      </c>
      <c r="C6" s="48">
        <v>0.148</v>
      </c>
      <c r="D6" s="49">
        <v>54539.0</v>
      </c>
      <c r="E6" s="49">
        <v>44347.0</v>
      </c>
      <c r="F6" s="49">
        <v>44349.0</v>
      </c>
      <c r="G6" s="48">
        <f t="shared" si="5"/>
        <v>0.1398003476</v>
      </c>
      <c r="H6" s="54">
        <v>105.69</v>
      </c>
      <c r="I6" s="54">
        <v>5.0E8</v>
      </c>
      <c r="J6" s="84">
        <f t="shared" si="2"/>
        <v>535930874.3</v>
      </c>
      <c r="K6" s="9">
        <f t="shared" si="3"/>
        <v>528450000</v>
      </c>
      <c r="L6" s="9">
        <f t="shared" si="4"/>
        <v>7480874.317</v>
      </c>
    </row>
    <row r="7">
      <c r="A7" s="3" t="s">
        <v>12</v>
      </c>
      <c r="B7" s="3" t="s">
        <v>144</v>
      </c>
      <c r="C7" s="48">
        <v>0.125</v>
      </c>
      <c r="D7" s="49">
        <v>49395.0</v>
      </c>
      <c r="E7" s="49">
        <v>44348.0</v>
      </c>
      <c r="F7" s="49">
        <f>E7+2</f>
        <v>44350</v>
      </c>
      <c r="G7" s="48">
        <f t="shared" ref="G7:G9" si="6">IFERROR(YIELD(F7,D7,C7,H7,100,2,1),"")</f>
        <v>0.1381959545</v>
      </c>
      <c r="H7" s="54">
        <v>91.91</v>
      </c>
      <c r="I7" s="54">
        <v>1.0E8</v>
      </c>
      <c r="J7" s="84">
        <f t="shared" si="2"/>
        <v>94219782.61</v>
      </c>
      <c r="K7" s="9">
        <f t="shared" si="3"/>
        <v>91910000</v>
      </c>
      <c r="L7" s="9">
        <f t="shared" si="4"/>
        <v>2309782.609</v>
      </c>
    </row>
    <row r="8">
      <c r="A8" s="3" t="s">
        <v>12</v>
      </c>
      <c r="B8" s="3" t="s">
        <v>150</v>
      </c>
      <c r="C8" s="48">
        <v>0.1298</v>
      </c>
      <c r="D8" s="49">
        <v>54874.0</v>
      </c>
      <c r="E8" s="49">
        <v>44348.0</v>
      </c>
      <c r="F8" s="49">
        <v>44350.0</v>
      </c>
      <c r="G8" s="48">
        <f t="shared" si="6"/>
        <v>0.139194229</v>
      </c>
      <c r="H8" s="54">
        <v>93.34</v>
      </c>
      <c r="I8" s="54">
        <v>3.0E8</v>
      </c>
      <c r="J8" s="84">
        <f t="shared" si="2"/>
        <v>287215434.8</v>
      </c>
      <c r="K8" s="9">
        <f t="shared" si="3"/>
        <v>280020000</v>
      </c>
      <c r="L8" s="9">
        <f t="shared" si="4"/>
        <v>7195434.783</v>
      </c>
    </row>
    <row r="9">
      <c r="A9" s="3" t="s">
        <v>12</v>
      </c>
      <c r="B9" s="3" t="s">
        <v>150</v>
      </c>
      <c r="C9" s="48">
        <v>0.1298</v>
      </c>
      <c r="D9" s="49">
        <v>54874.0</v>
      </c>
      <c r="E9" s="49">
        <v>44348.0</v>
      </c>
      <c r="F9" s="49">
        <v>44350.0</v>
      </c>
      <c r="G9" s="48">
        <f t="shared" si="6"/>
        <v>0.139194229</v>
      </c>
      <c r="H9" s="54">
        <v>93.34</v>
      </c>
      <c r="I9" s="54">
        <v>2.0E8</v>
      </c>
      <c r="J9" s="84">
        <f t="shared" si="2"/>
        <v>191476956.5</v>
      </c>
      <c r="K9" s="9">
        <f t="shared" si="3"/>
        <v>186680000</v>
      </c>
      <c r="L9" s="9">
        <f t="shared" si="4"/>
        <v>4796956.522</v>
      </c>
    </row>
    <row r="10">
      <c r="A10" s="3" t="s">
        <v>12</v>
      </c>
      <c r="B10" s="3" t="s">
        <v>147</v>
      </c>
      <c r="C10" s="48">
        <v>0.148</v>
      </c>
      <c r="D10" s="49">
        <v>54539.0</v>
      </c>
      <c r="E10" s="49">
        <v>44344.0</v>
      </c>
      <c r="F10" s="49">
        <v>44351.0</v>
      </c>
      <c r="G10" s="48">
        <f t="shared" ref="G10:G11" si="7">YIELD(F10,D10,C10,H10,100,2,1)</f>
        <v>0.140302018</v>
      </c>
      <c r="H10" s="54">
        <v>105.32</v>
      </c>
      <c r="I10" s="54">
        <v>5.0E8</v>
      </c>
      <c r="J10" s="84">
        <f t="shared" si="2"/>
        <v>534485245.9</v>
      </c>
      <c r="K10" s="9">
        <f t="shared" si="3"/>
        <v>526600000</v>
      </c>
      <c r="L10" s="9">
        <f t="shared" si="4"/>
        <v>7885245.902</v>
      </c>
    </row>
    <row r="11">
      <c r="A11" s="3" t="s">
        <v>12</v>
      </c>
      <c r="B11" s="3" t="s">
        <v>147</v>
      </c>
      <c r="C11" s="48">
        <v>0.148</v>
      </c>
      <c r="D11" s="49">
        <v>54539.0</v>
      </c>
      <c r="E11" s="49">
        <v>44347.0</v>
      </c>
      <c r="F11" s="49">
        <v>44351.0</v>
      </c>
      <c r="G11" s="48">
        <f t="shared" si="7"/>
        <v>0.139798044</v>
      </c>
      <c r="H11" s="54">
        <v>105.69</v>
      </c>
      <c r="I11" s="54">
        <v>3.0E8</v>
      </c>
      <c r="J11" s="84">
        <f t="shared" si="2"/>
        <v>321801147.5</v>
      </c>
      <c r="K11" s="9">
        <f t="shared" si="3"/>
        <v>317070000</v>
      </c>
      <c r="L11" s="9">
        <f t="shared" si="4"/>
        <v>4731147.541</v>
      </c>
    </row>
    <row r="12">
      <c r="A12" s="3" t="s">
        <v>12</v>
      </c>
      <c r="B12" s="3" t="s">
        <v>150</v>
      </c>
      <c r="C12" s="48">
        <v>0.1298</v>
      </c>
      <c r="D12" s="49">
        <v>54874.0</v>
      </c>
      <c r="E12" s="49">
        <v>44348.0</v>
      </c>
      <c r="F12" s="49">
        <v>44354.0</v>
      </c>
      <c r="G12" s="48">
        <f t="shared" ref="G12:G79" si="8">IFERROR(YIELD(F12,D12,C12,H12,100,2,1),"")</f>
        <v>0.1392988922</v>
      </c>
      <c r="H12" s="54">
        <v>93.27</v>
      </c>
      <c r="I12" s="54">
        <v>3.0E8</v>
      </c>
      <c r="J12" s="84">
        <f t="shared" si="2"/>
        <v>287428695.7</v>
      </c>
      <c r="K12" s="9">
        <f t="shared" si="3"/>
        <v>279810000</v>
      </c>
      <c r="L12" s="9">
        <f t="shared" si="4"/>
        <v>7618695.652</v>
      </c>
    </row>
    <row r="13">
      <c r="A13" s="3" t="s">
        <v>12</v>
      </c>
      <c r="B13" s="3" t="s">
        <v>150</v>
      </c>
      <c r="C13" s="48">
        <v>0.1298</v>
      </c>
      <c r="D13" s="49">
        <v>54874.0</v>
      </c>
      <c r="E13" s="49">
        <v>44371.0</v>
      </c>
      <c r="F13" s="49">
        <v>44372.0</v>
      </c>
      <c r="G13" s="48">
        <f t="shared" si="8"/>
        <v>0.137</v>
      </c>
      <c r="H13" s="54">
        <v>94.8071680713</v>
      </c>
      <c r="I13" s="54">
        <v>1.0E9</v>
      </c>
      <c r="J13" s="84">
        <f t="shared" si="2"/>
        <v>979816245.9</v>
      </c>
      <c r="K13" s="9">
        <f t="shared" si="3"/>
        <v>948071680.7</v>
      </c>
      <c r="L13" s="9">
        <f t="shared" si="4"/>
        <v>31744565.22</v>
      </c>
    </row>
    <row r="14">
      <c r="A14" s="3" t="s">
        <v>12</v>
      </c>
      <c r="B14" s="3" t="s">
        <v>150</v>
      </c>
      <c r="C14" s="48">
        <v>0.1298</v>
      </c>
      <c r="D14" s="49">
        <v>54874.0</v>
      </c>
      <c r="E14" s="49">
        <v>44378.0</v>
      </c>
      <c r="F14" s="49">
        <v>44382.0</v>
      </c>
      <c r="G14" s="48">
        <f t="shared" si="8"/>
        <v>0.1300000497</v>
      </c>
      <c r="H14" s="54">
        <v>99.7995</v>
      </c>
      <c r="I14" s="54">
        <v>5.0E8</v>
      </c>
      <c r="J14" s="84">
        <f t="shared" si="2"/>
        <v>516633369.6</v>
      </c>
      <c r="K14" s="9">
        <f t="shared" si="3"/>
        <v>498997500</v>
      </c>
      <c r="L14" s="9">
        <f t="shared" si="4"/>
        <v>17635869.57</v>
      </c>
    </row>
    <row r="15">
      <c r="A15" s="3" t="s">
        <v>12</v>
      </c>
      <c r="B15" s="3" t="s">
        <v>150</v>
      </c>
      <c r="C15" s="48">
        <v>0.1298</v>
      </c>
      <c r="D15" s="49">
        <v>54874.0</v>
      </c>
      <c r="E15" s="49">
        <v>44379.0</v>
      </c>
      <c r="F15" s="49">
        <v>44383.0</v>
      </c>
      <c r="G15" s="48">
        <f t="shared" si="8"/>
        <v>0.1299995127</v>
      </c>
      <c r="H15" s="54">
        <v>99.8</v>
      </c>
      <c r="I15" s="54">
        <v>1.5E9</v>
      </c>
      <c r="J15" s="84">
        <f t="shared" si="2"/>
        <v>1550436685</v>
      </c>
      <c r="K15" s="9">
        <f t="shared" si="3"/>
        <v>1497000000</v>
      </c>
      <c r="L15" s="9">
        <f t="shared" si="4"/>
        <v>53436684.78</v>
      </c>
    </row>
    <row r="16">
      <c r="A16" s="3" t="s">
        <v>14</v>
      </c>
      <c r="B16" s="3" t="s">
        <v>147</v>
      </c>
      <c r="C16" s="48">
        <v>0.148</v>
      </c>
      <c r="D16" s="49">
        <v>54539.0</v>
      </c>
      <c r="E16" s="49">
        <v>44382.0</v>
      </c>
      <c r="F16" s="49">
        <v>44383.0</v>
      </c>
      <c r="G16" s="48">
        <f t="shared" si="8"/>
        <v>0.1300044626</v>
      </c>
      <c r="H16" s="54">
        <v>113.37</v>
      </c>
      <c r="I16" s="54">
        <v>7.0E8</v>
      </c>
      <c r="J16" s="84">
        <f t="shared" si="2"/>
        <v>813687267.8</v>
      </c>
      <c r="K16" s="9">
        <f t="shared" si="3"/>
        <v>793590000</v>
      </c>
      <c r="L16" s="9">
        <f t="shared" si="4"/>
        <v>20097267.76</v>
      </c>
    </row>
    <row r="17">
      <c r="A17" s="3" t="s">
        <v>14</v>
      </c>
      <c r="B17" s="3" t="s">
        <v>144</v>
      </c>
      <c r="C17" s="48">
        <v>0.125</v>
      </c>
      <c r="D17" s="49">
        <v>49395.0</v>
      </c>
      <c r="E17" s="49">
        <v>44382.0</v>
      </c>
      <c r="F17" s="49">
        <v>44383.0</v>
      </c>
      <c r="G17" s="48">
        <f t="shared" si="8"/>
        <v>0.1294956871</v>
      </c>
      <c r="H17" s="54">
        <v>97.1</v>
      </c>
      <c r="I17" s="54">
        <v>1.0E8</v>
      </c>
      <c r="J17" s="84">
        <f t="shared" si="2"/>
        <v>100530706.5</v>
      </c>
      <c r="K17" s="9">
        <f t="shared" si="3"/>
        <v>97100000</v>
      </c>
      <c r="L17" s="9">
        <f t="shared" si="4"/>
        <v>3430706.522</v>
      </c>
    </row>
    <row r="18">
      <c r="A18" s="3" t="s">
        <v>14</v>
      </c>
      <c r="B18" s="3" t="s">
        <v>144</v>
      </c>
      <c r="C18" s="48">
        <v>0.125</v>
      </c>
      <c r="D18" s="49">
        <v>49395.0</v>
      </c>
      <c r="E18" s="49">
        <v>44382.0</v>
      </c>
      <c r="F18" s="49">
        <v>44383.0</v>
      </c>
      <c r="G18" s="48">
        <f t="shared" si="8"/>
        <v>0.1294956871</v>
      </c>
      <c r="H18" s="54">
        <v>97.1</v>
      </c>
      <c r="I18" s="54">
        <v>2.0E8</v>
      </c>
      <c r="J18" s="84">
        <f t="shared" si="2"/>
        <v>201061413</v>
      </c>
      <c r="K18" s="9">
        <f t="shared" si="3"/>
        <v>194200000</v>
      </c>
      <c r="L18" s="9">
        <f t="shared" si="4"/>
        <v>6861413.043</v>
      </c>
    </row>
    <row r="19">
      <c r="A19" s="3" t="s">
        <v>12</v>
      </c>
      <c r="B19" s="3" t="s">
        <v>150</v>
      </c>
      <c r="C19" s="48">
        <v>0.1298</v>
      </c>
      <c r="D19" s="49">
        <v>54874.0</v>
      </c>
      <c r="E19" s="49">
        <v>44378.0</v>
      </c>
      <c r="F19" s="49">
        <v>44383.0</v>
      </c>
      <c r="G19" s="48">
        <f t="shared" si="8"/>
        <v>0.1300000475</v>
      </c>
      <c r="H19" s="54">
        <v>99.7996</v>
      </c>
      <c r="I19" s="54">
        <v>1.2E9</v>
      </c>
      <c r="J19" s="84">
        <f t="shared" si="2"/>
        <v>1240344548</v>
      </c>
      <c r="K19" s="9">
        <f t="shared" si="3"/>
        <v>1197595200</v>
      </c>
      <c r="L19" s="9">
        <f t="shared" si="4"/>
        <v>42749347.83</v>
      </c>
    </row>
    <row r="20">
      <c r="A20" s="95" t="s">
        <v>12</v>
      </c>
      <c r="B20" s="95" t="s">
        <v>150</v>
      </c>
      <c r="C20" s="96">
        <v>0.1298</v>
      </c>
      <c r="D20" s="97">
        <v>54874.0</v>
      </c>
      <c r="E20" s="97">
        <v>44426.0</v>
      </c>
      <c r="F20" s="97">
        <f>E20+2</f>
        <v>44428</v>
      </c>
      <c r="G20" s="96">
        <f t="shared" si="8"/>
        <v>0.128</v>
      </c>
      <c r="H20" s="99">
        <v>101.3326222759</v>
      </c>
      <c r="I20" s="99">
        <v>9.0E8</v>
      </c>
      <c r="J20" s="101">
        <f t="shared" si="2"/>
        <v>958340665.7</v>
      </c>
      <c r="K20" s="101">
        <f t="shared" si="3"/>
        <v>911993600.5</v>
      </c>
      <c r="L20" s="101">
        <f t="shared" si="4"/>
        <v>46347065.22</v>
      </c>
    </row>
    <row r="21">
      <c r="A21" s="95" t="s">
        <v>12</v>
      </c>
      <c r="B21" s="95" t="s">
        <v>150</v>
      </c>
      <c r="C21" s="96">
        <v>0.1298</v>
      </c>
      <c r="D21" s="97">
        <v>54874.0</v>
      </c>
      <c r="E21" s="97">
        <v>44427.0</v>
      </c>
      <c r="F21" s="97">
        <v>44431.0</v>
      </c>
      <c r="G21" s="96">
        <f t="shared" si="8"/>
        <v>0.1275002619</v>
      </c>
      <c r="H21" s="99">
        <v>101.72</v>
      </c>
      <c r="I21" s="99">
        <v>1.0E9</v>
      </c>
      <c r="J21" s="101">
        <f t="shared" si="2"/>
        <v>1069754891</v>
      </c>
      <c r="K21" s="101">
        <f t="shared" si="3"/>
        <v>1017200000</v>
      </c>
      <c r="L21" s="101">
        <f t="shared" si="4"/>
        <v>52554891.3</v>
      </c>
    </row>
    <row r="22">
      <c r="A22" s="95" t="s">
        <v>12</v>
      </c>
      <c r="B22" s="95" t="s">
        <v>150</v>
      </c>
      <c r="C22" s="96">
        <v>0.1298</v>
      </c>
      <c r="D22" s="97">
        <v>54874.0</v>
      </c>
      <c r="E22" s="97">
        <v>44427.0</v>
      </c>
      <c r="F22" s="97">
        <v>44428.0</v>
      </c>
      <c r="G22" s="96">
        <f t="shared" si="8"/>
        <v>0.1274977803</v>
      </c>
      <c r="H22" s="103">
        <v>101.72</v>
      </c>
      <c r="I22" s="103">
        <v>5.0E8</v>
      </c>
      <c r="J22" s="101">
        <f t="shared" si="2"/>
        <v>534348369.6</v>
      </c>
      <c r="K22" s="101">
        <f t="shared" si="3"/>
        <v>508600000</v>
      </c>
      <c r="L22" s="101">
        <f t="shared" si="4"/>
        <v>25748369.57</v>
      </c>
    </row>
    <row r="23">
      <c r="A23" s="95" t="s">
        <v>12</v>
      </c>
      <c r="B23" s="95" t="s">
        <v>150</v>
      </c>
      <c r="C23" s="96">
        <v>0.1298</v>
      </c>
      <c r="D23" s="97">
        <v>54874.0</v>
      </c>
      <c r="E23" s="97">
        <v>44427.0</v>
      </c>
      <c r="F23" s="97">
        <v>44428.0</v>
      </c>
      <c r="G23" s="96">
        <f t="shared" si="8"/>
        <v>0.1274977803</v>
      </c>
      <c r="H23" s="103">
        <v>101.72</v>
      </c>
      <c r="I23" s="103">
        <v>2.110615E7</v>
      </c>
      <c r="J23" s="101">
        <f t="shared" si="2"/>
        <v>22556073.68</v>
      </c>
      <c r="K23" s="101">
        <f t="shared" si="3"/>
        <v>21469175.78</v>
      </c>
      <c r="L23" s="101">
        <f t="shared" si="4"/>
        <v>1086897.901</v>
      </c>
    </row>
    <row r="24">
      <c r="A24" s="95" t="s">
        <v>12</v>
      </c>
      <c r="B24" s="95" t="s">
        <v>150</v>
      </c>
      <c r="C24" s="96">
        <v>0.1298</v>
      </c>
      <c r="D24" s="97">
        <v>54874.0</v>
      </c>
      <c r="E24" s="97">
        <v>44427.0</v>
      </c>
      <c r="F24" s="97">
        <v>44428.0</v>
      </c>
      <c r="G24" s="96">
        <f t="shared" si="8"/>
        <v>0.1274977803</v>
      </c>
      <c r="H24" s="103">
        <v>101.72</v>
      </c>
      <c r="I24" s="103">
        <v>2.7889385E8</v>
      </c>
      <c r="J24" s="101">
        <f t="shared" si="2"/>
        <v>298052948.1</v>
      </c>
      <c r="K24" s="101">
        <f t="shared" si="3"/>
        <v>283690824.2</v>
      </c>
      <c r="L24" s="101">
        <f t="shared" si="4"/>
        <v>14362123.84</v>
      </c>
    </row>
    <row r="25">
      <c r="A25" s="90" t="s">
        <v>14</v>
      </c>
      <c r="B25" s="90" t="s">
        <v>150</v>
      </c>
      <c r="C25" s="91">
        <v>0.1298</v>
      </c>
      <c r="D25" s="92">
        <v>54874.0</v>
      </c>
      <c r="E25" s="92">
        <v>44448.0</v>
      </c>
      <c r="F25" s="92">
        <v>44452.0</v>
      </c>
      <c r="G25" s="91">
        <f t="shared" si="8"/>
        <v>0.1311955052</v>
      </c>
      <c r="H25" s="94">
        <v>98.95</v>
      </c>
      <c r="I25" s="94">
        <v>1.0E9</v>
      </c>
      <c r="J25" s="106">
        <f t="shared" si="2"/>
        <v>1049461957</v>
      </c>
      <c r="K25" s="93">
        <f t="shared" si="3"/>
        <v>989500000</v>
      </c>
      <c r="L25" s="93">
        <f t="shared" si="4"/>
        <v>59961956.52</v>
      </c>
    </row>
    <row r="26">
      <c r="A26" s="3" t="s">
        <v>14</v>
      </c>
      <c r="B26" s="3" t="s">
        <v>150</v>
      </c>
      <c r="C26" s="48">
        <v>0.1298</v>
      </c>
      <c r="D26" s="49">
        <v>54874.0</v>
      </c>
      <c r="E26" s="49">
        <v>44448.0</v>
      </c>
      <c r="F26" s="49">
        <v>44452.0</v>
      </c>
      <c r="G26" s="48">
        <f t="shared" si="8"/>
        <v>0.1311955052</v>
      </c>
      <c r="H26" s="98">
        <v>98.95</v>
      </c>
      <c r="I26" s="98">
        <v>5.0E8</v>
      </c>
      <c r="J26" s="84">
        <f t="shared" si="2"/>
        <v>524730978.3</v>
      </c>
      <c r="K26" s="9">
        <f t="shared" si="3"/>
        <v>494750000</v>
      </c>
      <c r="L26" s="9">
        <f t="shared" si="4"/>
        <v>29980978.26</v>
      </c>
    </row>
    <row r="27">
      <c r="A27" s="3" t="s">
        <v>14</v>
      </c>
      <c r="B27" s="3" t="s">
        <v>150</v>
      </c>
      <c r="C27" s="48">
        <v>0.1298</v>
      </c>
      <c r="D27" s="49">
        <v>54874.0</v>
      </c>
      <c r="E27" s="49">
        <v>44448.0</v>
      </c>
      <c r="F27" s="49">
        <v>44452.0</v>
      </c>
      <c r="G27" s="48">
        <f t="shared" si="8"/>
        <v>0.1311955052</v>
      </c>
      <c r="H27" s="98">
        <v>98.95</v>
      </c>
      <c r="I27" s="98">
        <v>2.0E8</v>
      </c>
      <c r="J27" s="84">
        <f t="shared" si="2"/>
        <v>209892391.3</v>
      </c>
      <c r="K27" s="9">
        <f t="shared" si="3"/>
        <v>197900000</v>
      </c>
      <c r="L27" s="9">
        <f t="shared" si="4"/>
        <v>11992391.3</v>
      </c>
    </row>
    <row r="28">
      <c r="A28" s="3" t="s">
        <v>14</v>
      </c>
      <c r="B28" s="3" t="s">
        <v>150</v>
      </c>
      <c r="C28" s="48">
        <v>0.1298</v>
      </c>
      <c r="D28" s="49">
        <v>54874.0</v>
      </c>
      <c r="E28" s="49">
        <v>44448.0</v>
      </c>
      <c r="F28" s="49">
        <v>44453.0</v>
      </c>
      <c r="G28" s="48">
        <f t="shared" si="8"/>
        <v>0.131196829</v>
      </c>
      <c r="H28" s="98">
        <v>98.95</v>
      </c>
      <c r="I28" s="98">
        <v>5.0E8</v>
      </c>
      <c r="J28" s="84">
        <f t="shared" si="2"/>
        <v>524907337</v>
      </c>
      <c r="K28" s="9">
        <f t="shared" si="3"/>
        <v>494750000</v>
      </c>
      <c r="L28" s="9">
        <f t="shared" si="4"/>
        <v>30157336.96</v>
      </c>
    </row>
    <row r="29">
      <c r="A29" s="3" t="s">
        <v>14</v>
      </c>
      <c r="B29" s="3" t="s">
        <v>150</v>
      </c>
      <c r="C29" s="48">
        <v>0.1298</v>
      </c>
      <c r="D29" s="49">
        <v>54874.0</v>
      </c>
      <c r="E29" s="49">
        <v>44448.0</v>
      </c>
      <c r="F29" s="49">
        <v>44452.0</v>
      </c>
      <c r="G29" s="48">
        <f t="shared" si="8"/>
        <v>0.1311955052</v>
      </c>
      <c r="H29" s="98">
        <v>98.95</v>
      </c>
      <c r="I29" s="98">
        <v>3.0E8</v>
      </c>
      <c r="J29" s="84">
        <f t="shared" si="2"/>
        <v>314838587</v>
      </c>
      <c r="K29" s="9">
        <f t="shared" si="3"/>
        <v>296850000</v>
      </c>
      <c r="L29" s="9">
        <f t="shared" si="4"/>
        <v>17988586.96</v>
      </c>
    </row>
    <row r="30">
      <c r="A30" s="3" t="s">
        <v>14</v>
      </c>
      <c r="B30" s="3" t="s">
        <v>147</v>
      </c>
      <c r="C30" s="48">
        <v>0.148</v>
      </c>
      <c r="D30" s="49">
        <v>54539.0</v>
      </c>
      <c r="E30" s="49">
        <v>44453.0</v>
      </c>
      <c r="F30" s="49">
        <v>44455.0</v>
      </c>
      <c r="G30" s="48">
        <f t="shared" si="8"/>
        <v>0.1299981373</v>
      </c>
      <c r="H30" s="98">
        <v>113.38</v>
      </c>
      <c r="I30" s="98">
        <v>5.0E8</v>
      </c>
      <c r="J30" s="84">
        <f t="shared" si="2"/>
        <v>595812568.3</v>
      </c>
      <c r="K30" s="9">
        <f t="shared" si="3"/>
        <v>566900000</v>
      </c>
      <c r="L30" s="9">
        <f t="shared" si="4"/>
        <v>28912568.31</v>
      </c>
    </row>
    <row r="31">
      <c r="A31" s="3" t="s">
        <v>14</v>
      </c>
      <c r="B31" s="3" t="s">
        <v>147</v>
      </c>
      <c r="C31" s="48">
        <v>0.148</v>
      </c>
      <c r="D31" s="49">
        <v>54539.0</v>
      </c>
      <c r="E31" s="49">
        <v>44453.0</v>
      </c>
      <c r="F31" s="49">
        <v>44455.0</v>
      </c>
      <c r="G31" s="48">
        <f t="shared" si="8"/>
        <v>0.1299981373</v>
      </c>
      <c r="H31" s="98">
        <v>113.38</v>
      </c>
      <c r="I31" s="98">
        <v>1.0E8</v>
      </c>
      <c r="J31" s="84">
        <f t="shared" si="2"/>
        <v>119162513.7</v>
      </c>
      <c r="K31" s="9">
        <f t="shared" si="3"/>
        <v>113380000</v>
      </c>
      <c r="L31" s="9">
        <f t="shared" si="4"/>
        <v>5782513.661</v>
      </c>
    </row>
    <row r="32">
      <c r="A32" s="3" t="s">
        <v>12</v>
      </c>
      <c r="B32" s="3" t="s">
        <v>161</v>
      </c>
      <c r="C32" s="48">
        <v>0.1398</v>
      </c>
      <c r="D32" s="49">
        <v>46806.0</v>
      </c>
      <c r="E32" s="49">
        <v>44455.0</v>
      </c>
      <c r="F32" s="49">
        <v>44459.0</v>
      </c>
      <c r="G32" s="48">
        <f t="shared" si="8"/>
        <v>0.1151994944</v>
      </c>
      <c r="H32" s="98">
        <v>110.93</v>
      </c>
      <c r="I32" s="98">
        <v>5.0E8</v>
      </c>
      <c r="J32" s="84">
        <f t="shared" si="2"/>
        <v>559968478.3</v>
      </c>
      <c r="K32" s="9">
        <f t="shared" si="3"/>
        <v>554650000</v>
      </c>
      <c r="L32" s="9">
        <f t="shared" si="4"/>
        <v>5318478.261</v>
      </c>
    </row>
    <row r="33">
      <c r="A33" s="3" t="s">
        <v>12</v>
      </c>
      <c r="B33" s="3" t="s">
        <v>161</v>
      </c>
      <c r="C33" s="48">
        <v>0.1398</v>
      </c>
      <c r="D33" s="49">
        <v>46806.0</v>
      </c>
      <c r="E33" s="49">
        <v>44455.0</v>
      </c>
      <c r="F33" s="49">
        <v>44459.0</v>
      </c>
      <c r="G33" s="48">
        <f t="shared" si="8"/>
        <v>0.1151994944</v>
      </c>
      <c r="H33" s="98">
        <v>110.93</v>
      </c>
      <c r="I33" s="98">
        <v>2.0E8</v>
      </c>
      <c r="J33" s="84">
        <f t="shared" si="2"/>
        <v>223987391.3</v>
      </c>
      <c r="K33" s="9">
        <f t="shared" si="3"/>
        <v>221860000</v>
      </c>
      <c r="L33" s="9">
        <f t="shared" si="4"/>
        <v>2127391.304</v>
      </c>
    </row>
    <row r="34">
      <c r="A34" s="3" t="s">
        <v>12</v>
      </c>
      <c r="B34" s="3" t="s">
        <v>161</v>
      </c>
      <c r="C34" s="48">
        <v>0.1398</v>
      </c>
      <c r="D34" s="49">
        <v>46806.0</v>
      </c>
      <c r="E34" s="49">
        <v>44455.0</v>
      </c>
      <c r="F34" s="49">
        <v>44459.0</v>
      </c>
      <c r="G34" s="48">
        <f t="shared" si="8"/>
        <v>0.1145097011</v>
      </c>
      <c r="H34" s="98">
        <v>111.26</v>
      </c>
      <c r="I34" s="98">
        <v>3.0E8</v>
      </c>
      <c r="J34" s="84">
        <f t="shared" si="2"/>
        <v>336971087</v>
      </c>
      <c r="K34" s="9">
        <f t="shared" si="3"/>
        <v>333780000</v>
      </c>
      <c r="L34" s="9">
        <f t="shared" si="4"/>
        <v>3191086.957</v>
      </c>
    </row>
    <row r="35">
      <c r="A35" s="3" t="s">
        <v>12</v>
      </c>
      <c r="B35" s="3" t="s">
        <v>161</v>
      </c>
      <c r="C35" s="48">
        <v>0.1398</v>
      </c>
      <c r="D35" s="49">
        <v>46806.0</v>
      </c>
      <c r="E35" s="49">
        <v>44455.0</v>
      </c>
      <c r="F35" s="49">
        <v>44456.0</v>
      </c>
      <c r="G35" s="48">
        <f t="shared" si="8"/>
        <v>0.1144931339</v>
      </c>
      <c r="H35" s="98">
        <v>111.28</v>
      </c>
      <c r="I35" s="98">
        <v>1.0E8</v>
      </c>
      <c r="J35" s="84">
        <f t="shared" si="2"/>
        <v>112229728.3</v>
      </c>
      <c r="K35" s="9">
        <f t="shared" si="3"/>
        <v>111280000</v>
      </c>
      <c r="L35" s="9">
        <f t="shared" si="4"/>
        <v>949728.2609</v>
      </c>
    </row>
    <row r="36">
      <c r="A36" s="3" t="s">
        <v>12</v>
      </c>
      <c r="B36" s="3" t="s">
        <v>161</v>
      </c>
      <c r="C36" s="48">
        <v>0.1398</v>
      </c>
      <c r="D36" s="49">
        <v>46806.0</v>
      </c>
      <c r="E36" s="49">
        <v>44455.0</v>
      </c>
      <c r="F36" s="49">
        <v>44459.0</v>
      </c>
      <c r="G36" s="48">
        <f t="shared" si="8"/>
        <v>0.1141970584</v>
      </c>
      <c r="H36" s="98">
        <v>111.41</v>
      </c>
      <c r="I36" s="98">
        <v>4.0E8</v>
      </c>
      <c r="J36" s="84">
        <f t="shared" si="2"/>
        <v>449894782.6</v>
      </c>
      <c r="K36" s="9">
        <f t="shared" si="3"/>
        <v>445640000</v>
      </c>
      <c r="L36" s="9">
        <f t="shared" si="4"/>
        <v>4254782.609</v>
      </c>
    </row>
    <row r="37">
      <c r="A37" s="3" t="s">
        <v>14</v>
      </c>
      <c r="B37" s="3" t="s">
        <v>150</v>
      </c>
      <c r="C37" s="48">
        <v>0.1298</v>
      </c>
      <c r="D37" s="49">
        <v>54874.0</v>
      </c>
      <c r="E37" s="49">
        <v>44459.0</v>
      </c>
      <c r="F37" s="49">
        <v>44461.0</v>
      </c>
      <c r="G37" s="48">
        <f t="shared" si="8"/>
        <v>0.1291945672</v>
      </c>
      <c r="H37" s="98">
        <v>100.45</v>
      </c>
      <c r="I37" s="98">
        <v>1.0E8</v>
      </c>
      <c r="J37" s="84">
        <f t="shared" si="2"/>
        <v>106763641.3</v>
      </c>
      <c r="K37" s="9">
        <f t="shared" si="3"/>
        <v>100450000</v>
      </c>
      <c r="L37" s="9">
        <f t="shared" si="4"/>
        <v>6313641.304</v>
      </c>
    </row>
    <row r="38">
      <c r="A38" s="3" t="s">
        <v>14</v>
      </c>
      <c r="B38" s="3" t="s">
        <v>150</v>
      </c>
      <c r="C38" s="48">
        <v>0.1298</v>
      </c>
      <c r="D38" s="49">
        <v>54874.0</v>
      </c>
      <c r="E38" s="49">
        <v>44459.0</v>
      </c>
      <c r="F38" s="49">
        <v>44461.0</v>
      </c>
      <c r="G38" s="48">
        <f t="shared" si="8"/>
        <v>0.1294996725</v>
      </c>
      <c r="H38" s="98">
        <v>100.22</v>
      </c>
      <c r="I38" s="98">
        <v>1.4E9</v>
      </c>
      <c r="J38" s="84">
        <f t="shared" si="2"/>
        <v>1491470978</v>
      </c>
      <c r="K38" s="9">
        <f t="shared" si="3"/>
        <v>1403080000</v>
      </c>
      <c r="L38" s="9">
        <f t="shared" si="4"/>
        <v>88390978.26</v>
      </c>
    </row>
    <row r="39">
      <c r="A39" s="3" t="s">
        <v>14</v>
      </c>
      <c r="B39" s="3" t="s">
        <v>150</v>
      </c>
      <c r="C39" s="48">
        <v>0.1298</v>
      </c>
      <c r="D39" s="49">
        <v>54874.0</v>
      </c>
      <c r="E39" s="49">
        <v>44459.0</v>
      </c>
      <c r="F39" s="49">
        <v>44461.0</v>
      </c>
      <c r="G39" s="48">
        <f t="shared" si="8"/>
        <v>0.1296993538</v>
      </c>
      <c r="H39" s="98">
        <v>100.07</v>
      </c>
      <c r="I39" s="98">
        <v>5.0E8</v>
      </c>
      <c r="J39" s="84">
        <f t="shared" si="2"/>
        <v>531918206.5</v>
      </c>
      <c r="K39" s="9">
        <f t="shared" si="3"/>
        <v>500350000</v>
      </c>
      <c r="L39" s="9">
        <f t="shared" si="4"/>
        <v>31568206.52</v>
      </c>
    </row>
    <row r="40">
      <c r="A40" s="3" t="s">
        <v>14</v>
      </c>
      <c r="B40" s="3" t="s">
        <v>150</v>
      </c>
      <c r="C40" s="48">
        <v>0.1298</v>
      </c>
      <c r="D40" s="49">
        <v>54874.0</v>
      </c>
      <c r="E40" s="49">
        <v>44459.0</v>
      </c>
      <c r="F40" s="49">
        <v>44461.0</v>
      </c>
      <c r="G40" s="48">
        <f t="shared" si="8"/>
        <v>0.1296993538</v>
      </c>
      <c r="H40" s="98">
        <v>100.07</v>
      </c>
      <c r="I40" s="98">
        <v>3.0E8</v>
      </c>
      <c r="J40" s="84">
        <f t="shared" si="2"/>
        <v>319150923.9</v>
      </c>
      <c r="K40" s="9">
        <f t="shared" si="3"/>
        <v>300210000</v>
      </c>
      <c r="L40" s="9">
        <f t="shared" si="4"/>
        <v>18940923.91</v>
      </c>
    </row>
    <row r="41">
      <c r="A41" s="3" t="s">
        <v>14</v>
      </c>
      <c r="B41" s="3" t="s">
        <v>150</v>
      </c>
      <c r="C41" s="48">
        <v>0.1298</v>
      </c>
      <c r="D41" s="49">
        <v>54874.0</v>
      </c>
      <c r="E41" s="49">
        <v>44459.0</v>
      </c>
      <c r="F41" s="49">
        <v>44461.0</v>
      </c>
      <c r="G41" s="48">
        <f t="shared" si="8"/>
        <v>0.1296993538</v>
      </c>
      <c r="H41" s="98">
        <v>100.07</v>
      </c>
      <c r="I41" s="98">
        <v>2.0E8</v>
      </c>
      <c r="J41" s="84">
        <f t="shared" si="2"/>
        <v>212767282.6</v>
      </c>
      <c r="K41" s="9">
        <f t="shared" si="3"/>
        <v>200140000</v>
      </c>
      <c r="L41" s="9">
        <f t="shared" si="4"/>
        <v>12627282.61</v>
      </c>
    </row>
    <row r="42">
      <c r="A42" s="3" t="s">
        <v>14</v>
      </c>
      <c r="B42" s="3" t="s">
        <v>150</v>
      </c>
      <c r="C42" s="48">
        <v>0.1298</v>
      </c>
      <c r="D42" s="49">
        <v>54874.0</v>
      </c>
      <c r="E42" s="49">
        <v>44459.0</v>
      </c>
      <c r="F42" s="49">
        <v>44461.0</v>
      </c>
      <c r="G42" s="48">
        <f t="shared" si="8"/>
        <v>0.1296993538</v>
      </c>
      <c r="H42" s="98">
        <v>100.07</v>
      </c>
      <c r="I42" s="98">
        <v>3.0E8</v>
      </c>
      <c r="J42" s="84">
        <f t="shared" si="2"/>
        <v>319150923.9</v>
      </c>
      <c r="K42" s="9">
        <f t="shared" si="3"/>
        <v>300210000</v>
      </c>
      <c r="L42" s="9">
        <f t="shared" si="4"/>
        <v>18940923.91</v>
      </c>
    </row>
    <row r="43">
      <c r="A43" s="3" t="s">
        <v>14</v>
      </c>
      <c r="B43" s="3" t="s">
        <v>150</v>
      </c>
      <c r="C43" s="48">
        <v>0.1298</v>
      </c>
      <c r="D43" s="49">
        <v>54874.0</v>
      </c>
      <c r="E43" s="49">
        <v>44460.0</v>
      </c>
      <c r="F43" s="49">
        <v>44462.0</v>
      </c>
      <c r="G43" s="48">
        <f t="shared" si="8"/>
        <v>0.1299010158</v>
      </c>
      <c r="H43" s="98">
        <v>99.92</v>
      </c>
      <c r="I43" s="98">
        <v>5.0E8</v>
      </c>
      <c r="J43" s="84">
        <f t="shared" si="2"/>
        <v>531344565.2</v>
      </c>
      <c r="K43" s="9">
        <f t="shared" si="3"/>
        <v>499600000</v>
      </c>
      <c r="L43" s="9">
        <f t="shared" si="4"/>
        <v>31744565.22</v>
      </c>
    </row>
    <row r="44">
      <c r="A44" s="3" t="s">
        <v>14</v>
      </c>
      <c r="B44" s="3" t="s">
        <v>150</v>
      </c>
      <c r="C44" s="48">
        <v>0.1298</v>
      </c>
      <c r="D44" s="49">
        <v>54874.0</v>
      </c>
      <c r="E44" s="49">
        <v>44460.0</v>
      </c>
      <c r="F44" s="49">
        <v>44462.0</v>
      </c>
      <c r="G44" s="48">
        <f t="shared" si="8"/>
        <v>0.1299946541</v>
      </c>
      <c r="H44" s="98">
        <v>99.85</v>
      </c>
      <c r="I44" s="98">
        <v>5.0E8</v>
      </c>
      <c r="J44" s="84">
        <f t="shared" si="2"/>
        <v>530994565.2</v>
      </c>
      <c r="K44" s="9">
        <f t="shared" si="3"/>
        <v>499250000</v>
      </c>
      <c r="L44" s="9">
        <f t="shared" si="4"/>
        <v>31744565.22</v>
      </c>
    </row>
    <row r="45">
      <c r="A45" s="3" t="s">
        <v>14</v>
      </c>
      <c r="B45" s="3" t="s">
        <v>150</v>
      </c>
      <c r="C45" s="48">
        <v>0.1298</v>
      </c>
      <c r="D45" s="49">
        <v>54874.0</v>
      </c>
      <c r="E45" s="49">
        <v>44460.0</v>
      </c>
      <c r="F45" s="49">
        <v>44462.0</v>
      </c>
      <c r="G45" s="48">
        <f t="shared" si="8"/>
        <v>0.1299946541</v>
      </c>
      <c r="H45" s="98">
        <v>99.85</v>
      </c>
      <c r="I45" s="98">
        <v>5.0E8</v>
      </c>
      <c r="J45" s="84">
        <f t="shared" si="2"/>
        <v>530994565.2</v>
      </c>
      <c r="K45" s="9">
        <f t="shared" si="3"/>
        <v>499250000</v>
      </c>
      <c r="L45" s="9">
        <f t="shared" si="4"/>
        <v>31744565.22</v>
      </c>
    </row>
    <row r="46">
      <c r="A46" s="3" t="s">
        <v>14</v>
      </c>
      <c r="B46" s="3" t="s">
        <v>150</v>
      </c>
      <c r="C46" s="48">
        <v>0.1298</v>
      </c>
      <c r="D46" s="49">
        <v>54874.0</v>
      </c>
      <c r="E46" s="49">
        <v>44460.0</v>
      </c>
      <c r="F46" s="49">
        <v>44463.0</v>
      </c>
      <c r="G46" s="48">
        <f t="shared" si="8"/>
        <v>0.1299960999</v>
      </c>
      <c r="H46" s="98">
        <v>99.85</v>
      </c>
      <c r="I46" s="98">
        <v>3.0E8</v>
      </c>
      <c r="J46" s="84">
        <f t="shared" si="2"/>
        <v>318702554.3</v>
      </c>
      <c r="K46" s="9">
        <f t="shared" si="3"/>
        <v>299550000</v>
      </c>
      <c r="L46" s="9">
        <f t="shared" si="4"/>
        <v>19152554.35</v>
      </c>
    </row>
    <row r="47">
      <c r="A47" s="3" t="s">
        <v>14</v>
      </c>
      <c r="B47" s="3" t="s">
        <v>150</v>
      </c>
      <c r="C47" s="48">
        <v>0.1298</v>
      </c>
      <c r="D47" s="49">
        <v>54874.0</v>
      </c>
      <c r="E47" s="49">
        <v>44460.0</v>
      </c>
      <c r="F47" s="49">
        <v>44462.0</v>
      </c>
      <c r="G47" s="48">
        <f t="shared" si="8"/>
        <v>0.1299946541</v>
      </c>
      <c r="H47" s="98">
        <v>99.85</v>
      </c>
      <c r="I47" s="98">
        <v>2.0E8</v>
      </c>
      <c r="J47" s="84">
        <f t="shared" si="2"/>
        <v>212397826.1</v>
      </c>
      <c r="K47" s="9">
        <f t="shared" si="3"/>
        <v>199700000</v>
      </c>
      <c r="L47" s="9">
        <f t="shared" si="4"/>
        <v>12697826.09</v>
      </c>
    </row>
    <row r="48">
      <c r="A48" s="3" t="s">
        <v>14</v>
      </c>
      <c r="B48" s="3" t="s">
        <v>150</v>
      </c>
      <c r="C48" s="48">
        <v>0.1298</v>
      </c>
      <c r="D48" s="49">
        <v>54874.0</v>
      </c>
      <c r="E48" s="49">
        <v>44460.0</v>
      </c>
      <c r="F48" s="49">
        <v>44462.0</v>
      </c>
      <c r="G48" s="48">
        <f t="shared" si="8"/>
        <v>0.1299946541</v>
      </c>
      <c r="H48" s="98">
        <v>99.85</v>
      </c>
      <c r="I48" s="98">
        <v>2.0E8</v>
      </c>
      <c r="J48" s="84">
        <f t="shared" si="2"/>
        <v>212397826.1</v>
      </c>
      <c r="K48" s="9">
        <f t="shared" si="3"/>
        <v>199700000</v>
      </c>
      <c r="L48" s="9">
        <f t="shared" si="4"/>
        <v>12697826.09</v>
      </c>
    </row>
    <row r="49">
      <c r="A49" s="3" t="s">
        <v>14</v>
      </c>
      <c r="B49" s="3" t="s">
        <v>150</v>
      </c>
      <c r="C49" s="48">
        <v>0.1298</v>
      </c>
      <c r="D49" s="49">
        <v>54874.0</v>
      </c>
      <c r="E49" s="49">
        <v>44460.0</v>
      </c>
      <c r="F49" s="49">
        <v>44463.0</v>
      </c>
      <c r="G49" s="48">
        <f t="shared" si="8"/>
        <v>0.1299960999</v>
      </c>
      <c r="H49" s="98">
        <v>99.85</v>
      </c>
      <c r="I49" s="98">
        <v>2.0E8</v>
      </c>
      <c r="J49" s="84">
        <f t="shared" si="2"/>
        <v>212468369.6</v>
      </c>
      <c r="K49" s="9">
        <f t="shared" si="3"/>
        <v>199700000</v>
      </c>
      <c r="L49" s="9">
        <f t="shared" si="4"/>
        <v>12768369.57</v>
      </c>
    </row>
    <row r="50">
      <c r="A50" s="3" t="s">
        <v>12</v>
      </c>
      <c r="B50" s="3" t="s">
        <v>161</v>
      </c>
      <c r="C50" s="48">
        <v>0.1398</v>
      </c>
      <c r="D50" s="49">
        <v>46806.0</v>
      </c>
      <c r="E50" s="49">
        <v>44461.0</v>
      </c>
      <c r="F50" s="49">
        <v>44463.0</v>
      </c>
      <c r="G50" s="48">
        <f t="shared" si="8"/>
        <v>0.116</v>
      </c>
      <c r="H50" s="98">
        <v>110.5335929177</v>
      </c>
      <c r="I50" s="98">
        <v>3.579E9</v>
      </c>
      <c r="J50" s="84">
        <f t="shared" si="2"/>
        <v>3999505482</v>
      </c>
      <c r="K50" s="9">
        <f t="shared" si="3"/>
        <v>3955997291</v>
      </c>
      <c r="L50" s="9">
        <f t="shared" si="4"/>
        <v>43508191.3</v>
      </c>
    </row>
    <row r="51">
      <c r="A51" s="3" t="s">
        <v>12</v>
      </c>
      <c r="B51" s="3" t="s">
        <v>167</v>
      </c>
      <c r="C51" s="48">
        <v>0.124</v>
      </c>
      <c r="D51" s="49">
        <v>49752.0</v>
      </c>
      <c r="E51" s="49">
        <v>44461.0</v>
      </c>
      <c r="F51" s="49">
        <v>44463.0</v>
      </c>
      <c r="G51" s="48">
        <f t="shared" si="8"/>
        <v>0.1275</v>
      </c>
      <c r="H51" s="98">
        <v>97.7070681707</v>
      </c>
      <c r="I51" s="98">
        <v>3.033E9</v>
      </c>
      <c r="J51" s="84">
        <f t="shared" si="2"/>
        <v>2969688947</v>
      </c>
      <c r="K51" s="9">
        <f t="shared" si="3"/>
        <v>2963455378</v>
      </c>
      <c r="L51" s="9">
        <f t="shared" si="4"/>
        <v>6233569.061</v>
      </c>
    </row>
    <row r="52">
      <c r="A52" s="3" t="s">
        <v>14</v>
      </c>
      <c r="B52" s="3" t="s">
        <v>167</v>
      </c>
      <c r="C52" s="48">
        <v>0.124</v>
      </c>
      <c r="D52" s="49">
        <v>49752.0</v>
      </c>
      <c r="E52" s="49">
        <v>44477.0</v>
      </c>
      <c r="F52" s="49">
        <v>44481.0</v>
      </c>
      <c r="G52" s="48">
        <f t="shared" si="8"/>
        <v>0.1295078999</v>
      </c>
      <c r="H52" s="98">
        <v>96.42</v>
      </c>
      <c r="I52" s="98">
        <v>5.0E8</v>
      </c>
      <c r="J52" s="84">
        <f t="shared" si="2"/>
        <v>486210497.2</v>
      </c>
      <c r="K52" s="9">
        <f t="shared" si="3"/>
        <v>482100000</v>
      </c>
      <c r="L52" s="9">
        <f t="shared" si="4"/>
        <v>4110497.238</v>
      </c>
    </row>
    <row r="53">
      <c r="A53" s="3" t="s">
        <v>14</v>
      </c>
      <c r="B53" s="3" t="s">
        <v>167</v>
      </c>
      <c r="C53" s="48">
        <v>0.124</v>
      </c>
      <c r="D53" s="49">
        <v>49752.0</v>
      </c>
      <c r="E53" s="49">
        <v>44477.0</v>
      </c>
      <c r="F53" s="49">
        <v>44481.0</v>
      </c>
      <c r="G53" s="48">
        <f t="shared" si="8"/>
        <v>0.1300027285</v>
      </c>
      <c r="H53" s="98">
        <v>96.11</v>
      </c>
      <c r="I53" s="98">
        <v>2.533E9</v>
      </c>
      <c r="J53" s="84">
        <f t="shared" si="2"/>
        <v>2455290079</v>
      </c>
      <c r="K53" s="9">
        <f t="shared" si="3"/>
        <v>2434466300</v>
      </c>
      <c r="L53" s="9">
        <f t="shared" si="4"/>
        <v>20823779.01</v>
      </c>
    </row>
    <row r="54">
      <c r="A54" s="3" t="s">
        <v>14</v>
      </c>
      <c r="B54" s="3" t="s">
        <v>161</v>
      </c>
      <c r="C54" s="48">
        <v>0.1398</v>
      </c>
      <c r="D54" s="49">
        <v>46806.0</v>
      </c>
      <c r="E54" s="49">
        <v>44483.0</v>
      </c>
      <c r="F54" s="49">
        <v>44487.0</v>
      </c>
      <c r="G54" s="48">
        <f t="shared" si="8"/>
        <v>0.12</v>
      </c>
      <c r="H54" s="98">
        <v>108.5827945203</v>
      </c>
      <c r="I54" s="98">
        <v>1.0E9</v>
      </c>
      <c r="J54" s="84">
        <f t="shared" si="2"/>
        <v>1107101858</v>
      </c>
      <c r="K54" s="9">
        <f t="shared" si="3"/>
        <v>1085827945</v>
      </c>
      <c r="L54" s="9">
        <f t="shared" si="4"/>
        <v>21273913.04</v>
      </c>
    </row>
    <row r="55">
      <c r="A55" s="3" t="s">
        <v>14</v>
      </c>
      <c r="B55" s="3" t="s">
        <v>161</v>
      </c>
      <c r="C55" s="48">
        <v>0.1398</v>
      </c>
      <c r="D55" s="49">
        <v>46806.0</v>
      </c>
      <c r="E55" s="49">
        <v>44489.0</v>
      </c>
      <c r="F55" s="49">
        <v>44491.0</v>
      </c>
      <c r="G55" s="48">
        <f t="shared" si="8"/>
        <v>0.12</v>
      </c>
      <c r="H55" s="98">
        <v>108.5711651537</v>
      </c>
      <c r="I55" s="98">
        <v>5.0E8</v>
      </c>
      <c r="J55" s="84">
        <f t="shared" si="2"/>
        <v>554252564.9</v>
      </c>
      <c r="K55" s="9">
        <f t="shared" si="3"/>
        <v>542855825.8</v>
      </c>
      <c r="L55" s="9">
        <f t="shared" si="4"/>
        <v>11396739.13</v>
      </c>
    </row>
    <row r="56">
      <c r="A56" s="3" t="s">
        <v>14</v>
      </c>
      <c r="B56" s="3" t="s">
        <v>145</v>
      </c>
      <c r="C56" s="48">
        <v>0.098</v>
      </c>
      <c r="D56" s="49">
        <v>53167.0</v>
      </c>
      <c r="E56" s="49">
        <v>44490.0</v>
      </c>
      <c r="F56" s="49">
        <v>44494.0</v>
      </c>
      <c r="G56" s="48">
        <f t="shared" si="8"/>
        <v>0.1249938359</v>
      </c>
      <c r="H56" s="98">
        <v>79.58</v>
      </c>
      <c r="I56" s="98">
        <v>2.0E8</v>
      </c>
      <c r="J56" s="84">
        <f t="shared" si="2"/>
        <v>164113260.9</v>
      </c>
      <c r="K56" s="9">
        <f t="shared" si="3"/>
        <v>159160000</v>
      </c>
      <c r="L56" s="9">
        <f t="shared" si="4"/>
        <v>4953260.87</v>
      </c>
    </row>
    <row r="57">
      <c r="A57" s="3" t="s">
        <v>14</v>
      </c>
      <c r="B57" s="3" t="s">
        <v>161</v>
      </c>
      <c r="C57" s="48">
        <v>0.1398</v>
      </c>
      <c r="D57" s="49">
        <v>46806.0</v>
      </c>
      <c r="E57" s="49">
        <v>44490.0</v>
      </c>
      <c r="F57" s="49">
        <v>44494.0</v>
      </c>
      <c r="G57" s="48">
        <f t="shared" si="8"/>
        <v>0.1225</v>
      </c>
      <c r="H57" s="98">
        <v>107.4212526843</v>
      </c>
      <c r="I57" s="98">
        <v>1.2E9</v>
      </c>
      <c r="J57" s="84">
        <f t="shared" si="2"/>
        <v>1317774815</v>
      </c>
      <c r="K57" s="9">
        <f t="shared" si="3"/>
        <v>1289055032</v>
      </c>
      <c r="L57" s="9">
        <f t="shared" si="4"/>
        <v>28719782.61</v>
      </c>
    </row>
    <row r="58">
      <c r="A58" s="3" t="s">
        <v>14</v>
      </c>
      <c r="B58" s="3" t="s">
        <v>161</v>
      </c>
      <c r="C58" s="48">
        <v>0.1398</v>
      </c>
      <c r="D58" s="49">
        <v>46806.0</v>
      </c>
      <c r="E58" s="49">
        <v>44494.0</v>
      </c>
      <c r="F58" s="49">
        <v>44496.0</v>
      </c>
      <c r="G58" s="48">
        <f t="shared" si="8"/>
        <v>0.123</v>
      </c>
      <c r="H58" s="98">
        <v>107.190051348</v>
      </c>
      <c r="I58" s="98">
        <v>1.0E9</v>
      </c>
      <c r="J58" s="84">
        <f t="shared" si="2"/>
        <v>1096593448</v>
      </c>
      <c r="K58" s="9">
        <f t="shared" si="3"/>
        <v>1071900513</v>
      </c>
      <c r="L58" s="9">
        <f t="shared" si="4"/>
        <v>24692934.78</v>
      </c>
    </row>
    <row r="59">
      <c r="A59" s="3" t="s">
        <v>14</v>
      </c>
      <c r="B59" s="3" t="s">
        <v>161</v>
      </c>
      <c r="C59" s="48">
        <v>0.1398</v>
      </c>
      <c r="D59" s="49">
        <v>46806.0</v>
      </c>
      <c r="E59" s="49">
        <v>44496.0</v>
      </c>
      <c r="F59" s="49">
        <v>44498.0</v>
      </c>
      <c r="G59" s="48">
        <f t="shared" si="8"/>
        <v>0.123</v>
      </c>
      <c r="H59" s="98">
        <v>107.1852352858</v>
      </c>
      <c r="I59" s="98">
        <v>5.0E8</v>
      </c>
      <c r="J59" s="84">
        <f t="shared" si="2"/>
        <v>548652535.1</v>
      </c>
      <c r="K59" s="9">
        <f t="shared" si="3"/>
        <v>535926176.4</v>
      </c>
      <c r="L59" s="9">
        <f t="shared" si="4"/>
        <v>12726358.7</v>
      </c>
    </row>
    <row r="60">
      <c r="A60" s="3" t="s">
        <v>14</v>
      </c>
      <c r="B60" s="3" t="s">
        <v>161</v>
      </c>
      <c r="C60" s="48">
        <v>0.1398</v>
      </c>
      <c r="D60" s="49">
        <v>46806.0</v>
      </c>
      <c r="E60" s="49">
        <v>44498.0</v>
      </c>
      <c r="F60" s="49">
        <v>44502.0</v>
      </c>
      <c r="G60" s="48">
        <f t="shared" si="8"/>
        <v>0.123</v>
      </c>
      <c r="H60" s="98">
        <v>107.1757417309</v>
      </c>
      <c r="I60" s="98">
        <v>8.79E8</v>
      </c>
      <c r="J60" s="84">
        <f t="shared" si="2"/>
        <v>965783406.2</v>
      </c>
      <c r="K60" s="9">
        <f t="shared" si="3"/>
        <v>942074769.8</v>
      </c>
      <c r="L60" s="9">
        <f t="shared" si="4"/>
        <v>23708636.41</v>
      </c>
    </row>
    <row r="61">
      <c r="A61" s="3" t="s">
        <v>14</v>
      </c>
      <c r="B61" s="3" t="s">
        <v>140</v>
      </c>
      <c r="C61" s="48">
        <v>0.125</v>
      </c>
      <c r="D61" s="49">
        <v>46044.0</v>
      </c>
      <c r="E61" s="49">
        <v>44579.0</v>
      </c>
      <c r="F61" s="49">
        <v>44581.0</v>
      </c>
      <c r="G61" s="48">
        <f t="shared" si="8"/>
        <v>0.1156483662</v>
      </c>
      <c r="H61" s="98">
        <v>102.93</v>
      </c>
      <c r="I61" s="98">
        <v>1.94E8</v>
      </c>
      <c r="J61" s="84">
        <f t="shared" si="2"/>
        <v>211677406.5</v>
      </c>
      <c r="K61" s="9">
        <f t="shared" si="3"/>
        <v>199684200</v>
      </c>
      <c r="L61" s="9">
        <f t="shared" si="4"/>
        <v>11993206.52</v>
      </c>
    </row>
    <row r="62">
      <c r="A62" s="3" t="s">
        <v>14</v>
      </c>
      <c r="B62" s="3" t="s">
        <v>146</v>
      </c>
      <c r="C62" s="48">
        <v>0.162884</v>
      </c>
      <c r="D62" s="49">
        <v>46463.0</v>
      </c>
      <c r="E62" s="49">
        <v>44579.0</v>
      </c>
      <c r="F62" s="49">
        <v>44581.0</v>
      </c>
      <c r="G62" s="48">
        <f t="shared" si="8"/>
        <v>0.1226302202</v>
      </c>
      <c r="H62" s="98">
        <v>115.0</v>
      </c>
      <c r="I62" s="98">
        <v>1.0E8</v>
      </c>
      <c r="J62" s="84">
        <f t="shared" si="2"/>
        <v>120624447.5</v>
      </c>
      <c r="K62" s="9">
        <f t="shared" si="3"/>
        <v>115000000</v>
      </c>
      <c r="L62" s="9">
        <f t="shared" si="4"/>
        <v>5624447.514</v>
      </c>
    </row>
    <row r="63">
      <c r="A63" s="1" t="s">
        <v>12</v>
      </c>
      <c r="B63" s="1" t="s">
        <v>171</v>
      </c>
      <c r="C63" s="62">
        <v>0.162499</v>
      </c>
      <c r="D63" s="52">
        <v>50148.0</v>
      </c>
      <c r="E63" s="122">
        <v>44915.0</v>
      </c>
      <c r="F63" s="122">
        <v>44917.0</v>
      </c>
      <c r="G63" s="62">
        <f t="shared" si="8"/>
        <v>0.1419973798</v>
      </c>
      <c r="H63" s="63">
        <v>112.35</v>
      </c>
      <c r="I63" s="63">
        <v>2.0E9</v>
      </c>
      <c r="J63" s="15">
        <f t="shared" si="2"/>
        <v>2305035357</v>
      </c>
      <c r="K63" s="15">
        <f t="shared" si="3"/>
        <v>2247000000</v>
      </c>
      <c r="L63" s="15">
        <f t="shared" si="4"/>
        <v>58035357.14</v>
      </c>
    </row>
    <row r="64">
      <c r="A64" s="1" t="s">
        <v>12</v>
      </c>
      <c r="B64" s="1" t="s">
        <v>171</v>
      </c>
      <c r="C64" s="62">
        <v>0.162499</v>
      </c>
      <c r="D64" s="52">
        <v>50148.0</v>
      </c>
      <c r="E64" s="122">
        <v>44944.0</v>
      </c>
      <c r="F64" s="122">
        <v>44946.0</v>
      </c>
      <c r="G64" s="62">
        <f t="shared" si="8"/>
        <v>0.1455018278</v>
      </c>
      <c r="H64" s="63">
        <v>110.03</v>
      </c>
      <c r="I64" s="63">
        <v>2.0E9</v>
      </c>
      <c r="J64" s="15">
        <f t="shared" si="2"/>
        <v>2284528055</v>
      </c>
      <c r="K64" s="15">
        <f t="shared" si="3"/>
        <v>2200600000</v>
      </c>
      <c r="L64" s="15">
        <f t="shared" si="4"/>
        <v>83928054.95</v>
      </c>
    </row>
    <row r="65">
      <c r="A65" s="1" t="s">
        <v>12</v>
      </c>
      <c r="B65" s="1" t="s">
        <v>173</v>
      </c>
      <c r="C65" s="62">
        <v>0.148</v>
      </c>
      <c r="D65" s="52">
        <v>54539.0</v>
      </c>
      <c r="E65" s="122">
        <v>44965.0</v>
      </c>
      <c r="F65" s="122">
        <v>44967.0</v>
      </c>
      <c r="G65" s="62">
        <f t="shared" si="8"/>
        <v>0.1564928296</v>
      </c>
      <c r="H65" s="63">
        <v>94.61</v>
      </c>
      <c r="I65" s="63">
        <v>5.0E9</v>
      </c>
      <c r="J65" s="15">
        <f t="shared" si="2"/>
        <v>4948027473</v>
      </c>
      <c r="K65" s="15">
        <f t="shared" si="3"/>
        <v>4730500000</v>
      </c>
      <c r="L65" s="15">
        <f t="shared" si="4"/>
        <v>217527472.5</v>
      </c>
    </row>
    <row r="66">
      <c r="A66" s="1" t="s">
        <v>12</v>
      </c>
      <c r="B66" s="1" t="s">
        <v>173</v>
      </c>
      <c r="C66" s="62">
        <v>0.148</v>
      </c>
      <c r="D66" s="52">
        <v>54539.0</v>
      </c>
      <c r="E66" s="122">
        <v>44973.0</v>
      </c>
      <c r="F66" s="122">
        <v>44977.0</v>
      </c>
      <c r="G66" s="62">
        <f t="shared" si="8"/>
        <v>0.157495936</v>
      </c>
      <c r="H66" s="63">
        <v>94.02</v>
      </c>
      <c r="I66" s="63">
        <v>1.0E9</v>
      </c>
      <c r="J66" s="15">
        <f t="shared" si="2"/>
        <v>987771428.6</v>
      </c>
      <c r="K66" s="15">
        <f t="shared" si="3"/>
        <v>940200000</v>
      </c>
      <c r="L66" s="15">
        <f t="shared" si="4"/>
        <v>47571428.57</v>
      </c>
    </row>
    <row r="67">
      <c r="A67" s="1" t="s">
        <v>12</v>
      </c>
      <c r="B67" s="1" t="s">
        <v>171</v>
      </c>
      <c r="C67" s="62">
        <v>0.1625</v>
      </c>
      <c r="D67" s="52">
        <v>50148.0</v>
      </c>
      <c r="E67" s="122">
        <v>44993.0</v>
      </c>
      <c r="F67" s="122">
        <v>44998.0</v>
      </c>
      <c r="G67" s="62">
        <f t="shared" si="8"/>
        <v>0.1514949382</v>
      </c>
      <c r="H67" s="63">
        <v>106.29</v>
      </c>
      <c r="I67" s="63">
        <v>8.0E8</v>
      </c>
      <c r="J67" s="15">
        <f t="shared" si="2"/>
        <v>902462857.1</v>
      </c>
      <c r="K67" s="15">
        <f t="shared" si="3"/>
        <v>850320000</v>
      </c>
      <c r="L67" s="15">
        <f t="shared" si="4"/>
        <v>52142857.14</v>
      </c>
    </row>
    <row r="68">
      <c r="A68" s="1" t="s">
        <v>14</v>
      </c>
      <c r="B68" s="1" t="s">
        <v>173</v>
      </c>
      <c r="C68" s="62">
        <v>0.148</v>
      </c>
      <c r="D68" s="52">
        <v>54539.0</v>
      </c>
      <c r="E68" s="122">
        <v>45100.0</v>
      </c>
      <c r="F68" s="122">
        <v>45104.0</v>
      </c>
      <c r="G68" s="62">
        <f t="shared" si="8"/>
        <v>0.155992793</v>
      </c>
      <c r="H68" s="63">
        <v>94.92</v>
      </c>
      <c r="I68" s="63">
        <v>6.0E9</v>
      </c>
      <c r="J68" s="15">
        <f t="shared" si="2"/>
        <v>5845626230</v>
      </c>
      <c r="K68" s="15">
        <f t="shared" si="3"/>
        <v>5695200000</v>
      </c>
      <c r="L68" s="15">
        <f t="shared" si="4"/>
        <v>150426229.5</v>
      </c>
    </row>
    <row r="69">
      <c r="A69" s="1" t="s">
        <v>12</v>
      </c>
      <c r="B69" s="3" t="s">
        <v>150</v>
      </c>
      <c r="C69" s="62">
        <v>0.1298</v>
      </c>
      <c r="D69" s="52">
        <v>54874.0</v>
      </c>
      <c r="E69" s="122">
        <v>45120.0</v>
      </c>
      <c r="F69" s="122">
        <v>45124.0</v>
      </c>
      <c r="G69" s="62">
        <f t="shared" si="8"/>
        <v>0.1399976772</v>
      </c>
      <c r="H69" s="63">
        <v>92.86</v>
      </c>
      <c r="I69" s="63">
        <v>5.3E9</v>
      </c>
      <c r="J69" s="15">
        <f t="shared" si="2"/>
        <v>5130953043</v>
      </c>
      <c r="K69" s="15">
        <f t="shared" si="3"/>
        <v>4921580000</v>
      </c>
      <c r="L69" s="15">
        <f t="shared" si="4"/>
        <v>209373043.5</v>
      </c>
    </row>
    <row r="70">
      <c r="A70" s="1" t="s">
        <v>14</v>
      </c>
      <c r="B70" s="1" t="s">
        <v>171</v>
      </c>
      <c r="C70" s="62">
        <v>0.1625</v>
      </c>
      <c r="D70" s="52">
        <v>50148.0</v>
      </c>
      <c r="E70" s="122">
        <v>45230.0</v>
      </c>
      <c r="F70" s="122">
        <v>45231.0</v>
      </c>
      <c r="G70" s="62">
        <f t="shared" si="8"/>
        <v>0.1650030896</v>
      </c>
      <c r="H70" s="63">
        <v>98.64</v>
      </c>
      <c r="I70" s="63">
        <v>8.0E8</v>
      </c>
      <c r="J70" s="15">
        <f t="shared" si="2"/>
        <v>794092677.6</v>
      </c>
      <c r="K70" s="15">
        <f t="shared" si="3"/>
        <v>789120000</v>
      </c>
      <c r="L70" s="15">
        <f t="shared" si="4"/>
        <v>4972677.596</v>
      </c>
    </row>
    <row r="71">
      <c r="A71" s="1" t="s">
        <v>14</v>
      </c>
      <c r="B71" s="1" t="s">
        <v>171</v>
      </c>
      <c r="C71" s="62">
        <v>0.1625</v>
      </c>
      <c r="D71" s="52">
        <v>50148.0</v>
      </c>
      <c r="E71" s="122">
        <v>45230.0</v>
      </c>
      <c r="F71" s="122">
        <v>45232.0</v>
      </c>
      <c r="G71" s="62">
        <f t="shared" si="8"/>
        <v>0.1650004599</v>
      </c>
      <c r="H71" s="63">
        <v>98.64</v>
      </c>
      <c r="I71" s="63">
        <v>1.0E9</v>
      </c>
      <c r="J71" s="15">
        <f t="shared" si="2"/>
        <v>993059836.1</v>
      </c>
      <c r="K71" s="15">
        <f t="shared" si="3"/>
        <v>986400000</v>
      </c>
      <c r="L71" s="15">
        <f t="shared" si="4"/>
        <v>6659836.066</v>
      </c>
    </row>
    <row r="72">
      <c r="A72" s="1" t="s">
        <v>14</v>
      </c>
      <c r="B72" s="1" t="s">
        <v>171</v>
      </c>
      <c r="C72" s="62">
        <v>0.1625</v>
      </c>
      <c r="D72" s="52">
        <v>50148.0</v>
      </c>
      <c r="E72" s="122">
        <v>45232.0</v>
      </c>
      <c r="F72" s="122">
        <v>45233.0</v>
      </c>
      <c r="G72" s="62">
        <f t="shared" si="8"/>
        <v>0.1650167855</v>
      </c>
      <c r="H72" s="63">
        <v>98.63</v>
      </c>
      <c r="I72" s="63">
        <v>5.0E8</v>
      </c>
      <c r="J72" s="15">
        <f t="shared" si="2"/>
        <v>496701912.6</v>
      </c>
      <c r="K72" s="15">
        <f t="shared" si="3"/>
        <v>493150000</v>
      </c>
      <c r="L72" s="15">
        <f t="shared" si="4"/>
        <v>3551912.568</v>
      </c>
    </row>
    <row r="73">
      <c r="A73" s="1" t="s">
        <v>14</v>
      </c>
      <c r="B73" s="1" t="s">
        <v>171</v>
      </c>
      <c r="C73" s="62">
        <v>0.1625</v>
      </c>
      <c r="D73" s="52">
        <v>50148.0</v>
      </c>
      <c r="E73" s="122">
        <v>45233.0</v>
      </c>
      <c r="F73" s="122">
        <v>45237.0</v>
      </c>
      <c r="G73" s="62">
        <f t="shared" si="8"/>
        <v>0.1664732614</v>
      </c>
      <c r="H73" s="63">
        <v>97.86</v>
      </c>
      <c r="I73" s="63">
        <v>3.0E8</v>
      </c>
      <c r="J73" s="15">
        <f t="shared" si="2"/>
        <v>296243934.4</v>
      </c>
      <c r="K73" s="15">
        <f t="shared" si="3"/>
        <v>293580000</v>
      </c>
      <c r="L73" s="15">
        <f t="shared" si="4"/>
        <v>2663934.426</v>
      </c>
    </row>
    <row r="74">
      <c r="A74" s="1" t="s">
        <v>14</v>
      </c>
      <c r="B74" s="1" t="s">
        <v>171</v>
      </c>
      <c r="C74" s="62">
        <v>0.1625</v>
      </c>
      <c r="D74" s="52">
        <v>50148.0</v>
      </c>
      <c r="E74" s="122">
        <v>45239.0</v>
      </c>
      <c r="F74" s="122">
        <v>45243.0</v>
      </c>
      <c r="G74" s="62">
        <f t="shared" si="8"/>
        <v>0.1695096134</v>
      </c>
      <c r="H74" s="63">
        <v>96.29</v>
      </c>
      <c r="I74" s="63">
        <v>2.0E9</v>
      </c>
      <c r="J74" s="15">
        <f t="shared" si="2"/>
        <v>1948887432</v>
      </c>
      <c r="K74" s="15">
        <f t="shared" si="3"/>
        <v>1925800000</v>
      </c>
      <c r="L74" s="15">
        <f t="shared" si="4"/>
        <v>23087431.69</v>
      </c>
    </row>
    <row r="75">
      <c r="A75" s="1" t="s">
        <v>12</v>
      </c>
      <c r="B75" s="1" t="s">
        <v>175</v>
      </c>
      <c r="C75" s="62">
        <v>0.0</v>
      </c>
      <c r="D75" s="52">
        <v>45603.0</v>
      </c>
      <c r="E75" s="122">
        <v>45243.0</v>
      </c>
      <c r="F75" s="122">
        <v>45610.0</v>
      </c>
      <c r="G75" s="62" t="str">
        <f t="shared" si="8"/>
        <v/>
      </c>
      <c r="H75" s="63">
        <v>85.0852</v>
      </c>
      <c r="I75" s="63">
        <v>1.0E9</v>
      </c>
      <c r="J75" s="15">
        <f t="shared" si="2"/>
        <v>850852000</v>
      </c>
      <c r="K75" s="15">
        <f t="shared" si="3"/>
        <v>850852000</v>
      </c>
      <c r="L75" s="15"/>
    </row>
    <row r="76">
      <c r="A76" s="1" t="s">
        <v>12</v>
      </c>
      <c r="B76" s="1" t="s">
        <v>175</v>
      </c>
      <c r="C76" s="62">
        <v>0.0</v>
      </c>
      <c r="D76" s="52">
        <v>45603.0</v>
      </c>
      <c r="E76" s="122">
        <v>45243.0</v>
      </c>
      <c r="F76" s="122">
        <v>45610.0</v>
      </c>
      <c r="G76" s="62" t="str">
        <f t="shared" si="8"/>
        <v/>
      </c>
      <c r="H76" s="63">
        <v>85.0852</v>
      </c>
      <c r="I76" s="63">
        <v>2.0E9</v>
      </c>
      <c r="J76" s="15">
        <f t="shared" si="2"/>
        <v>1701704000</v>
      </c>
      <c r="K76" s="15">
        <f t="shared" si="3"/>
        <v>1701704000</v>
      </c>
      <c r="L76" s="15" t="str">
        <f t="shared" ref="L76:L218" si="9">IFERROR(ACCRINT(COUPPCD(F76,D76,2,1),COUPNCD(F76,D76,2,0),F76,C76,I76,2,1),"")</f>
        <v/>
      </c>
    </row>
    <row r="77">
      <c r="A77" s="1" t="s">
        <v>14</v>
      </c>
      <c r="B77" s="3" t="s">
        <v>150</v>
      </c>
      <c r="C77" s="62">
        <v>0.1298</v>
      </c>
      <c r="D77" s="52">
        <v>54874.0</v>
      </c>
      <c r="E77" s="122">
        <v>45250.0</v>
      </c>
      <c r="F77" s="122">
        <v>45252.0</v>
      </c>
      <c r="G77" s="62">
        <f t="shared" si="8"/>
        <v>0.1789885494</v>
      </c>
      <c r="H77" s="63">
        <v>72.76</v>
      </c>
      <c r="I77" s="63">
        <v>4.8E9</v>
      </c>
      <c r="J77" s="15">
        <f t="shared" si="2"/>
        <v>3588332308</v>
      </c>
      <c r="K77" s="15">
        <f t="shared" si="3"/>
        <v>3492480000</v>
      </c>
      <c r="L77" s="15">
        <f t="shared" si="9"/>
        <v>95852307.69</v>
      </c>
    </row>
    <row r="78">
      <c r="A78" s="1" t="s">
        <v>14</v>
      </c>
      <c r="B78" s="3" t="s">
        <v>150</v>
      </c>
      <c r="C78" s="62">
        <v>0.1298</v>
      </c>
      <c r="D78" s="52">
        <v>54874.0</v>
      </c>
      <c r="E78" s="122">
        <v>45250.0</v>
      </c>
      <c r="F78" s="122">
        <v>45253.0</v>
      </c>
      <c r="G78" s="62">
        <f t="shared" si="8"/>
        <v>0.1789874621</v>
      </c>
      <c r="H78" s="63">
        <v>72.76</v>
      </c>
      <c r="I78" s="63">
        <v>5.0E8</v>
      </c>
      <c r="J78" s="15">
        <f t="shared" si="2"/>
        <v>373962912.1</v>
      </c>
      <c r="K78" s="15">
        <f t="shared" si="3"/>
        <v>363800000</v>
      </c>
      <c r="L78" s="15">
        <f t="shared" si="9"/>
        <v>10162912.09</v>
      </c>
    </row>
    <row r="79">
      <c r="A79" s="1" t="s">
        <v>14</v>
      </c>
      <c r="B79" s="1" t="s">
        <v>171</v>
      </c>
      <c r="C79" s="62">
        <v>0.162499</v>
      </c>
      <c r="D79" s="52">
        <v>50148.0</v>
      </c>
      <c r="E79" s="122">
        <v>45253.0</v>
      </c>
      <c r="F79" s="122">
        <v>45257.0</v>
      </c>
      <c r="G79" s="62">
        <f t="shared" si="8"/>
        <v>0.1699957578</v>
      </c>
      <c r="H79" s="63">
        <v>96.03</v>
      </c>
      <c r="I79" s="63">
        <v>2.0E8</v>
      </c>
      <c r="J79" s="15">
        <f t="shared" si="2"/>
        <v>195611890.7</v>
      </c>
      <c r="K79" s="15">
        <f t="shared" si="3"/>
        <v>192060000</v>
      </c>
      <c r="L79" s="15">
        <f t="shared" si="9"/>
        <v>3551890.71</v>
      </c>
    </row>
    <row r="80">
      <c r="A80" s="1" t="s">
        <v>12</v>
      </c>
      <c r="B80" s="1" t="s">
        <v>177</v>
      </c>
      <c r="C80" s="62">
        <v>0.0</v>
      </c>
      <c r="D80" s="52">
        <v>45631.0</v>
      </c>
      <c r="E80" s="122">
        <v>45266.0</v>
      </c>
      <c r="F80" s="122">
        <v>45267.0</v>
      </c>
      <c r="G80" s="62">
        <v>0.155</v>
      </c>
      <c r="H80" s="63">
        <v>84.5846994535519</v>
      </c>
      <c r="I80" s="63">
        <v>1.0E9</v>
      </c>
      <c r="J80" s="15">
        <f t="shared" si="2"/>
        <v>845846994.5</v>
      </c>
      <c r="K80" s="15">
        <f t="shared" si="3"/>
        <v>845846994.5</v>
      </c>
      <c r="L80" s="15" t="str">
        <f t="shared" si="9"/>
        <v/>
      </c>
    </row>
    <row r="81">
      <c r="A81" s="1" t="s">
        <v>12</v>
      </c>
      <c r="B81" s="1" t="s">
        <v>178</v>
      </c>
      <c r="C81" s="62">
        <v>0.157</v>
      </c>
      <c r="D81" s="52">
        <v>56056.0</v>
      </c>
      <c r="E81" s="122">
        <v>45274.0</v>
      </c>
      <c r="F81" s="122">
        <v>45275.0</v>
      </c>
      <c r="G81" s="62">
        <f t="shared" ref="G81:G82" si="10">IFERROR(YIELD(F81,D81,C81,H81,100,2,1),"")</f>
        <v>0.1594997423</v>
      </c>
      <c r="H81" s="63">
        <v>98.44</v>
      </c>
      <c r="I81" s="63">
        <v>5.0E8</v>
      </c>
      <c r="J81" s="15">
        <f t="shared" si="2"/>
        <v>530163114.8</v>
      </c>
      <c r="K81" s="15">
        <f t="shared" si="3"/>
        <v>492200000</v>
      </c>
      <c r="L81" s="15">
        <f t="shared" si="9"/>
        <v>37963114.75</v>
      </c>
    </row>
    <row r="82">
      <c r="A82" s="1" t="s">
        <v>12</v>
      </c>
      <c r="B82" s="1" t="s">
        <v>178</v>
      </c>
      <c r="C82" s="62">
        <v>0.157</v>
      </c>
      <c r="D82" s="52">
        <v>56056.0</v>
      </c>
      <c r="E82" s="122">
        <v>45274.0</v>
      </c>
      <c r="F82" s="122">
        <v>45278.0</v>
      </c>
      <c r="G82" s="62">
        <f t="shared" si="10"/>
        <v>0.1595075492</v>
      </c>
      <c r="H82" s="63">
        <v>98.44</v>
      </c>
      <c r="I82" s="63">
        <v>4.5E9</v>
      </c>
      <c r="J82" s="15">
        <f t="shared" si="2"/>
        <v>4777259016</v>
      </c>
      <c r="K82" s="15">
        <f t="shared" si="3"/>
        <v>4429800000</v>
      </c>
      <c r="L82" s="15">
        <f t="shared" si="9"/>
        <v>347459016.4</v>
      </c>
    </row>
    <row r="83">
      <c r="A83" s="1" t="s">
        <v>14</v>
      </c>
      <c r="B83" s="1" t="s">
        <v>175</v>
      </c>
      <c r="C83" s="62">
        <v>0.0</v>
      </c>
      <c r="D83" s="52">
        <v>45603.0</v>
      </c>
      <c r="E83" s="122">
        <v>45280.0</v>
      </c>
      <c r="F83" s="122">
        <v>45280.0</v>
      </c>
      <c r="G83" s="62">
        <v>0.11751195979643957</v>
      </c>
      <c r="H83" s="128">
        <f>PRICEDISC(E83,D83,G83,100,1)</f>
        <v>89.62835344</v>
      </c>
      <c r="I83" s="63">
        <v>2.0E9</v>
      </c>
      <c r="J83" s="15">
        <f t="shared" si="2"/>
        <v>1792567069</v>
      </c>
      <c r="K83" s="15">
        <f t="shared" si="3"/>
        <v>1792567069</v>
      </c>
      <c r="L83" s="15" t="str">
        <f t="shared" si="9"/>
        <v/>
      </c>
    </row>
    <row r="84">
      <c r="A84" s="1" t="s">
        <v>12</v>
      </c>
      <c r="B84" s="1" t="s">
        <v>178</v>
      </c>
      <c r="C84" s="62">
        <v>0.157</v>
      </c>
      <c r="D84" s="52">
        <v>56056.0</v>
      </c>
      <c r="E84" s="122">
        <v>45280.0</v>
      </c>
      <c r="F84" s="122">
        <v>45282.0</v>
      </c>
      <c r="G84" s="62">
        <f>IFERROR(YIELD(F84,D84,C84,H84,100,2,1),"")</f>
        <v>0.1615008814</v>
      </c>
      <c r="H84" s="63">
        <v>97.24</v>
      </c>
      <c r="I84" s="63">
        <v>1.7E9</v>
      </c>
      <c r="J84" s="15">
        <f t="shared" si="2"/>
        <v>1653809235</v>
      </c>
      <c r="K84" s="15">
        <f t="shared" si="3"/>
        <v>1653080000</v>
      </c>
      <c r="L84" s="15">
        <f t="shared" si="9"/>
        <v>729234.9727</v>
      </c>
    </row>
    <row r="85">
      <c r="A85" s="1" t="s">
        <v>14</v>
      </c>
      <c r="B85" s="1" t="s">
        <v>175</v>
      </c>
      <c r="C85" s="62">
        <v>0.0</v>
      </c>
      <c r="D85" s="52">
        <v>45603.0</v>
      </c>
      <c r="E85" s="122">
        <v>45282.0</v>
      </c>
      <c r="F85" s="122">
        <v>45282.0</v>
      </c>
      <c r="G85" s="62">
        <v>0.117</v>
      </c>
      <c r="H85" s="128">
        <f t="shared" ref="H85:H86" si="11">PRICEDISC(F85,D85,G85,100,1)</f>
        <v>89.73764878</v>
      </c>
      <c r="I85" s="63">
        <v>1.0E9</v>
      </c>
      <c r="J85" s="15">
        <f t="shared" si="2"/>
        <v>897376487.8</v>
      </c>
      <c r="K85" s="15">
        <f t="shared" si="3"/>
        <v>897376487.8</v>
      </c>
      <c r="L85" s="15" t="str">
        <f t="shared" si="9"/>
        <v/>
      </c>
    </row>
    <row r="86">
      <c r="A86" s="1" t="s">
        <v>14</v>
      </c>
      <c r="B86" s="1" t="s">
        <v>177</v>
      </c>
      <c r="C86" s="62">
        <v>0.0</v>
      </c>
      <c r="D86" s="52">
        <v>45631.0</v>
      </c>
      <c r="E86" s="122">
        <v>45282.0</v>
      </c>
      <c r="F86" s="122">
        <v>45282.0</v>
      </c>
      <c r="G86" s="62">
        <v>0.117</v>
      </c>
      <c r="H86" s="128">
        <f t="shared" si="11"/>
        <v>88.84256681</v>
      </c>
      <c r="I86" s="63">
        <v>1.0E9</v>
      </c>
      <c r="J86" s="15">
        <f t="shared" si="2"/>
        <v>888425668.1</v>
      </c>
      <c r="K86" s="15">
        <f t="shared" si="3"/>
        <v>888425668.1</v>
      </c>
      <c r="L86" s="15" t="str">
        <f t="shared" si="9"/>
        <v/>
      </c>
    </row>
    <row r="87">
      <c r="A87" s="1" t="s">
        <v>12</v>
      </c>
      <c r="B87" s="1" t="s">
        <v>178</v>
      </c>
      <c r="C87" s="62">
        <v>0.157</v>
      </c>
      <c r="D87" s="52">
        <v>56056.0</v>
      </c>
      <c r="E87" s="122">
        <v>45282.0</v>
      </c>
      <c r="F87" s="122">
        <v>45287.0</v>
      </c>
      <c r="G87" s="62">
        <f t="shared" ref="G87:G92" si="12">IFERROR(YIELD(F87,D87,C87,H87,100,2,1),"")</f>
        <v>0.1620088583</v>
      </c>
      <c r="H87" s="63">
        <v>96.93</v>
      </c>
      <c r="I87" s="63">
        <v>1.6E9</v>
      </c>
      <c r="J87" s="15">
        <f t="shared" si="2"/>
        <v>1554998033</v>
      </c>
      <c r="K87" s="15">
        <f t="shared" si="3"/>
        <v>1550880000</v>
      </c>
      <c r="L87" s="15">
        <f t="shared" si="9"/>
        <v>4118032.787</v>
      </c>
    </row>
    <row r="88">
      <c r="A88" s="1" t="s">
        <v>14</v>
      </c>
      <c r="B88" s="1" t="s">
        <v>178</v>
      </c>
      <c r="C88" s="62">
        <v>0.157</v>
      </c>
      <c r="D88" s="52">
        <v>56056.0</v>
      </c>
      <c r="E88" s="122">
        <v>45334.0</v>
      </c>
      <c r="F88" s="122">
        <v>45336.0</v>
      </c>
      <c r="G88" s="62">
        <f t="shared" si="12"/>
        <v>0.178998804</v>
      </c>
      <c r="H88" s="63">
        <v>87.72</v>
      </c>
      <c r="I88" s="63">
        <v>8.0E8</v>
      </c>
      <c r="J88" s="15">
        <f t="shared" si="2"/>
        <v>720634316.9</v>
      </c>
      <c r="K88" s="15">
        <f t="shared" si="3"/>
        <v>701760000</v>
      </c>
      <c r="L88" s="15">
        <f t="shared" si="9"/>
        <v>18874316.94</v>
      </c>
    </row>
    <row r="89">
      <c r="A89" s="1" t="s">
        <v>14</v>
      </c>
      <c r="B89" s="1" t="s">
        <v>178</v>
      </c>
      <c r="C89" s="62">
        <v>0.157</v>
      </c>
      <c r="D89" s="52">
        <v>56056.0</v>
      </c>
      <c r="E89" s="122">
        <v>45334.0</v>
      </c>
      <c r="F89" s="122">
        <v>45337.0</v>
      </c>
      <c r="G89" s="62">
        <f t="shared" si="12"/>
        <v>0.1830066465</v>
      </c>
      <c r="H89" s="63">
        <v>85.8</v>
      </c>
      <c r="I89" s="63">
        <v>1.8E9</v>
      </c>
      <c r="J89" s="15">
        <f t="shared" si="2"/>
        <v>1587639344</v>
      </c>
      <c r="K89" s="15">
        <f t="shared" si="3"/>
        <v>1544400000</v>
      </c>
      <c r="L89" s="15">
        <f t="shared" si="9"/>
        <v>43239344.26</v>
      </c>
    </row>
    <row r="90">
      <c r="A90" s="1" t="s">
        <v>14</v>
      </c>
      <c r="B90" s="1" t="s">
        <v>178</v>
      </c>
      <c r="C90" s="62">
        <v>0.157</v>
      </c>
      <c r="D90" s="52">
        <v>56056.0</v>
      </c>
      <c r="E90" s="122">
        <v>45334.0</v>
      </c>
      <c r="F90" s="122">
        <v>45338.0</v>
      </c>
      <c r="G90" s="62">
        <f t="shared" si="12"/>
        <v>0.1830051828</v>
      </c>
      <c r="H90" s="63">
        <v>85.8</v>
      </c>
      <c r="I90" s="63">
        <v>1.0E9</v>
      </c>
      <c r="J90" s="15">
        <f t="shared" si="2"/>
        <v>882450819.7</v>
      </c>
      <c r="K90" s="15">
        <f t="shared" si="3"/>
        <v>858000000</v>
      </c>
      <c r="L90" s="15">
        <f t="shared" si="9"/>
        <v>24450819.67</v>
      </c>
    </row>
    <row r="91">
      <c r="A91" s="1" t="s">
        <v>14</v>
      </c>
      <c r="B91" s="1" t="s">
        <v>178</v>
      </c>
      <c r="C91" s="62">
        <v>0.157</v>
      </c>
      <c r="D91" s="52">
        <v>56056.0</v>
      </c>
      <c r="E91" s="122">
        <v>45334.0</v>
      </c>
      <c r="F91" s="122">
        <v>45341.0</v>
      </c>
      <c r="G91" s="62">
        <f t="shared" si="12"/>
        <v>0.1830010508</v>
      </c>
      <c r="H91" s="63">
        <v>85.8</v>
      </c>
      <c r="I91" s="63">
        <v>2.5E8</v>
      </c>
      <c r="J91" s="15">
        <f t="shared" si="2"/>
        <v>220934426.2</v>
      </c>
      <c r="K91" s="15">
        <f t="shared" si="3"/>
        <v>214500000</v>
      </c>
      <c r="L91" s="15">
        <f t="shared" si="9"/>
        <v>6434426.23</v>
      </c>
    </row>
    <row r="92">
      <c r="A92" s="1" t="s">
        <v>14</v>
      </c>
      <c r="B92" s="1" t="s">
        <v>178</v>
      </c>
      <c r="C92" s="62">
        <v>0.157</v>
      </c>
      <c r="D92" s="52">
        <v>56056.0</v>
      </c>
      <c r="E92" s="122">
        <v>45334.0</v>
      </c>
      <c r="F92" s="122">
        <v>45341.0</v>
      </c>
      <c r="G92" s="62">
        <f t="shared" si="12"/>
        <v>0.1830010508</v>
      </c>
      <c r="H92" s="63">
        <v>85.8</v>
      </c>
      <c r="I92" s="63">
        <v>3.0E8</v>
      </c>
      <c r="J92" s="15">
        <f t="shared" si="2"/>
        <v>265121311.5</v>
      </c>
      <c r="K92" s="15">
        <f t="shared" si="3"/>
        <v>257400000</v>
      </c>
      <c r="L92" s="15">
        <f t="shared" si="9"/>
        <v>7721311.475</v>
      </c>
    </row>
    <row r="93">
      <c r="A93" s="1" t="s">
        <v>12</v>
      </c>
      <c r="B93" s="1" t="s">
        <v>187</v>
      </c>
      <c r="C93" s="62">
        <v>0.0</v>
      </c>
      <c r="D93" s="52">
        <v>45708.0</v>
      </c>
      <c r="E93" s="122">
        <v>45343.0</v>
      </c>
      <c r="F93" s="122">
        <v>45344.0</v>
      </c>
      <c r="G93" s="123">
        <v>0.18195</v>
      </c>
      <c r="H93" s="128">
        <f t="shared" ref="H93:H95" si="13">PRICEDISC(F93,D93,G93,100,1)</f>
        <v>81.89761621</v>
      </c>
      <c r="I93" s="63">
        <v>1.0E9</v>
      </c>
      <c r="J93" s="15">
        <f t="shared" si="2"/>
        <v>818976162.1</v>
      </c>
      <c r="K93" s="15">
        <f t="shared" si="3"/>
        <v>818976162.1</v>
      </c>
      <c r="L93" s="15" t="str">
        <f t="shared" si="9"/>
        <v/>
      </c>
    </row>
    <row r="94">
      <c r="A94" s="1" t="s">
        <v>12</v>
      </c>
      <c r="B94" s="1" t="s">
        <v>187</v>
      </c>
      <c r="C94" s="62">
        <v>0.0</v>
      </c>
      <c r="D94" s="52">
        <v>45708.0</v>
      </c>
      <c r="E94" s="122">
        <v>45343.0</v>
      </c>
      <c r="F94" s="122">
        <v>45344.0</v>
      </c>
      <c r="G94" s="123">
        <v>0.18899</v>
      </c>
      <c r="H94" s="128">
        <f t="shared" si="13"/>
        <v>81.19719972</v>
      </c>
      <c r="I94" s="63">
        <v>1.0E9</v>
      </c>
      <c r="J94" s="15">
        <f t="shared" si="2"/>
        <v>811971997.2</v>
      </c>
      <c r="K94" s="15">
        <f t="shared" si="3"/>
        <v>811971997.2</v>
      </c>
      <c r="L94" s="15" t="str">
        <f t="shared" si="9"/>
        <v/>
      </c>
    </row>
    <row r="95">
      <c r="A95" s="1" t="s">
        <v>12</v>
      </c>
      <c r="B95" s="1" t="s">
        <v>187</v>
      </c>
      <c r="C95" s="62">
        <v>0.0</v>
      </c>
      <c r="D95" s="52">
        <v>45708.0</v>
      </c>
      <c r="E95" s="122">
        <v>45343.0</v>
      </c>
      <c r="F95" s="122">
        <v>45344.0</v>
      </c>
      <c r="G95" s="62">
        <v>0.19</v>
      </c>
      <c r="H95" s="128">
        <f t="shared" si="13"/>
        <v>81.09671383</v>
      </c>
      <c r="I95" s="63">
        <v>1.7E9</v>
      </c>
      <c r="J95" s="15">
        <f t="shared" si="2"/>
        <v>1378644135</v>
      </c>
      <c r="K95" s="15">
        <f t="shared" si="3"/>
        <v>1378644135</v>
      </c>
      <c r="L95" s="15" t="str">
        <f t="shared" si="9"/>
        <v/>
      </c>
    </row>
    <row r="96">
      <c r="A96" s="1" t="s">
        <v>14</v>
      </c>
      <c r="B96" s="1" t="s">
        <v>178</v>
      </c>
      <c r="C96" s="62">
        <v>0.157</v>
      </c>
      <c r="D96" s="52">
        <v>56056.0</v>
      </c>
      <c r="E96" s="122">
        <v>45348.0</v>
      </c>
      <c r="F96" s="122">
        <v>45350.0</v>
      </c>
      <c r="G96" s="62">
        <f t="shared" ref="G96:G97" si="14">IFERROR(YIELD(F96,D96,C96,H96,100,2,1),"")</f>
        <v>0.1890020937</v>
      </c>
      <c r="H96" s="63">
        <v>83.07</v>
      </c>
      <c r="I96" s="63">
        <v>3.3E9</v>
      </c>
      <c r="J96" s="15">
        <f t="shared" si="2"/>
        <v>2838984590</v>
      </c>
      <c r="K96" s="15">
        <f t="shared" si="3"/>
        <v>2741310000</v>
      </c>
      <c r="L96" s="15">
        <f t="shared" si="9"/>
        <v>97674590.16</v>
      </c>
    </row>
    <row r="97">
      <c r="A97" s="1" t="s">
        <v>14</v>
      </c>
      <c r="B97" s="1" t="s">
        <v>178</v>
      </c>
      <c r="C97" s="62">
        <v>0.157</v>
      </c>
      <c r="D97" s="52">
        <v>56056.0</v>
      </c>
      <c r="E97" s="122">
        <v>45349.0</v>
      </c>
      <c r="F97" s="122">
        <v>45351.0</v>
      </c>
      <c r="G97" s="62">
        <f t="shared" si="14"/>
        <v>0.1890011038</v>
      </c>
      <c r="H97" s="63">
        <v>83.07</v>
      </c>
      <c r="I97" s="63">
        <v>4.5E8</v>
      </c>
      <c r="J97" s="15">
        <f t="shared" si="2"/>
        <v>387327295.1</v>
      </c>
      <c r="K97" s="15">
        <f t="shared" si="3"/>
        <v>373815000</v>
      </c>
      <c r="L97" s="15">
        <f t="shared" si="9"/>
        <v>13512295.08</v>
      </c>
    </row>
    <row r="98">
      <c r="A98" s="1" t="s">
        <v>14</v>
      </c>
      <c r="B98" s="1" t="s">
        <v>187</v>
      </c>
      <c r="C98" s="62">
        <v>0.0</v>
      </c>
      <c r="D98" s="52">
        <v>45708.0</v>
      </c>
      <c r="E98" s="122">
        <v>45349.0</v>
      </c>
      <c r="F98" s="122">
        <v>45351.0</v>
      </c>
      <c r="G98" s="123">
        <v>0.1865</v>
      </c>
      <c r="H98" s="128">
        <f t="shared" ref="H98:H99" si="15">PRICEDISC(F98,D98,G98,100,1)</f>
        <v>81.80162624</v>
      </c>
      <c r="I98" s="63">
        <v>2.0E9</v>
      </c>
      <c r="J98" s="15">
        <f t="shared" si="2"/>
        <v>1636032525</v>
      </c>
      <c r="K98" s="15">
        <f t="shared" si="3"/>
        <v>1636032525</v>
      </c>
      <c r="L98" s="15" t="str">
        <f t="shared" si="9"/>
        <v/>
      </c>
    </row>
    <row r="99">
      <c r="A99" s="1" t="s">
        <v>14</v>
      </c>
      <c r="B99" s="1" t="s">
        <v>187</v>
      </c>
      <c r="C99" s="62">
        <v>0.0</v>
      </c>
      <c r="D99" s="52">
        <v>45708.0</v>
      </c>
      <c r="E99" s="122">
        <v>45349.0</v>
      </c>
      <c r="F99" s="122">
        <v>45351.0</v>
      </c>
      <c r="G99" s="62">
        <v>0.187</v>
      </c>
      <c r="H99" s="128">
        <f t="shared" si="15"/>
        <v>81.75283704</v>
      </c>
      <c r="I99" s="63">
        <v>1.7E9</v>
      </c>
      <c r="J99" s="15">
        <f t="shared" si="2"/>
        <v>1389798230</v>
      </c>
      <c r="K99" s="15">
        <f t="shared" si="3"/>
        <v>1389798230</v>
      </c>
      <c r="L99" s="15" t="str">
        <f t="shared" si="9"/>
        <v/>
      </c>
    </row>
    <row r="100">
      <c r="A100" s="1" t="s">
        <v>14</v>
      </c>
      <c r="B100" s="1" t="s">
        <v>178</v>
      </c>
      <c r="C100" s="62">
        <v>0.157</v>
      </c>
      <c r="D100" s="52">
        <v>56056.0</v>
      </c>
      <c r="E100" s="122">
        <v>45350.0</v>
      </c>
      <c r="F100" s="122">
        <v>45352.0</v>
      </c>
      <c r="G100" s="62">
        <f>IFERROR(YIELD(F100,D100,C100,H100,100,2,1),"")</f>
        <v>0.1890001615</v>
      </c>
      <c r="H100" s="63">
        <v>83.07</v>
      </c>
      <c r="I100" s="63">
        <v>4.0E8</v>
      </c>
      <c r="J100" s="15">
        <f t="shared" si="2"/>
        <v>344462513.7</v>
      </c>
      <c r="K100" s="15">
        <f t="shared" si="3"/>
        <v>332280000</v>
      </c>
      <c r="L100" s="15">
        <f t="shared" si="9"/>
        <v>12182513.66</v>
      </c>
    </row>
    <row r="101">
      <c r="A101" s="1" t="s">
        <v>12</v>
      </c>
      <c r="B101" s="1" t="s">
        <v>189</v>
      </c>
      <c r="C101" s="62">
        <v>0.0</v>
      </c>
      <c r="D101" s="52">
        <v>45722.0</v>
      </c>
      <c r="E101" s="122">
        <v>45357.0</v>
      </c>
      <c r="F101" s="122">
        <v>45358.0</v>
      </c>
      <c r="G101" s="62">
        <v>0.2</v>
      </c>
      <c r="H101" s="128">
        <f t="shared" ref="H101:H109" si="16">PRICEDISC(F101,D101,G101,100,1)</f>
        <v>80.09970806</v>
      </c>
      <c r="I101" s="63">
        <v>1.0E9</v>
      </c>
      <c r="J101" s="15">
        <f t="shared" si="2"/>
        <v>800997080.6</v>
      </c>
      <c r="K101" s="15">
        <f t="shared" si="3"/>
        <v>800997080.6</v>
      </c>
      <c r="L101" s="15" t="str">
        <f t="shared" si="9"/>
        <v/>
      </c>
    </row>
    <row r="102">
      <c r="A102" s="1" t="s">
        <v>12</v>
      </c>
      <c r="B102" s="1" t="s">
        <v>189</v>
      </c>
      <c r="C102" s="62">
        <v>0.0</v>
      </c>
      <c r="D102" s="52">
        <v>45722.0</v>
      </c>
      <c r="E102" s="122">
        <v>45357.0</v>
      </c>
      <c r="F102" s="122">
        <v>45358.0</v>
      </c>
      <c r="G102" s="62">
        <v>0.196</v>
      </c>
      <c r="H102" s="128">
        <f t="shared" si="16"/>
        <v>80.4977139</v>
      </c>
      <c r="I102" s="63">
        <v>5.0E8</v>
      </c>
      <c r="J102" s="15">
        <f t="shared" si="2"/>
        <v>402488569.5</v>
      </c>
      <c r="K102" s="15">
        <f t="shared" si="3"/>
        <v>402488569.5</v>
      </c>
      <c r="L102" s="15" t="str">
        <f t="shared" si="9"/>
        <v/>
      </c>
    </row>
    <row r="103">
      <c r="A103" s="1" t="s">
        <v>12</v>
      </c>
      <c r="B103" s="1" t="s">
        <v>189</v>
      </c>
      <c r="C103" s="62">
        <v>0.0</v>
      </c>
      <c r="D103" s="52">
        <v>45722.0</v>
      </c>
      <c r="E103" s="122">
        <v>45357.0</v>
      </c>
      <c r="F103" s="122">
        <v>45358.0</v>
      </c>
      <c r="G103" s="62">
        <v>0.1984</v>
      </c>
      <c r="H103" s="128">
        <f t="shared" si="16"/>
        <v>80.2589104</v>
      </c>
      <c r="I103" s="63">
        <v>5.0E8</v>
      </c>
      <c r="J103" s="15">
        <f t="shared" si="2"/>
        <v>401294552</v>
      </c>
      <c r="K103" s="15">
        <f t="shared" si="3"/>
        <v>401294552</v>
      </c>
      <c r="L103" s="15" t="str">
        <f t="shared" si="9"/>
        <v/>
      </c>
    </row>
    <row r="104">
      <c r="A104" s="1" t="s">
        <v>12</v>
      </c>
      <c r="B104" s="1" t="s">
        <v>189</v>
      </c>
      <c r="C104" s="62">
        <v>0.0</v>
      </c>
      <c r="D104" s="52">
        <v>45722.0</v>
      </c>
      <c r="E104" s="122">
        <v>45357.0</v>
      </c>
      <c r="F104" s="122">
        <v>45358.0</v>
      </c>
      <c r="G104" s="62">
        <v>0.2</v>
      </c>
      <c r="H104" s="128">
        <f t="shared" si="16"/>
        <v>80.09970806</v>
      </c>
      <c r="I104" s="63">
        <v>5.0E8</v>
      </c>
      <c r="J104" s="15">
        <f t="shared" si="2"/>
        <v>400498540.3</v>
      </c>
      <c r="K104" s="15">
        <f t="shared" si="3"/>
        <v>400498540.3</v>
      </c>
      <c r="L104" s="15" t="str">
        <f t="shared" si="9"/>
        <v/>
      </c>
    </row>
    <row r="105">
      <c r="A105" s="1" t="s">
        <v>12</v>
      </c>
      <c r="B105" s="1" t="s">
        <v>189</v>
      </c>
      <c r="C105" s="62">
        <v>0.0</v>
      </c>
      <c r="D105" s="52">
        <v>45722.0</v>
      </c>
      <c r="E105" s="122">
        <v>45357.0</v>
      </c>
      <c r="F105" s="122">
        <v>45358.0</v>
      </c>
      <c r="G105" s="62">
        <v>0.1975</v>
      </c>
      <c r="H105" s="128">
        <f t="shared" si="16"/>
        <v>80.34846171</v>
      </c>
      <c r="I105" s="63">
        <v>5.5E9</v>
      </c>
      <c r="J105" s="15">
        <f t="shared" si="2"/>
        <v>4419165394</v>
      </c>
      <c r="K105" s="15">
        <f t="shared" si="3"/>
        <v>4419165394</v>
      </c>
      <c r="L105" s="15" t="str">
        <f t="shared" si="9"/>
        <v/>
      </c>
    </row>
    <row r="106">
      <c r="A106" s="1" t="s">
        <v>14</v>
      </c>
      <c r="B106" s="1" t="s">
        <v>189</v>
      </c>
      <c r="C106" s="62">
        <v>0.0</v>
      </c>
      <c r="D106" s="52">
        <v>45722.0</v>
      </c>
      <c r="E106" s="122">
        <v>45372.0</v>
      </c>
      <c r="F106" s="122">
        <v>45373.0</v>
      </c>
      <c r="G106" s="62">
        <v>0.193</v>
      </c>
      <c r="H106" s="63">
        <f t="shared" si="16"/>
        <v>81.58720189</v>
      </c>
      <c r="I106" s="63">
        <v>2.0E9</v>
      </c>
      <c r="J106" s="15">
        <f t="shared" si="2"/>
        <v>1631744038</v>
      </c>
      <c r="K106" s="15">
        <f t="shared" si="3"/>
        <v>1631744038</v>
      </c>
      <c r="L106" s="15" t="str">
        <f t="shared" si="9"/>
        <v/>
      </c>
    </row>
    <row r="107">
      <c r="A107" s="1" t="s">
        <v>14</v>
      </c>
      <c r="B107" s="1" t="s">
        <v>189</v>
      </c>
      <c r="C107" s="62">
        <v>0.0</v>
      </c>
      <c r="D107" s="52">
        <v>45722.0</v>
      </c>
      <c r="E107" s="122">
        <v>45372.0</v>
      </c>
      <c r="F107" s="122">
        <v>45376.0</v>
      </c>
      <c r="G107" s="62">
        <v>0.193</v>
      </c>
      <c r="H107" s="63">
        <f t="shared" si="16"/>
        <v>81.74539861</v>
      </c>
      <c r="I107" s="63">
        <v>2.0E9</v>
      </c>
      <c r="J107" s="15">
        <f t="shared" si="2"/>
        <v>1634907972</v>
      </c>
      <c r="K107" s="15">
        <f t="shared" si="3"/>
        <v>1634907972</v>
      </c>
      <c r="L107" s="15" t="str">
        <f t="shared" si="9"/>
        <v/>
      </c>
    </row>
    <row r="108">
      <c r="A108" s="1" t="s">
        <v>12</v>
      </c>
      <c r="B108" s="1" t="s">
        <v>193</v>
      </c>
      <c r="C108" s="62">
        <v>0.0</v>
      </c>
      <c r="D108" s="52">
        <v>45743.0</v>
      </c>
      <c r="E108" s="122">
        <v>45379.0</v>
      </c>
      <c r="F108" s="122">
        <v>45379.0</v>
      </c>
      <c r="G108" s="62">
        <v>0.1835</v>
      </c>
      <c r="H108" s="63">
        <f t="shared" si="16"/>
        <v>81.73859757</v>
      </c>
      <c r="I108" s="63">
        <v>4.7E9</v>
      </c>
      <c r="J108" s="15">
        <f t="shared" si="2"/>
        <v>3841714086</v>
      </c>
      <c r="K108" s="15">
        <f t="shared" si="3"/>
        <v>3841714086</v>
      </c>
      <c r="L108" s="15" t="str">
        <f t="shared" si="9"/>
        <v/>
      </c>
    </row>
    <row r="109">
      <c r="A109" s="1" t="s">
        <v>14</v>
      </c>
      <c r="B109" s="1" t="s">
        <v>189</v>
      </c>
      <c r="C109" s="62">
        <v>0.0</v>
      </c>
      <c r="D109" s="52">
        <v>45722.0</v>
      </c>
      <c r="E109" s="122">
        <v>45394.0</v>
      </c>
      <c r="F109" s="122">
        <v>45398.0</v>
      </c>
      <c r="G109" s="62">
        <v>0.1945</v>
      </c>
      <c r="H109" s="63">
        <f t="shared" si="16"/>
        <v>82.77264915</v>
      </c>
      <c r="I109" s="63">
        <v>4.0E9</v>
      </c>
      <c r="J109" s="15">
        <v>3.31090596602E9</v>
      </c>
      <c r="K109" s="15">
        <v>3.31090596602E9</v>
      </c>
      <c r="L109" s="15" t="str">
        <f t="shared" si="9"/>
        <v/>
      </c>
    </row>
    <row r="110">
      <c r="A110" s="1" t="s">
        <v>12</v>
      </c>
      <c r="B110" s="1" t="s">
        <v>195</v>
      </c>
      <c r="C110" s="62">
        <v>0.19</v>
      </c>
      <c r="D110" s="52">
        <v>48996.0</v>
      </c>
      <c r="E110" s="122">
        <v>45397.0</v>
      </c>
      <c r="F110" s="122">
        <v>45399.0</v>
      </c>
      <c r="G110" s="62">
        <f>IFERROR(YIELD(F110,D110,C110,H110,100,2,1),"")</f>
        <v>0.2000000001</v>
      </c>
      <c r="H110" s="63">
        <v>95.6695031432</v>
      </c>
      <c r="I110" s="63">
        <v>3.3E9</v>
      </c>
      <c r="J110" s="15">
        <f t="shared" ref="J110:J177" si="17">IFERROR((I110*H110/100)+ACCRINT(COUPPCD(F110,D110,2,1),COUPNCD(F110,D110,2,1),F110,C110,I110,2,1),I110*H110/100)</f>
        <v>3253555142</v>
      </c>
      <c r="K110" s="15">
        <f t="shared" ref="K110:K270" si="18">I110*H110/100</f>
        <v>3157093604</v>
      </c>
      <c r="L110" s="15">
        <f t="shared" si="9"/>
        <v>96461538.46</v>
      </c>
    </row>
    <row r="111">
      <c r="A111" s="1" t="s">
        <v>14</v>
      </c>
      <c r="B111" s="1" t="s">
        <v>193</v>
      </c>
      <c r="C111" s="62">
        <v>0.0</v>
      </c>
      <c r="D111" s="52">
        <v>45743.0</v>
      </c>
      <c r="E111" s="122">
        <v>45405.0</v>
      </c>
      <c r="F111" s="122">
        <v>45406.0</v>
      </c>
      <c r="G111" s="62">
        <v>0.2115</v>
      </c>
      <c r="H111" s="63">
        <f>PRICEDISC(F111,D111,G111,100,1)</f>
        <v>80.51236245</v>
      </c>
      <c r="I111" s="63">
        <v>3.15E9</v>
      </c>
      <c r="J111" s="15">
        <f t="shared" si="17"/>
        <v>2536139417</v>
      </c>
      <c r="K111" s="15">
        <f t="shared" si="18"/>
        <v>2536139417</v>
      </c>
      <c r="L111" s="15" t="str">
        <f t="shared" si="9"/>
        <v/>
      </c>
    </row>
    <row r="112">
      <c r="A112" s="1" t="s">
        <v>12</v>
      </c>
      <c r="B112" s="1" t="s">
        <v>195</v>
      </c>
      <c r="C112" s="62">
        <v>0.19</v>
      </c>
      <c r="D112" s="52">
        <v>48996.0</v>
      </c>
      <c r="E112" s="122">
        <v>45406.0</v>
      </c>
      <c r="F112" s="122">
        <v>45408.0</v>
      </c>
      <c r="G112" s="62">
        <f t="shared" ref="G112:G113" si="19">IFERROR(YIELD(F112,D112,C112,H112,100,2,1),"")</f>
        <v>0.1949935348</v>
      </c>
      <c r="H112" s="63">
        <v>97.75</v>
      </c>
      <c r="I112" s="63">
        <v>1.0E9</v>
      </c>
      <c r="J112" s="15">
        <f t="shared" si="17"/>
        <v>1011428571</v>
      </c>
      <c r="K112" s="15">
        <f t="shared" si="18"/>
        <v>977500000</v>
      </c>
      <c r="L112" s="15">
        <f t="shared" si="9"/>
        <v>33928571.43</v>
      </c>
    </row>
    <row r="113">
      <c r="A113" s="1" t="s">
        <v>12</v>
      </c>
      <c r="B113" s="1" t="s">
        <v>197</v>
      </c>
      <c r="C113" s="62">
        <v>0.1994</v>
      </c>
      <c r="D113" s="52">
        <v>46466.0</v>
      </c>
      <c r="E113" s="122">
        <v>45407.0</v>
      </c>
      <c r="F113" s="122">
        <v>45408.0</v>
      </c>
      <c r="G113" s="62">
        <f t="shared" si="19"/>
        <v>0.1927490417</v>
      </c>
      <c r="H113" s="63">
        <v>101.35375</v>
      </c>
      <c r="I113" s="63">
        <v>1.0E9</v>
      </c>
      <c r="J113" s="15">
        <f t="shared" si="17"/>
        <v>1033585870</v>
      </c>
      <c r="K113" s="15">
        <f t="shared" si="18"/>
        <v>1013537500</v>
      </c>
      <c r="L113" s="15">
        <f t="shared" si="9"/>
        <v>20048369.57</v>
      </c>
    </row>
    <row r="114">
      <c r="A114" s="1" t="s">
        <v>14</v>
      </c>
      <c r="B114" s="1" t="s">
        <v>193</v>
      </c>
      <c r="C114" s="62">
        <v>0.0</v>
      </c>
      <c r="D114" s="52">
        <v>45743.0</v>
      </c>
      <c r="E114" s="122">
        <v>45421.0</v>
      </c>
      <c r="F114" s="122">
        <v>45422.0</v>
      </c>
      <c r="G114" s="62">
        <v>0.208</v>
      </c>
      <c r="H114" s="63">
        <f t="shared" ref="H114:H116" si="20">PRICEDISC(F114,D114,G114,100,1)</f>
        <v>81.74414253</v>
      </c>
      <c r="I114" s="63">
        <v>1.0E9</v>
      </c>
      <c r="J114" s="15">
        <f t="shared" si="17"/>
        <v>817441425.3</v>
      </c>
      <c r="K114" s="15">
        <f t="shared" si="18"/>
        <v>817441425.3</v>
      </c>
      <c r="L114" s="15" t="str">
        <f t="shared" si="9"/>
        <v/>
      </c>
    </row>
    <row r="115">
      <c r="A115" s="1" t="s">
        <v>14</v>
      </c>
      <c r="B115" s="1" t="s">
        <v>193</v>
      </c>
      <c r="C115" s="62">
        <v>0.0</v>
      </c>
      <c r="D115" s="52">
        <v>45743.0</v>
      </c>
      <c r="E115" s="122">
        <v>45432.0</v>
      </c>
      <c r="F115" s="122">
        <v>45433.0</v>
      </c>
      <c r="G115" s="62">
        <v>0.207</v>
      </c>
      <c r="H115" s="63">
        <f t="shared" si="20"/>
        <v>82.45404222</v>
      </c>
      <c r="I115" s="63">
        <v>3.5E8</v>
      </c>
      <c r="J115" s="15">
        <f t="shared" si="17"/>
        <v>288589147.8</v>
      </c>
      <c r="K115" s="15">
        <f t="shared" si="18"/>
        <v>288589147.8</v>
      </c>
      <c r="L115" s="15" t="str">
        <f t="shared" si="9"/>
        <v/>
      </c>
    </row>
    <row r="116">
      <c r="A116" s="51" t="s">
        <v>12</v>
      </c>
      <c r="B116" s="1" t="s">
        <v>198</v>
      </c>
      <c r="C116" s="62">
        <v>0.0</v>
      </c>
      <c r="D116" s="52">
        <v>45813.0</v>
      </c>
      <c r="E116" s="122">
        <v>45464.0</v>
      </c>
      <c r="F116" s="122">
        <v>45467.0</v>
      </c>
      <c r="G116" s="62">
        <v>0.2</v>
      </c>
      <c r="H116" s="63">
        <f t="shared" si="20"/>
        <v>81.06969085</v>
      </c>
      <c r="I116" s="63">
        <v>1.65E9</v>
      </c>
      <c r="J116" s="15">
        <f t="shared" si="17"/>
        <v>1337649899</v>
      </c>
      <c r="K116" s="15">
        <f t="shared" si="18"/>
        <v>1337649899</v>
      </c>
      <c r="L116" s="15" t="str">
        <f t="shared" si="9"/>
        <v/>
      </c>
    </row>
    <row r="117">
      <c r="A117" s="1" t="s">
        <v>14</v>
      </c>
      <c r="B117" s="1" t="s">
        <v>195</v>
      </c>
      <c r="C117" s="62">
        <v>0.19</v>
      </c>
      <c r="D117" s="52">
        <v>48996.0</v>
      </c>
      <c r="E117" s="52">
        <v>45470.0</v>
      </c>
      <c r="F117" s="122">
        <v>45471.0</v>
      </c>
      <c r="G117" s="62">
        <f t="shared" ref="G117:G119" si="21">IFERROR(YIELD(F117,D117,C117,H117,100,2,1),"")</f>
        <v>0.2105092528</v>
      </c>
      <c r="H117" s="63">
        <v>91.57</v>
      </c>
      <c r="I117" s="63">
        <v>1.5E9</v>
      </c>
      <c r="J117" s="15">
        <f t="shared" si="17"/>
        <v>1473769780</v>
      </c>
      <c r="K117" s="15">
        <f t="shared" si="18"/>
        <v>1373550000</v>
      </c>
      <c r="L117" s="15">
        <f t="shared" si="9"/>
        <v>100219780.2</v>
      </c>
    </row>
    <row r="118">
      <c r="A118" s="1" t="s">
        <v>14</v>
      </c>
      <c r="B118" s="1" t="s">
        <v>195</v>
      </c>
      <c r="C118" s="62">
        <v>0.19</v>
      </c>
      <c r="D118" s="52">
        <v>48996.0</v>
      </c>
      <c r="E118" s="122">
        <v>45484.0</v>
      </c>
      <c r="F118" s="122">
        <v>45485.0</v>
      </c>
      <c r="G118" s="62">
        <f t="shared" si="21"/>
        <v>0.2140029225</v>
      </c>
      <c r="H118" s="63">
        <v>90.29</v>
      </c>
      <c r="I118" s="63">
        <v>1.0E9</v>
      </c>
      <c r="J118" s="15">
        <f t="shared" si="17"/>
        <v>977020879.1</v>
      </c>
      <c r="K118" s="15">
        <f t="shared" si="18"/>
        <v>902900000</v>
      </c>
      <c r="L118" s="15">
        <f t="shared" si="9"/>
        <v>74120879.12</v>
      </c>
    </row>
    <row r="119">
      <c r="A119" s="1" t="s">
        <v>14</v>
      </c>
      <c r="B119" s="1" t="s">
        <v>195</v>
      </c>
      <c r="C119" s="62">
        <v>0.19</v>
      </c>
      <c r="D119" s="52">
        <v>48996.0</v>
      </c>
      <c r="E119" s="122">
        <v>45485.0</v>
      </c>
      <c r="F119" s="122">
        <v>45488.0</v>
      </c>
      <c r="G119" s="62">
        <f t="shared" si="21"/>
        <v>0.2140225287</v>
      </c>
      <c r="H119" s="63">
        <v>90.29</v>
      </c>
      <c r="I119" s="63">
        <v>4.0E8</v>
      </c>
      <c r="J119" s="15">
        <f t="shared" si="17"/>
        <v>391434725.3</v>
      </c>
      <c r="K119" s="15">
        <f t="shared" si="18"/>
        <v>361160000</v>
      </c>
      <c r="L119" s="15">
        <f t="shared" si="9"/>
        <v>30274725.27</v>
      </c>
    </row>
    <row r="120">
      <c r="A120" s="51" t="s">
        <v>12</v>
      </c>
      <c r="B120" s="1" t="s">
        <v>199</v>
      </c>
      <c r="C120" s="62">
        <v>0.0</v>
      </c>
      <c r="D120" s="52">
        <v>45848.0</v>
      </c>
      <c r="E120" s="122">
        <v>45490.0</v>
      </c>
      <c r="F120" s="122">
        <v>45492.0</v>
      </c>
      <c r="G120" s="62">
        <v>0.2</v>
      </c>
      <c r="H120" s="63">
        <f>PRICEDISC(F120,D120,G120,100,1)</f>
        <v>80.51800284</v>
      </c>
      <c r="I120" s="63">
        <v>1.6E9</v>
      </c>
      <c r="J120" s="15">
        <f t="shared" si="17"/>
        <v>1288288046</v>
      </c>
      <c r="K120" s="15">
        <f t="shared" si="18"/>
        <v>1288288046</v>
      </c>
      <c r="L120" s="15" t="str">
        <f t="shared" si="9"/>
        <v/>
      </c>
    </row>
    <row r="121">
      <c r="A121" s="1" t="s">
        <v>14</v>
      </c>
      <c r="B121" s="1" t="s">
        <v>195</v>
      </c>
      <c r="C121" s="62">
        <v>0.19</v>
      </c>
      <c r="D121" s="52">
        <v>48996.0</v>
      </c>
      <c r="E121" s="122">
        <v>45498.0</v>
      </c>
      <c r="F121" s="122">
        <v>45499.0</v>
      </c>
      <c r="G121" s="62">
        <f>IFERROR(YIELD(F121,D121,C121,H121,100,2,1),"")</f>
        <v>0.2269961461</v>
      </c>
      <c r="H121" s="63">
        <v>85.72</v>
      </c>
      <c r="I121" s="63">
        <v>1.4E9</v>
      </c>
      <c r="J121" s="15">
        <f t="shared" si="17"/>
        <v>1314080000</v>
      </c>
      <c r="K121" s="15">
        <f t="shared" si="18"/>
        <v>1200080000</v>
      </c>
      <c r="L121" s="15">
        <f t="shared" si="9"/>
        <v>114000000</v>
      </c>
    </row>
    <row r="122">
      <c r="A122" s="1" t="s">
        <v>12</v>
      </c>
      <c r="B122" s="1" t="s">
        <v>200</v>
      </c>
      <c r="C122" s="62">
        <v>0.0</v>
      </c>
      <c r="D122" s="52">
        <v>45799.0</v>
      </c>
      <c r="E122" s="122">
        <v>45499.0</v>
      </c>
      <c r="F122" s="122">
        <v>45502.0</v>
      </c>
      <c r="G122" s="62">
        <v>0.222</v>
      </c>
      <c r="H122" s="63">
        <f t="shared" ref="H122:H125" si="22">PRICEDISC(F122,D122,G122,100,1)</f>
        <v>81.96181451</v>
      </c>
      <c r="I122" s="63">
        <v>1.6E9</v>
      </c>
      <c r="J122" s="15">
        <f t="shared" si="17"/>
        <v>1311389032</v>
      </c>
      <c r="K122" s="15">
        <f t="shared" si="18"/>
        <v>1311389032</v>
      </c>
      <c r="L122" s="15" t="str">
        <f t="shared" si="9"/>
        <v/>
      </c>
    </row>
    <row r="123">
      <c r="A123" s="1" t="s">
        <v>14</v>
      </c>
      <c r="B123" s="1" t="s">
        <v>198</v>
      </c>
      <c r="C123" s="62">
        <v>0.0</v>
      </c>
      <c r="D123" s="52">
        <v>45813.0</v>
      </c>
      <c r="E123" s="122">
        <v>45510.0</v>
      </c>
      <c r="F123" s="122">
        <v>45511.0</v>
      </c>
      <c r="G123" s="62">
        <v>0.225</v>
      </c>
      <c r="H123" s="63">
        <f t="shared" si="22"/>
        <v>81.40832023</v>
      </c>
      <c r="I123" s="63">
        <v>4.0E8</v>
      </c>
      <c r="J123" s="15">
        <f t="shared" si="17"/>
        <v>325633280.9</v>
      </c>
      <c r="K123" s="15">
        <f t="shared" si="18"/>
        <v>325633280.9</v>
      </c>
      <c r="L123" s="15" t="str">
        <f t="shared" si="9"/>
        <v/>
      </c>
    </row>
    <row r="124">
      <c r="A124" s="1" t="s">
        <v>14</v>
      </c>
      <c r="B124" s="1" t="s">
        <v>200</v>
      </c>
      <c r="C124" s="62">
        <v>0.0</v>
      </c>
      <c r="D124" s="52">
        <v>45799.0</v>
      </c>
      <c r="E124" s="122">
        <v>45533.0</v>
      </c>
      <c r="F124" s="122">
        <v>45534.0</v>
      </c>
      <c r="G124" s="62">
        <v>0.1975</v>
      </c>
      <c r="H124" s="63">
        <f t="shared" si="22"/>
        <v>85.67929111</v>
      </c>
      <c r="I124" s="63">
        <v>1.6E9</v>
      </c>
      <c r="J124" s="15">
        <f t="shared" si="17"/>
        <v>1370868658</v>
      </c>
      <c r="K124" s="15">
        <f t="shared" si="18"/>
        <v>1370868658</v>
      </c>
      <c r="L124" s="15" t="str">
        <f t="shared" si="9"/>
        <v/>
      </c>
    </row>
    <row r="125">
      <c r="A125" s="1" t="s">
        <v>14</v>
      </c>
      <c r="B125" s="1" t="s">
        <v>199</v>
      </c>
      <c r="C125" s="62">
        <v>0.0</v>
      </c>
      <c r="D125" s="52">
        <v>45848.0</v>
      </c>
      <c r="E125" s="122">
        <v>45533.0</v>
      </c>
      <c r="F125" s="122">
        <v>45534.0</v>
      </c>
      <c r="G125" s="62">
        <v>0.197</v>
      </c>
      <c r="H125" s="63">
        <f t="shared" si="22"/>
        <v>83.07088854</v>
      </c>
      <c r="I125" s="63">
        <v>8.0E8</v>
      </c>
      <c r="J125" s="15">
        <f t="shared" si="17"/>
        <v>664567108.3</v>
      </c>
      <c r="K125" s="15">
        <f t="shared" si="18"/>
        <v>664567108.3</v>
      </c>
      <c r="L125" s="15" t="str">
        <f t="shared" si="9"/>
        <v/>
      </c>
    </row>
    <row r="126">
      <c r="A126" s="1" t="s">
        <v>12</v>
      </c>
      <c r="B126" s="1" t="s">
        <v>201</v>
      </c>
      <c r="C126" s="62">
        <v>0.1989</v>
      </c>
      <c r="D126" s="52">
        <v>48714.0</v>
      </c>
      <c r="E126" s="122">
        <v>45534.0</v>
      </c>
      <c r="F126" s="122">
        <v>45537.0</v>
      </c>
      <c r="G126" s="62">
        <f t="shared" ref="G126:G131" si="23">IFERROR(YIELD(F126,D126,C126,H126,100,2,1),"")</f>
        <v>0.1926008744</v>
      </c>
      <c r="H126" s="63">
        <v>102.5</v>
      </c>
      <c r="I126" s="63">
        <v>5.0E8</v>
      </c>
      <c r="J126" s="15">
        <f t="shared" si="17"/>
        <v>542226902.2</v>
      </c>
      <c r="K126" s="15">
        <f t="shared" si="18"/>
        <v>512500000</v>
      </c>
      <c r="L126" s="15">
        <f t="shared" si="9"/>
        <v>29726902.17</v>
      </c>
    </row>
    <row r="127">
      <c r="A127" s="1" t="s">
        <v>12</v>
      </c>
      <c r="B127" s="1" t="s">
        <v>201</v>
      </c>
      <c r="C127" s="62">
        <v>0.1989</v>
      </c>
      <c r="D127" s="52">
        <v>48714.0</v>
      </c>
      <c r="E127" s="122">
        <v>45534.0</v>
      </c>
      <c r="F127" s="122">
        <v>45538.0</v>
      </c>
      <c r="G127" s="62">
        <f t="shared" si="23"/>
        <v>0.1926012352</v>
      </c>
      <c r="H127" s="63">
        <v>102.5</v>
      </c>
      <c r="I127" s="63">
        <v>1.5E9</v>
      </c>
      <c r="J127" s="15">
        <f t="shared" si="17"/>
        <v>1627491440</v>
      </c>
      <c r="K127" s="15">
        <f t="shared" si="18"/>
        <v>1537500000</v>
      </c>
      <c r="L127" s="15">
        <f t="shared" si="9"/>
        <v>89991440.22</v>
      </c>
    </row>
    <row r="128">
      <c r="A128" s="1" t="s">
        <v>14</v>
      </c>
      <c r="B128" s="1" t="s">
        <v>201</v>
      </c>
      <c r="C128" s="62">
        <v>0.1989</v>
      </c>
      <c r="D128" s="52">
        <v>48714.0</v>
      </c>
      <c r="E128" s="122">
        <v>45560.0</v>
      </c>
      <c r="F128" s="122">
        <v>45562.0</v>
      </c>
      <c r="G128" s="62">
        <f t="shared" si="23"/>
        <v>0.2099981328</v>
      </c>
      <c r="H128" s="63">
        <v>95.56</v>
      </c>
      <c r="I128" s="63">
        <v>3.0E8</v>
      </c>
      <c r="J128" s="15">
        <f t="shared" si="17"/>
        <v>308569809.8</v>
      </c>
      <c r="K128" s="15">
        <f t="shared" si="18"/>
        <v>286680000</v>
      </c>
      <c r="L128" s="15">
        <f t="shared" si="9"/>
        <v>21889809.78</v>
      </c>
    </row>
    <row r="129">
      <c r="A129" s="1" t="s">
        <v>14</v>
      </c>
      <c r="B129" s="1" t="s">
        <v>201</v>
      </c>
      <c r="C129" s="62">
        <v>0.1989</v>
      </c>
      <c r="D129" s="52">
        <v>48714.0</v>
      </c>
      <c r="E129" s="122">
        <v>45562.0</v>
      </c>
      <c r="F129" s="122">
        <v>45567.0</v>
      </c>
      <c r="G129" s="62">
        <f t="shared" si="23"/>
        <v>0.2149905004</v>
      </c>
      <c r="H129" s="63">
        <v>93.71</v>
      </c>
      <c r="I129" s="63">
        <v>5.0E8</v>
      </c>
      <c r="J129" s="15">
        <f t="shared" si="17"/>
        <v>506384239.1</v>
      </c>
      <c r="K129" s="15">
        <f t="shared" si="18"/>
        <v>468550000</v>
      </c>
      <c r="L129" s="15">
        <f t="shared" si="9"/>
        <v>37834239.13</v>
      </c>
    </row>
    <row r="130">
      <c r="A130" s="1" t="s">
        <v>14</v>
      </c>
      <c r="B130" s="1" t="s">
        <v>201</v>
      </c>
      <c r="C130" s="62">
        <v>0.1989</v>
      </c>
      <c r="D130" s="52">
        <v>48714.0</v>
      </c>
      <c r="E130" s="122">
        <v>45595.0</v>
      </c>
      <c r="F130" s="122">
        <v>45567.0</v>
      </c>
      <c r="G130" s="62">
        <f t="shared" si="23"/>
        <v>0.2149905004</v>
      </c>
      <c r="H130" s="63">
        <v>93.71</v>
      </c>
      <c r="I130" s="63">
        <v>2.0E8</v>
      </c>
      <c r="J130" s="15">
        <f t="shared" si="17"/>
        <v>202553695.7</v>
      </c>
      <c r="K130" s="15">
        <f t="shared" si="18"/>
        <v>187420000</v>
      </c>
      <c r="L130" s="15">
        <f t="shared" si="9"/>
        <v>15133695.65</v>
      </c>
    </row>
    <row r="131">
      <c r="A131" s="1" t="s">
        <v>14</v>
      </c>
      <c r="B131" s="1" t="s">
        <v>201</v>
      </c>
      <c r="C131" s="62">
        <v>0.1989</v>
      </c>
      <c r="D131" s="52">
        <v>48714.0</v>
      </c>
      <c r="E131" s="122">
        <v>45595.0</v>
      </c>
      <c r="F131" s="122">
        <v>45567.0</v>
      </c>
      <c r="G131" s="62">
        <f t="shared" si="23"/>
        <v>0.2164971429</v>
      </c>
      <c r="H131" s="63">
        <v>93.16</v>
      </c>
      <c r="I131" s="63">
        <v>1.0E9</v>
      </c>
      <c r="J131" s="15">
        <f t="shared" si="17"/>
        <v>1007268478</v>
      </c>
      <c r="K131" s="15">
        <f t="shared" si="18"/>
        <v>931600000</v>
      </c>
      <c r="L131" s="15">
        <f t="shared" si="9"/>
        <v>75668478.26</v>
      </c>
    </row>
    <row r="132">
      <c r="A132" s="1" t="s">
        <v>12</v>
      </c>
      <c r="B132" s="1" t="s">
        <v>200</v>
      </c>
      <c r="C132" s="62">
        <v>0.0</v>
      </c>
      <c r="D132" s="52">
        <v>45799.0</v>
      </c>
      <c r="E132" s="122">
        <v>45567.0</v>
      </c>
      <c r="F132" s="122">
        <v>45569.0</v>
      </c>
      <c r="G132" s="62">
        <v>0.211</v>
      </c>
      <c r="H132" s="63">
        <f t="shared" ref="H132:H133" si="24">PRICEDISC(F132,D132,G132,100,1)</f>
        <v>86.71816678</v>
      </c>
      <c r="I132" s="63">
        <v>1.0E9</v>
      </c>
      <c r="J132" s="15">
        <f t="shared" si="17"/>
        <v>867181667.8</v>
      </c>
      <c r="K132" s="15">
        <f t="shared" si="18"/>
        <v>867181667.8</v>
      </c>
      <c r="L132" s="15" t="str">
        <f t="shared" si="9"/>
        <v/>
      </c>
    </row>
    <row r="133">
      <c r="A133" s="1" t="s">
        <v>12</v>
      </c>
      <c r="B133" s="1" t="s">
        <v>200</v>
      </c>
      <c r="C133" s="62">
        <v>0.0</v>
      </c>
      <c r="D133" s="52">
        <v>45799.0</v>
      </c>
      <c r="E133" s="122">
        <v>45567.0</v>
      </c>
      <c r="F133" s="122">
        <v>45569.0</v>
      </c>
      <c r="G133" s="62">
        <v>0.211</v>
      </c>
      <c r="H133" s="63">
        <f t="shared" si="24"/>
        <v>86.71816678</v>
      </c>
      <c r="I133" s="63">
        <v>1.0E9</v>
      </c>
      <c r="J133" s="15">
        <f t="shared" si="17"/>
        <v>867181667.8</v>
      </c>
      <c r="K133" s="15">
        <f t="shared" si="18"/>
        <v>867181667.8</v>
      </c>
      <c r="L133" s="15" t="str">
        <f t="shared" si="9"/>
        <v/>
      </c>
    </row>
    <row r="134">
      <c r="A134" s="1" t="s">
        <v>14</v>
      </c>
      <c r="B134" s="1" t="s">
        <v>197</v>
      </c>
      <c r="C134" s="62">
        <v>0.1994</v>
      </c>
      <c r="D134" s="52">
        <v>46466.0</v>
      </c>
      <c r="E134" s="122">
        <v>45567.0</v>
      </c>
      <c r="F134" s="122">
        <v>45568.0</v>
      </c>
      <c r="G134" s="62">
        <f t="shared" ref="G134:G135" si="25">IFERROR(YIELD(F134,D134,C134,H134,100,2,1),"")</f>
        <v>0.197003634</v>
      </c>
      <c r="H134" s="63">
        <v>100.42</v>
      </c>
      <c r="I134" s="63">
        <v>3.5E8</v>
      </c>
      <c r="J134" s="15">
        <f t="shared" si="17"/>
        <v>353976270.7</v>
      </c>
      <c r="K134" s="15">
        <f t="shared" si="18"/>
        <v>351470000</v>
      </c>
      <c r="L134" s="15">
        <f t="shared" si="9"/>
        <v>2506270.718</v>
      </c>
    </row>
    <row r="135">
      <c r="A135" s="1" t="s">
        <v>14</v>
      </c>
      <c r="B135" s="1" t="s">
        <v>197</v>
      </c>
      <c r="C135" s="62">
        <v>0.1994</v>
      </c>
      <c r="D135" s="52">
        <v>46466.0</v>
      </c>
      <c r="E135" s="122">
        <v>45567.0</v>
      </c>
      <c r="F135" s="122">
        <v>45569.0</v>
      </c>
      <c r="G135" s="62">
        <f t="shared" si="25"/>
        <v>0.1969899867</v>
      </c>
      <c r="H135" s="63">
        <v>100.42</v>
      </c>
      <c r="I135" s="63">
        <v>6.5E8</v>
      </c>
      <c r="J135" s="15">
        <f t="shared" si="17"/>
        <v>657742541.4</v>
      </c>
      <c r="K135" s="15">
        <f t="shared" si="18"/>
        <v>652730000</v>
      </c>
      <c r="L135" s="15">
        <f t="shared" si="9"/>
        <v>5012541.436</v>
      </c>
    </row>
    <row r="136">
      <c r="A136" s="57" t="s">
        <v>12</v>
      </c>
      <c r="B136" s="57" t="s">
        <v>204</v>
      </c>
      <c r="C136" s="87">
        <v>0.0</v>
      </c>
      <c r="D136" s="167">
        <v>45694.0</v>
      </c>
      <c r="E136" s="168">
        <v>45573.0</v>
      </c>
      <c r="F136" s="168">
        <v>45574.0</v>
      </c>
      <c r="G136" s="87">
        <v>0.213</v>
      </c>
      <c r="H136" s="63">
        <f t="shared" ref="H136:H144" si="26">PRICEDISC(F136,D136,G136,100,1)</f>
        <v>93.01065349</v>
      </c>
      <c r="I136" s="63">
        <v>2.0E8</v>
      </c>
      <c r="J136" s="27">
        <f t="shared" si="17"/>
        <v>186021307</v>
      </c>
      <c r="K136" s="27">
        <f t="shared" si="18"/>
        <v>186021307</v>
      </c>
      <c r="L136" s="27" t="str">
        <f t="shared" si="9"/>
        <v/>
      </c>
    </row>
    <row r="137">
      <c r="A137" s="57" t="s">
        <v>12</v>
      </c>
      <c r="B137" s="57" t="s">
        <v>189</v>
      </c>
      <c r="C137" s="87">
        <v>0.0</v>
      </c>
      <c r="D137" s="167">
        <v>45722.0</v>
      </c>
      <c r="E137" s="168">
        <v>45573.0</v>
      </c>
      <c r="F137" s="168">
        <v>45574.0</v>
      </c>
      <c r="G137" s="87">
        <v>0.214</v>
      </c>
      <c r="H137" s="63">
        <f t="shared" si="26"/>
        <v>91.33619582</v>
      </c>
      <c r="I137" s="63">
        <v>2.0E8</v>
      </c>
      <c r="J137" s="27">
        <f t="shared" si="17"/>
        <v>182672391.6</v>
      </c>
      <c r="K137" s="27">
        <f t="shared" si="18"/>
        <v>182672391.6</v>
      </c>
      <c r="L137" s="27" t="str">
        <f t="shared" si="9"/>
        <v/>
      </c>
    </row>
    <row r="138">
      <c r="A138" s="57" t="s">
        <v>12</v>
      </c>
      <c r="B138" s="57" t="s">
        <v>205</v>
      </c>
      <c r="C138" s="87">
        <v>0.0</v>
      </c>
      <c r="D138" s="52">
        <v>45834.0</v>
      </c>
      <c r="E138" s="122">
        <v>45575.0</v>
      </c>
      <c r="F138" s="122">
        <v>45576.0</v>
      </c>
      <c r="G138" s="62">
        <v>0.201</v>
      </c>
      <c r="H138" s="63">
        <f t="shared" si="26"/>
        <v>85.80466652</v>
      </c>
      <c r="I138" s="63">
        <v>3.0E8</v>
      </c>
      <c r="J138" s="27">
        <f t="shared" si="17"/>
        <v>257413999.6</v>
      </c>
      <c r="K138" s="27">
        <f t="shared" si="18"/>
        <v>257413999.6</v>
      </c>
      <c r="L138" s="27" t="str">
        <f t="shared" si="9"/>
        <v/>
      </c>
    </row>
    <row r="139">
      <c r="A139" s="57" t="s">
        <v>12</v>
      </c>
      <c r="B139" s="57" t="s">
        <v>189</v>
      </c>
      <c r="C139" s="87">
        <v>0.0</v>
      </c>
      <c r="D139" s="167">
        <v>45722.0</v>
      </c>
      <c r="E139" s="122">
        <v>45576.0</v>
      </c>
      <c r="F139" s="122">
        <v>45579.0</v>
      </c>
      <c r="G139" s="62">
        <v>0.214</v>
      </c>
      <c r="H139" s="63">
        <f t="shared" si="26"/>
        <v>91.62854555</v>
      </c>
      <c r="I139" s="63">
        <v>4.0E8</v>
      </c>
      <c r="J139" s="27">
        <f t="shared" si="17"/>
        <v>366514182.2</v>
      </c>
      <c r="K139" s="27">
        <f t="shared" si="18"/>
        <v>366514182.2</v>
      </c>
      <c r="L139" s="27" t="str">
        <f t="shared" si="9"/>
        <v/>
      </c>
    </row>
    <row r="140">
      <c r="A140" s="57" t="s">
        <v>12</v>
      </c>
      <c r="B140" s="1" t="s">
        <v>193</v>
      </c>
      <c r="C140" s="87">
        <v>0.0</v>
      </c>
      <c r="D140" s="52">
        <v>45743.0</v>
      </c>
      <c r="E140" s="122">
        <v>45576.0</v>
      </c>
      <c r="F140" s="122">
        <v>45580.0</v>
      </c>
      <c r="G140" s="62">
        <v>0.216</v>
      </c>
      <c r="H140" s="63">
        <f t="shared" si="26"/>
        <v>90.36658433</v>
      </c>
      <c r="I140" s="63">
        <v>3.0E8</v>
      </c>
      <c r="J140" s="15">
        <f t="shared" si="17"/>
        <v>271099753</v>
      </c>
      <c r="K140" s="15">
        <f t="shared" si="18"/>
        <v>271099753</v>
      </c>
      <c r="L140" s="15" t="str">
        <f t="shared" si="9"/>
        <v/>
      </c>
    </row>
    <row r="141">
      <c r="A141" s="1" t="s">
        <v>14</v>
      </c>
      <c r="B141" s="1" t="s">
        <v>200</v>
      </c>
      <c r="C141" s="87">
        <v>0.0</v>
      </c>
      <c r="D141" s="52">
        <v>45799.0</v>
      </c>
      <c r="E141" s="122">
        <v>45586.0</v>
      </c>
      <c r="F141" s="122">
        <v>45587.0</v>
      </c>
      <c r="G141" s="62">
        <v>0.235</v>
      </c>
      <c r="H141" s="63">
        <f t="shared" si="26"/>
        <v>86.36317464</v>
      </c>
      <c r="I141" s="63">
        <v>5.5E8</v>
      </c>
      <c r="J141" s="15">
        <f t="shared" si="17"/>
        <v>474997460.5</v>
      </c>
      <c r="K141" s="15">
        <f t="shared" si="18"/>
        <v>474997460.5</v>
      </c>
      <c r="L141" s="15" t="str">
        <f t="shared" si="9"/>
        <v/>
      </c>
    </row>
    <row r="142">
      <c r="A142" s="1" t="s">
        <v>14</v>
      </c>
      <c r="B142" s="57" t="s">
        <v>204</v>
      </c>
      <c r="C142" s="87">
        <v>0.0</v>
      </c>
      <c r="D142" s="167">
        <v>45694.0</v>
      </c>
      <c r="E142" s="122">
        <v>45674.0</v>
      </c>
      <c r="F142" s="122">
        <v>45677.0</v>
      </c>
      <c r="G142" s="62">
        <v>0.23</v>
      </c>
      <c r="H142" s="63">
        <f t="shared" si="26"/>
        <v>98.92876712</v>
      </c>
      <c r="I142" s="63">
        <v>2.0E8</v>
      </c>
      <c r="J142" s="15">
        <f t="shared" si="17"/>
        <v>197857534.2</v>
      </c>
      <c r="K142" s="15">
        <f t="shared" si="18"/>
        <v>197857534.2</v>
      </c>
      <c r="L142" s="15" t="str">
        <f t="shared" si="9"/>
        <v/>
      </c>
    </row>
    <row r="143">
      <c r="A143" s="1" t="s">
        <v>14</v>
      </c>
      <c r="B143" s="57" t="s">
        <v>189</v>
      </c>
      <c r="C143" s="87">
        <v>0.0</v>
      </c>
      <c r="D143" s="167">
        <v>45722.0</v>
      </c>
      <c r="E143" s="122">
        <v>45674.0</v>
      </c>
      <c r="F143" s="122">
        <v>45677.0</v>
      </c>
      <c r="G143" s="62">
        <v>0.229</v>
      </c>
      <c r="H143" s="63">
        <f t="shared" si="26"/>
        <v>97.17671233</v>
      </c>
      <c r="I143" s="63">
        <v>2.0E8</v>
      </c>
      <c r="J143" s="15">
        <f t="shared" si="17"/>
        <v>194353424.7</v>
      </c>
      <c r="K143" s="15">
        <f t="shared" si="18"/>
        <v>194353424.7</v>
      </c>
      <c r="L143" s="15" t="str">
        <f t="shared" si="9"/>
        <v/>
      </c>
    </row>
    <row r="144">
      <c r="A144" s="1" t="s">
        <v>14</v>
      </c>
      <c r="B144" s="1" t="s">
        <v>200</v>
      </c>
      <c r="C144" s="87">
        <v>0.0</v>
      </c>
      <c r="D144" s="52">
        <v>45799.0</v>
      </c>
      <c r="E144" s="122">
        <v>45688.0</v>
      </c>
      <c r="F144" s="122">
        <v>45691.0</v>
      </c>
      <c r="G144" s="62">
        <v>0.2105</v>
      </c>
      <c r="H144" s="63">
        <f t="shared" si="26"/>
        <v>93.77150685</v>
      </c>
      <c r="I144" s="63">
        <v>9.003E8</v>
      </c>
      <c r="J144" s="15">
        <f t="shared" si="17"/>
        <v>844224876.2</v>
      </c>
      <c r="K144" s="15">
        <f t="shared" si="18"/>
        <v>844224876.2</v>
      </c>
      <c r="L144" s="15" t="str">
        <f t="shared" si="9"/>
        <v/>
      </c>
    </row>
    <row r="145">
      <c r="A145" s="1" t="s">
        <v>12</v>
      </c>
      <c r="B145" s="1" t="s">
        <v>144</v>
      </c>
      <c r="C145" s="62">
        <v>0.226</v>
      </c>
      <c r="D145" s="52">
        <v>49338.0</v>
      </c>
      <c r="E145" s="122">
        <v>45693.0</v>
      </c>
      <c r="F145" s="122">
        <v>45695.0</v>
      </c>
      <c r="G145" s="62">
        <f t="shared" ref="G145:G155" si="27">IFERROR(YIELD(F145,D145,C145,H145,100,2,1),"")</f>
        <v>0.2195074626</v>
      </c>
      <c r="H145" s="63">
        <v>102.56</v>
      </c>
      <c r="I145" s="63">
        <v>1.2E9</v>
      </c>
      <c r="J145" s="15">
        <f t="shared" si="17"/>
        <v>1237462541</v>
      </c>
      <c r="K145" s="15">
        <f t="shared" si="18"/>
        <v>1230720000</v>
      </c>
      <c r="L145" s="15">
        <f t="shared" si="9"/>
        <v>6742541.436</v>
      </c>
    </row>
    <row r="146">
      <c r="A146" s="1" t="s">
        <v>12</v>
      </c>
      <c r="B146" s="1" t="s">
        <v>208</v>
      </c>
      <c r="C146" s="62">
        <v>0.185</v>
      </c>
      <c r="D146" s="52">
        <v>47900.0</v>
      </c>
      <c r="E146" s="122">
        <v>45694.0</v>
      </c>
      <c r="F146" s="122">
        <v>45695.0</v>
      </c>
      <c r="G146" s="62">
        <f t="shared" si="27"/>
        <v>0.2152133876</v>
      </c>
      <c r="H146" s="63">
        <v>90.01375</v>
      </c>
      <c r="I146" s="63">
        <v>7.0E8</v>
      </c>
      <c r="J146" s="15">
        <f t="shared" si="17"/>
        <v>689919619.6</v>
      </c>
      <c r="K146" s="15">
        <f t="shared" si="18"/>
        <v>630096250</v>
      </c>
      <c r="L146" s="15">
        <f t="shared" si="9"/>
        <v>59823369.57</v>
      </c>
    </row>
    <row r="147">
      <c r="A147" s="1" t="s">
        <v>12</v>
      </c>
      <c r="B147" s="1" t="s">
        <v>208</v>
      </c>
      <c r="C147" s="62">
        <v>0.185</v>
      </c>
      <c r="D147" s="52">
        <v>47900.0</v>
      </c>
      <c r="E147" s="122">
        <v>45694.0</v>
      </c>
      <c r="F147" s="122">
        <v>45698.0</v>
      </c>
      <c r="G147" s="62">
        <f t="shared" si="27"/>
        <v>0.2151268072</v>
      </c>
      <c r="H147" s="63">
        <v>90.05375</v>
      </c>
      <c r="I147" s="63">
        <v>7.0E8</v>
      </c>
      <c r="J147" s="15">
        <f t="shared" si="17"/>
        <v>691255326.1</v>
      </c>
      <c r="K147" s="15">
        <f t="shared" si="18"/>
        <v>630376250</v>
      </c>
      <c r="L147" s="15">
        <f t="shared" si="9"/>
        <v>60879076.09</v>
      </c>
    </row>
    <row r="148">
      <c r="A148" s="57" t="s">
        <v>12</v>
      </c>
      <c r="B148" s="57" t="s">
        <v>208</v>
      </c>
      <c r="C148" s="87">
        <v>0.185</v>
      </c>
      <c r="D148" s="167">
        <v>47900.0</v>
      </c>
      <c r="E148" s="168">
        <v>45709.0</v>
      </c>
      <c r="F148" s="168">
        <v>45715.0</v>
      </c>
      <c r="G148" s="87">
        <f t="shared" si="27"/>
        <v>0.1923354734</v>
      </c>
      <c r="H148" s="63">
        <v>97.44375</v>
      </c>
      <c r="I148" s="63">
        <v>7.0E8</v>
      </c>
      <c r="J148" s="27">
        <f t="shared" si="17"/>
        <v>684252658.8</v>
      </c>
      <c r="K148" s="27">
        <f t="shared" si="18"/>
        <v>682106250</v>
      </c>
      <c r="L148" s="27">
        <f t="shared" si="9"/>
        <v>2146408.84</v>
      </c>
    </row>
    <row r="149">
      <c r="A149" s="57" t="s">
        <v>12</v>
      </c>
      <c r="B149" s="57" t="s">
        <v>208</v>
      </c>
      <c r="C149" s="87">
        <v>0.185</v>
      </c>
      <c r="D149" s="167">
        <v>47900.0</v>
      </c>
      <c r="E149" s="168">
        <v>45709.0</v>
      </c>
      <c r="F149" s="168">
        <v>45714.0</v>
      </c>
      <c r="G149" s="87">
        <f t="shared" si="27"/>
        <v>0.1928398533</v>
      </c>
      <c r="H149" s="63">
        <v>97.27375</v>
      </c>
      <c r="I149" s="63">
        <v>1.0E9</v>
      </c>
      <c r="J149" s="27">
        <f t="shared" si="17"/>
        <v>975292748.6</v>
      </c>
      <c r="K149" s="27">
        <f t="shared" si="18"/>
        <v>972737500</v>
      </c>
      <c r="L149" s="27">
        <f t="shared" si="9"/>
        <v>2555248.619</v>
      </c>
    </row>
    <row r="150">
      <c r="A150" s="57" t="s">
        <v>12</v>
      </c>
      <c r="B150" s="57" t="s">
        <v>144</v>
      </c>
      <c r="C150" s="87">
        <v>0.226</v>
      </c>
      <c r="D150" s="167">
        <v>49338.0</v>
      </c>
      <c r="E150" s="168">
        <v>45708.0</v>
      </c>
      <c r="F150" s="168">
        <v>45714.0</v>
      </c>
      <c r="G150" s="87">
        <f t="shared" si="27"/>
        <v>0.2025063179</v>
      </c>
      <c r="H150" s="63">
        <v>109.82</v>
      </c>
      <c r="I150" s="63">
        <v>5.0E8</v>
      </c>
      <c r="J150" s="27">
        <f t="shared" si="17"/>
        <v>557840331.5</v>
      </c>
      <c r="K150" s="27">
        <f t="shared" si="18"/>
        <v>549100000</v>
      </c>
      <c r="L150" s="27">
        <f t="shared" si="9"/>
        <v>8740331.492</v>
      </c>
    </row>
    <row r="151">
      <c r="A151" s="57" t="s">
        <v>12</v>
      </c>
      <c r="B151" s="57" t="s">
        <v>144</v>
      </c>
      <c r="C151" s="87">
        <v>0.226</v>
      </c>
      <c r="D151" s="167">
        <v>49338.0</v>
      </c>
      <c r="E151" s="168">
        <v>45709.0</v>
      </c>
      <c r="F151" s="168">
        <v>45713.0</v>
      </c>
      <c r="G151" s="87">
        <f t="shared" si="27"/>
        <v>0.2020079872</v>
      </c>
      <c r="H151" s="63">
        <v>110.05</v>
      </c>
      <c r="I151" s="63">
        <v>8.0E8</v>
      </c>
      <c r="J151" s="27">
        <f t="shared" si="17"/>
        <v>893885082.9</v>
      </c>
      <c r="K151" s="27">
        <f t="shared" si="18"/>
        <v>880400000</v>
      </c>
      <c r="L151" s="27">
        <f t="shared" si="9"/>
        <v>13485082.87</v>
      </c>
    </row>
    <row r="152">
      <c r="A152" s="57" t="s">
        <v>12</v>
      </c>
      <c r="B152" s="57" t="s">
        <v>201</v>
      </c>
      <c r="C152" s="87">
        <v>0.1989</v>
      </c>
      <c r="D152" s="167">
        <v>48714.0</v>
      </c>
      <c r="E152" s="168">
        <v>45713.0</v>
      </c>
      <c r="F152" s="168">
        <v>45719.0</v>
      </c>
      <c r="G152" s="87">
        <f t="shared" si="27"/>
        <v>0.1848687707</v>
      </c>
      <c r="H152" s="63">
        <v>105.70375</v>
      </c>
      <c r="I152" s="63">
        <v>5.0E8</v>
      </c>
      <c r="J152" s="15">
        <f t="shared" si="17"/>
        <v>558188915.7</v>
      </c>
      <c r="K152" s="15">
        <f t="shared" si="18"/>
        <v>528518750</v>
      </c>
      <c r="L152" s="15">
        <f t="shared" si="9"/>
        <v>29670165.75</v>
      </c>
    </row>
    <row r="153">
      <c r="A153" s="57" t="s">
        <v>12</v>
      </c>
      <c r="B153" s="57" t="s">
        <v>210</v>
      </c>
      <c r="C153" s="87">
        <v>0.185</v>
      </c>
      <c r="D153" s="167">
        <v>47900.0</v>
      </c>
      <c r="E153" s="168">
        <v>45714.0</v>
      </c>
      <c r="F153" s="168">
        <v>45719.0</v>
      </c>
      <c r="G153" s="87">
        <f t="shared" si="27"/>
        <v>0.1899909289</v>
      </c>
      <c r="H153" s="63">
        <v>98.24</v>
      </c>
      <c r="I153" s="63">
        <v>2.0E9</v>
      </c>
      <c r="J153" s="15">
        <f t="shared" si="17"/>
        <v>1975020994</v>
      </c>
      <c r="K153" s="15">
        <f t="shared" si="18"/>
        <v>1964800000</v>
      </c>
      <c r="L153" s="15">
        <f t="shared" si="9"/>
        <v>10220994.48</v>
      </c>
    </row>
    <row r="154">
      <c r="A154" s="57" t="s">
        <v>12</v>
      </c>
      <c r="B154" s="57" t="s">
        <v>210</v>
      </c>
      <c r="C154" s="87">
        <v>0.185</v>
      </c>
      <c r="D154" s="167">
        <v>47900.0</v>
      </c>
      <c r="E154" s="168">
        <v>45715.0</v>
      </c>
      <c r="F154" s="168">
        <v>45719.0</v>
      </c>
      <c r="G154" s="87">
        <f t="shared" si="27"/>
        <v>0.1838556819</v>
      </c>
      <c r="H154" s="63">
        <v>100.38375</v>
      </c>
      <c r="I154" s="63">
        <v>1.0E9</v>
      </c>
      <c r="J154" s="15">
        <f t="shared" si="17"/>
        <v>1008947997</v>
      </c>
      <c r="K154" s="15">
        <f t="shared" si="18"/>
        <v>1003837500</v>
      </c>
      <c r="L154" s="15">
        <f t="shared" si="9"/>
        <v>5110497.238</v>
      </c>
    </row>
    <row r="155">
      <c r="A155" s="57" t="s">
        <v>12</v>
      </c>
      <c r="B155" s="57" t="s">
        <v>144</v>
      </c>
      <c r="C155" s="87">
        <v>0.226</v>
      </c>
      <c r="D155" s="167">
        <v>49338.0</v>
      </c>
      <c r="E155" s="168">
        <v>45716.0</v>
      </c>
      <c r="F155" s="168">
        <v>45720.0</v>
      </c>
      <c r="G155" s="87">
        <f t="shared" si="27"/>
        <v>0.1838941501</v>
      </c>
      <c r="H155" s="63">
        <v>118.81375</v>
      </c>
      <c r="I155" s="63">
        <v>5.0E8</v>
      </c>
      <c r="J155" s="15">
        <f t="shared" si="17"/>
        <v>604682009.7</v>
      </c>
      <c r="K155" s="15">
        <f t="shared" si="18"/>
        <v>594068750</v>
      </c>
      <c r="L155" s="15">
        <f t="shared" si="9"/>
        <v>10613259.67</v>
      </c>
    </row>
    <row r="156">
      <c r="A156" s="57" t="s">
        <v>14</v>
      </c>
      <c r="B156" s="57" t="s">
        <v>205</v>
      </c>
      <c r="C156" s="87">
        <v>0.0</v>
      </c>
      <c r="D156" s="167">
        <v>45834.0</v>
      </c>
      <c r="E156" s="168">
        <v>45719.0</v>
      </c>
      <c r="F156" s="168">
        <v>45720.0</v>
      </c>
      <c r="G156" s="87">
        <v>0.181</v>
      </c>
      <c r="H156" s="63">
        <f t="shared" ref="H156:H159" si="28">PRICEDISC(F156,D156,G156,100,1)</f>
        <v>94.34684932</v>
      </c>
      <c r="I156" s="63">
        <v>3.0E8</v>
      </c>
      <c r="J156" s="15">
        <f t="shared" si="17"/>
        <v>283040547.9</v>
      </c>
      <c r="K156" s="15">
        <f t="shared" si="18"/>
        <v>283040547.9</v>
      </c>
      <c r="L156" s="15" t="str">
        <f t="shared" si="9"/>
        <v/>
      </c>
    </row>
    <row r="157">
      <c r="A157" s="57" t="s">
        <v>14</v>
      </c>
      <c r="B157" s="57" t="s">
        <v>199</v>
      </c>
      <c r="C157" s="87">
        <v>0.0</v>
      </c>
      <c r="D157" s="167">
        <v>45848.0</v>
      </c>
      <c r="E157" s="168">
        <v>45719.0</v>
      </c>
      <c r="F157" s="168">
        <v>45720.0</v>
      </c>
      <c r="G157" s="87">
        <v>0.18</v>
      </c>
      <c r="H157" s="63">
        <f t="shared" si="28"/>
        <v>93.68767123</v>
      </c>
      <c r="I157" s="63">
        <v>8.0E8</v>
      </c>
      <c r="J157" s="15">
        <f t="shared" si="17"/>
        <v>749501369.9</v>
      </c>
      <c r="K157" s="15">
        <f t="shared" si="18"/>
        <v>749501369.9</v>
      </c>
      <c r="L157" s="15" t="str">
        <f t="shared" si="9"/>
        <v/>
      </c>
    </row>
    <row r="158">
      <c r="A158" s="57" t="s">
        <v>14</v>
      </c>
      <c r="B158" s="57" t="s">
        <v>200</v>
      </c>
      <c r="C158" s="87">
        <v>0.0</v>
      </c>
      <c r="D158" s="167">
        <v>45799.0</v>
      </c>
      <c r="E158" s="168">
        <v>45719.0</v>
      </c>
      <c r="F158" s="168">
        <v>45720.0</v>
      </c>
      <c r="G158" s="87">
        <v>0.1685</v>
      </c>
      <c r="H158" s="63">
        <f t="shared" si="28"/>
        <v>96.3530137</v>
      </c>
      <c r="I158" s="63">
        <v>5.497E8</v>
      </c>
      <c r="J158" s="15">
        <f t="shared" si="17"/>
        <v>529652516.3</v>
      </c>
      <c r="K158" s="15">
        <f t="shared" si="18"/>
        <v>529652516.3</v>
      </c>
      <c r="L158" s="15" t="str">
        <f t="shared" si="9"/>
        <v/>
      </c>
    </row>
    <row r="159">
      <c r="A159" s="57" t="s">
        <v>14</v>
      </c>
      <c r="B159" s="57" t="s">
        <v>198</v>
      </c>
      <c r="C159" s="87">
        <v>0.0</v>
      </c>
      <c r="D159" s="167">
        <v>45813.0</v>
      </c>
      <c r="E159" s="168">
        <v>45719.0</v>
      </c>
      <c r="F159" s="168">
        <v>45720.0</v>
      </c>
      <c r="G159" s="87">
        <v>0.182</v>
      </c>
      <c r="H159" s="63">
        <f t="shared" si="28"/>
        <v>95.36273973</v>
      </c>
      <c r="I159" s="63">
        <v>1.25E9</v>
      </c>
      <c r="J159" s="15">
        <f t="shared" si="17"/>
        <v>1192034247</v>
      </c>
      <c r="K159" s="15">
        <f t="shared" si="18"/>
        <v>1192034247</v>
      </c>
      <c r="L159" s="15" t="str">
        <f t="shared" si="9"/>
        <v/>
      </c>
    </row>
    <row r="160">
      <c r="A160" s="57" t="s">
        <v>12</v>
      </c>
      <c r="B160" s="57" t="s">
        <v>171</v>
      </c>
      <c r="C160" s="87">
        <v>0.162499</v>
      </c>
      <c r="D160" s="167">
        <v>50148.0</v>
      </c>
      <c r="E160" s="168">
        <v>45719.0</v>
      </c>
      <c r="F160" s="168">
        <v>45722.0</v>
      </c>
      <c r="G160" s="87">
        <f t="shared" ref="G160:G205" si="29">IFERROR(YIELD(F160,D160,C160,H160,100,2,1),"")</f>
        <v>0.1823706486</v>
      </c>
      <c r="H160" s="63">
        <v>90.35375</v>
      </c>
      <c r="I160" s="63">
        <v>1.0E9</v>
      </c>
      <c r="J160" s="15">
        <f t="shared" si="17"/>
        <v>965590689.6</v>
      </c>
      <c r="K160" s="15">
        <f t="shared" si="18"/>
        <v>903537500</v>
      </c>
      <c r="L160" s="15">
        <f t="shared" si="9"/>
        <v>62053189.56</v>
      </c>
    </row>
    <row r="161">
      <c r="A161" s="57" t="s">
        <v>12</v>
      </c>
      <c r="B161" s="57" t="s">
        <v>201</v>
      </c>
      <c r="C161" s="87">
        <v>0.1989</v>
      </c>
      <c r="D161" s="167">
        <v>48714.0</v>
      </c>
      <c r="E161" s="168">
        <v>45719.0</v>
      </c>
      <c r="F161" s="168">
        <v>45722.0</v>
      </c>
      <c r="G161" s="87">
        <f t="shared" si="29"/>
        <v>0.1855003895</v>
      </c>
      <c r="H161" s="63">
        <v>105.43</v>
      </c>
      <c r="I161" s="63">
        <v>1.0E9</v>
      </c>
      <c r="J161" s="15">
        <f t="shared" si="17"/>
        <v>1115288674</v>
      </c>
      <c r="K161" s="15">
        <f t="shared" si="18"/>
        <v>1054300000</v>
      </c>
      <c r="L161" s="15">
        <f t="shared" si="9"/>
        <v>60988674.03</v>
      </c>
    </row>
    <row r="162">
      <c r="A162" s="57" t="s">
        <v>12</v>
      </c>
      <c r="B162" s="57" t="s">
        <v>201</v>
      </c>
      <c r="C162" s="87">
        <v>0.1989</v>
      </c>
      <c r="D162" s="167">
        <v>48714.0</v>
      </c>
      <c r="E162" s="168">
        <v>45726.0</v>
      </c>
      <c r="F162" s="168">
        <v>45728.0</v>
      </c>
      <c r="G162" s="87">
        <f t="shared" si="29"/>
        <v>0.1875081008</v>
      </c>
      <c r="H162" s="63">
        <v>104.57</v>
      </c>
      <c r="I162" s="63">
        <v>1.2E9</v>
      </c>
      <c r="J162" s="15">
        <f t="shared" si="17"/>
        <v>1331982431</v>
      </c>
      <c r="K162" s="15">
        <f t="shared" si="18"/>
        <v>1254840000</v>
      </c>
      <c r="L162" s="15">
        <f t="shared" si="9"/>
        <v>77142430.94</v>
      </c>
    </row>
    <row r="163">
      <c r="A163" s="57" t="s">
        <v>12</v>
      </c>
      <c r="B163" s="57" t="s">
        <v>201</v>
      </c>
      <c r="C163" s="87">
        <v>0.1989</v>
      </c>
      <c r="D163" s="167">
        <v>48714.0</v>
      </c>
      <c r="E163" s="168">
        <v>45736.0</v>
      </c>
      <c r="F163" s="168">
        <v>45741.0</v>
      </c>
      <c r="G163" s="181">
        <f t="shared" si="29"/>
        <v>0.1990110626</v>
      </c>
      <c r="H163" s="63">
        <v>99.86</v>
      </c>
      <c r="I163" s="63">
        <v>2.0E9</v>
      </c>
      <c r="J163" s="15">
        <f t="shared" si="17"/>
        <v>2140056354</v>
      </c>
      <c r="K163" s="15">
        <f t="shared" si="18"/>
        <v>1997200000</v>
      </c>
      <c r="L163" s="15">
        <f t="shared" si="9"/>
        <v>142856353.6</v>
      </c>
    </row>
    <row r="164">
      <c r="A164" s="57" t="s">
        <v>12</v>
      </c>
      <c r="B164" s="57" t="s">
        <v>201</v>
      </c>
      <c r="C164" s="87">
        <v>0.1989</v>
      </c>
      <c r="D164" s="167">
        <v>48714.0</v>
      </c>
      <c r="E164" s="168">
        <v>45736.0</v>
      </c>
      <c r="F164" s="168">
        <v>45740.0</v>
      </c>
      <c r="G164" s="62">
        <f t="shared" si="29"/>
        <v>0.1994891578</v>
      </c>
      <c r="H164" s="63">
        <v>99.67</v>
      </c>
      <c r="I164" s="63">
        <v>1.0E9</v>
      </c>
      <c r="J164" s="15">
        <f t="shared" si="17"/>
        <v>1067578729</v>
      </c>
      <c r="K164" s="15">
        <f t="shared" si="18"/>
        <v>996700000</v>
      </c>
      <c r="L164" s="15">
        <f t="shared" si="9"/>
        <v>70878729.28</v>
      </c>
    </row>
    <row r="165">
      <c r="A165" s="57" t="s">
        <v>12</v>
      </c>
      <c r="B165" s="57" t="s">
        <v>201</v>
      </c>
      <c r="C165" s="87">
        <v>0.1989</v>
      </c>
      <c r="D165" s="167">
        <v>48714.0</v>
      </c>
      <c r="E165" s="122">
        <v>45751.0</v>
      </c>
      <c r="F165" s="122">
        <v>45754.0</v>
      </c>
      <c r="G165" s="62">
        <f t="shared" si="29"/>
        <v>0.1973562645</v>
      </c>
      <c r="H165" s="63">
        <v>100.53375</v>
      </c>
      <c r="I165" s="63">
        <v>8.0E8</v>
      </c>
      <c r="J165" s="15">
        <f t="shared" si="17"/>
        <v>867126795.6</v>
      </c>
      <c r="K165" s="15">
        <f t="shared" si="18"/>
        <v>804270000</v>
      </c>
      <c r="L165" s="15">
        <f t="shared" si="9"/>
        <v>62856795.58</v>
      </c>
    </row>
    <row r="166">
      <c r="A166" s="57" t="s">
        <v>12</v>
      </c>
      <c r="B166" s="1" t="s">
        <v>208</v>
      </c>
      <c r="C166" s="62">
        <v>0.185</v>
      </c>
      <c r="D166" s="52">
        <v>47900.0</v>
      </c>
      <c r="E166" s="122">
        <v>45751.0</v>
      </c>
      <c r="F166" s="122">
        <v>45755.0</v>
      </c>
      <c r="G166" s="62">
        <f t="shared" si="29"/>
        <v>0.1962055936</v>
      </c>
      <c r="H166" s="63">
        <v>96.11</v>
      </c>
      <c r="I166" s="63">
        <v>7.0E8</v>
      </c>
      <c r="J166" s="15">
        <f t="shared" si="17"/>
        <v>689225801.1</v>
      </c>
      <c r="K166" s="15">
        <f t="shared" si="18"/>
        <v>672770000</v>
      </c>
      <c r="L166" s="15">
        <f t="shared" si="9"/>
        <v>16455801.1</v>
      </c>
    </row>
    <row r="167">
      <c r="A167" s="57" t="s">
        <v>14</v>
      </c>
      <c r="B167" s="57" t="s">
        <v>144</v>
      </c>
      <c r="C167" s="62">
        <v>0.226</v>
      </c>
      <c r="D167" s="167">
        <v>49338.0</v>
      </c>
      <c r="E167" s="122">
        <v>45783.0</v>
      </c>
      <c r="F167" s="122">
        <v>45785.0</v>
      </c>
      <c r="G167" s="62">
        <f t="shared" si="29"/>
        <v>0.1964073042</v>
      </c>
      <c r="H167" s="63">
        <v>112.5</v>
      </c>
      <c r="I167" s="63">
        <v>1.0E9</v>
      </c>
      <c r="J167" s="15">
        <f t="shared" si="17"/>
        <v>1186806630</v>
      </c>
      <c r="K167" s="15">
        <f t="shared" si="18"/>
        <v>1125000000</v>
      </c>
      <c r="L167" s="15">
        <f t="shared" si="9"/>
        <v>61806629.83</v>
      </c>
    </row>
    <row r="168">
      <c r="A168" s="57" t="s">
        <v>14</v>
      </c>
      <c r="B168" s="57" t="s">
        <v>144</v>
      </c>
      <c r="C168" s="62">
        <v>0.226</v>
      </c>
      <c r="D168" s="167">
        <v>49338.0</v>
      </c>
      <c r="E168" s="122">
        <v>45783.0</v>
      </c>
      <c r="F168" s="122">
        <v>45785.0</v>
      </c>
      <c r="G168" s="62">
        <f t="shared" si="29"/>
        <v>0.1964923952</v>
      </c>
      <c r="H168" s="63">
        <v>112.46</v>
      </c>
      <c r="I168" s="63">
        <v>5.0E8</v>
      </c>
      <c r="J168" s="15">
        <f t="shared" si="17"/>
        <v>593203314.9</v>
      </c>
      <c r="K168" s="15">
        <f t="shared" si="18"/>
        <v>562300000</v>
      </c>
      <c r="L168" s="15">
        <f t="shared" si="9"/>
        <v>30903314.92</v>
      </c>
    </row>
    <row r="169">
      <c r="A169" s="57" t="s">
        <v>14</v>
      </c>
      <c r="B169" s="57" t="s">
        <v>144</v>
      </c>
      <c r="C169" s="62">
        <v>0.226</v>
      </c>
      <c r="D169" s="167">
        <v>49338.0</v>
      </c>
      <c r="E169" s="122">
        <v>45783.0</v>
      </c>
      <c r="F169" s="122">
        <v>45785.0</v>
      </c>
      <c r="G169" s="62">
        <f t="shared" si="29"/>
        <v>0.1968199122</v>
      </c>
      <c r="H169" s="63">
        <v>112.30625</v>
      </c>
      <c r="I169" s="63">
        <v>1.5E9</v>
      </c>
      <c r="J169" s="15">
        <f t="shared" si="17"/>
        <v>1777303695</v>
      </c>
      <c r="K169" s="15">
        <f t="shared" si="18"/>
        <v>1684593750</v>
      </c>
      <c r="L169" s="15">
        <f t="shared" si="9"/>
        <v>92709944.75</v>
      </c>
    </row>
    <row r="170">
      <c r="A170" s="57" t="s">
        <v>14</v>
      </c>
      <c r="B170" s="57" t="s">
        <v>208</v>
      </c>
      <c r="C170" s="87">
        <v>0.185</v>
      </c>
      <c r="D170" s="167">
        <v>47900.0</v>
      </c>
      <c r="E170" s="168">
        <v>45796.0</v>
      </c>
      <c r="F170" s="168">
        <v>45797.0</v>
      </c>
      <c r="G170" s="87">
        <f t="shared" si="29"/>
        <v>0.2008619437</v>
      </c>
      <c r="H170" s="63">
        <v>94.61625</v>
      </c>
      <c r="I170" s="63">
        <v>1.0E9</v>
      </c>
      <c r="J170" s="27">
        <f t="shared" si="17"/>
        <v>991134875.7</v>
      </c>
      <c r="K170" s="27">
        <f t="shared" si="18"/>
        <v>946162500</v>
      </c>
      <c r="L170" s="27">
        <f t="shared" si="9"/>
        <v>44972375.69</v>
      </c>
    </row>
    <row r="171">
      <c r="A171" s="57" t="s">
        <v>14</v>
      </c>
      <c r="B171" s="57" t="s">
        <v>208</v>
      </c>
      <c r="C171" s="87">
        <v>0.185</v>
      </c>
      <c r="D171" s="167">
        <v>47900.0</v>
      </c>
      <c r="E171" s="168">
        <v>45796.0</v>
      </c>
      <c r="F171" s="168">
        <v>45797.0</v>
      </c>
      <c r="G171" s="87">
        <f t="shared" si="29"/>
        <v>0.2008619437</v>
      </c>
      <c r="H171" s="63">
        <v>94.61625</v>
      </c>
      <c r="I171" s="63">
        <v>1.0E9</v>
      </c>
      <c r="J171" s="27">
        <f t="shared" si="17"/>
        <v>991134875.7</v>
      </c>
      <c r="K171" s="27">
        <f t="shared" si="18"/>
        <v>946162500</v>
      </c>
      <c r="L171" s="27">
        <f t="shared" si="9"/>
        <v>44972375.69</v>
      </c>
    </row>
    <row r="172">
      <c r="A172" s="57" t="s">
        <v>14</v>
      </c>
      <c r="B172" s="57" t="s">
        <v>208</v>
      </c>
      <c r="C172" s="87">
        <v>0.185</v>
      </c>
      <c r="D172" s="167">
        <v>47900.0</v>
      </c>
      <c r="E172" s="168">
        <v>45796.0</v>
      </c>
      <c r="F172" s="168">
        <v>45797.0</v>
      </c>
      <c r="G172" s="87">
        <f t="shared" si="29"/>
        <v>0.2011742443</v>
      </c>
      <c r="H172" s="63">
        <v>94.51625</v>
      </c>
      <c r="I172" s="63">
        <v>1.0E9</v>
      </c>
      <c r="J172" s="27">
        <f t="shared" si="17"/>
        <v>990134875.7</v>
      </c>
      <c r="K172" s="27">
        <f t="shared" si="18"/>
        <v>945162500</v>
      </c>
      <c r="L172" s="27">
        <f t="shared" si="9"/>
        <v>44972375.69</v>
      </c>
    </row>
    <row r="173">
      <c r="A173" s="57" t="s">
        <v>14</v>
      </c>
      <c r="B173" s="57" t="s">
        <v>171</v>
      </c>
      <c r="C173" s="87">
        <v>0.162499</v>
      </c>
      <c r="D173" s="167">
        <v>50148.0</v>
      </c>
      <c r="E173" s="168">
        <v>45796.0</v>
      </c>
      <c r="F173" s="168">
        <v>45797.0</v>
      </c>
      <c r="G173" s="87">
        <f t="shared" si="29"/>
        <v>0.1961253587</v>
      </c>
      <c r="H173" s="63">
        <v>84.64625</v>
      </c>
      <c r="I173" s="63">
        <v>1.0E9</v>
      </c>
      <c r="J173" s="27">
        <f t="shared" si="17"/>
        <v>860670062.8</v>
      </c>
      <c r="K173" s="27">
        <f t="shared" si="18"/>
        <v>846462500</v>
      </c>
      <c r="L173" s="27">
        <f t="shared" si="9"/>
        <v>14207562.84</v>
      </c>
    </row>
    <row r="174">
      <c r="A174" s="57" t="s">
        <v>14</v>
      </c>
      <c r="B174" s="57" t="s">
        <v>208</v>
      </c>
      <c r="C174" s="87">
        <v>0.185</v>
      </c>
      <c r="D174" s="167">
        <v>47900.0</v>
      </c>
      <c r="E174" s="122">
        <v>45797.0</v>
      </c>
      <c r="F174" s="122">
        <v>45798.0</v>
      </c>
      <c r="G174" s="62">
        <f t="shared" si="29"/>
        <v>0.2006788389</v>
      </c>
      <c r="H174" s="63">
        <v>94.67625</v>
      </c>
      <c r="I174" s="63">
        <v>8.0E8</v>
      </c>
      <c r="J174" s="15">
        <f t="shared" si="17"/>
        <v>793796740.3</v>
      </c>
      <c r="K174" s="15">
        <f t="shared" si="18"/>
        <v>757410000</v>
      </c>
      <c r="L174" s="15">
        <f t="shared" si="9"/>
        <v>36386740.33</v>
      </c>
    </row>
    <row r="175">
      <c r="A175" s="57" t="s">
        <v>14</v>
      </c>
      <c r="B175" s="57" t="s">
        <v>208</v>
      </c>
      <c r="C175" s="87">
        <v>0.185</v>
      </c>
      <c r="D175" s="167">
        <v>47900.0</v>
      </c>
      <c r="E175" s="122">
        <v>45797.0</v>
      </c>
      <c r="F175" s="122">
        <v>45798.0</v>
      </c>
      <c r="G175" s="62">
        <f t="shared" si="29"/>
        <v>0.200180439</v>
      </c>
      <c r="H175" s="63">
        <v>94.83625</v>
      </c>
      <c r="I175" s="63">
        <v>1.0E9</v>
      </c>
      <c r="J175" s="15">
        <f t="shared" si="17"/>
        <v>993845925.4</v>
      </c>
      <c r="K175" s="15">
        <f t="shared" si="18"/>
        <v>948362500</v>
      </c>
      <c r="L175" s="15">
        <f t="shared" si="9"/>
        <v>45483425.41</v>
      </c>
    </row>
    <row r="176">
      <c r="A176" s="57" t="s">
        <v>14</v>
      </c>
      <c r="B176" s="57" t="s">
        <v>208</v>
      </c>
      <c r="C176" s="87">
        <v>0.185</v>
      </c>
      <c r="D176" s="167">
        <v>47900.0</v>
      </c>
      <c r="E176" s="122">
        <v>45797.0</v>
      </c>
      <c r="F176" s="122">
        <v>45798.0</v>
      </c>
      <c r="G176" s="62">
        <f t="shared" si="29"/>
        <v>0.200180439</v>
      </c>
      <c r="H176" s="63">
        <v>94.83625</v>
      </c>
      <c r="I176" s="63">
        <v>1.0E9</v>
      </c>
      <c r="J176" s="15">
        <f t="shared" si="17"/>
        <v>993845925.4</v>
      </c>
      <c r="K176" s="15">
        <f t="shared" si="18"/>
        <v>948362500</v>
      </c>
      <c r="L176" s="15">
        <f t="shared" si="9"/>
        <v>45483425.41</v>
      </c>
    </row>
    <row r="177">
      <c r="A177" s="57" t="s">
        <v>14</v>
      </c>
      <c r="B177" s="57" t="s">
        <v>208</v>
      </c>
      <c r="C177" s="87">
        <v>0.185</v>
      </c>
      <c r="D177" s="167">
        <v>47900.0</v>
      </c>
      <c r="E177" s="122">
        <v>45797.0</v>
      </c>
      <c r="F177" s="122">
        <v>45798.0</v>
      </c>
      <c r="G177" s="62">
        <f t="shared" si="29"/>
        <v>0.200180439</v>
      </c>
      <c r="H177" s="63">
        <v>94.83625</v>
      </c>
      <c r="I177" s="63">
        <v>1.0E9</v>
      </c>
      <c r="J177" s="15">
        <f t="shared" si="17"/>
        <v>993845925.4</v>
      </c>
      <c r="K177" s="15">
        <f t="shared" si="18"/>
        <v>948362500</v>
      </c>
      <c r="L177" s="15">
        <f t="shared" si="9"/>
        <v>45483425.41</v>
      </c>
    </row>
    <row r="178">
      <c r="A178" s="57" t="s">
        <v>14</v>
      </c>
      <c r="B178" s="1" t="s">
        <v>201</v>
      </c>
      <c r="C178" s="62">
        <v>0.1989</v>
      </c>
      <c r="D178" s="52">
        <v>48714.0</v>
      </c>
      <c r="E178" s="122">
        <v>45832.0</v>
      </c>
      <c r="F178" s="122">
        <v>45834.0</v>
      </c>
      <c r="G178" s="62">
        <f t="shared" si="29"/>
        <v>0.1837367497</v>
      </c>
      <c r="H178" s="63">
        <v>106.11293363</v>
      </c>
      <c r="I178" s="63">
        <v>1.0E9</v>
      </c>
      <c r="J178" s="15">
        <v>1.08386304348E9</v>
      </c>
      <c r="K178" s="15">
        <f t="shared" si="18"/>
        <v>1061129336</v>
      </c>
      <c r="L178" s="15">
        <f t="shared" si="9"/>
        <v>22700543.48</v>
      </c>
    </row>
    <row r="179">
      <c r="A179" s="1" t="s">
        <v>14</v>
      </c>
      <c r="B179" s="1" t="s">
        <v>201</v>
      </c>
      <c r="C179" s="62">
        <v>0.1989</v>
      </c>
      <c r="D179" s="52">
        <v>48714.0</v>
      </c>
      <c r="E179" s="122">
        <v>45832.0</v>
      </c>
      <c r="F179" s="122">
        <v>45834.0</v>
      </c>
      <c r="G179" s="62">
        <f t="shared" si="29"/>
        <v>0.1836968197</v>
      </c>
      <c r="H179" s="63">
        <v>106.13</v>
      </c>
      <c r="I179" s="63">
        <v>2.5E8</v>
      </c>
      <c r="J179" s="15">
        <f t="shared" ref="J179:J180" si="30">IFERROR((I179*H179/100)+ACCRINT(COUPPCD(F179,D179,2,1),COUPNCD(F179,D179,2,1),F179,C179,I179,2,1),I179*H179/100)</f>
        <v>271000135.9</v>
      </c>
      <c r="K179" s="15">
        <f t="shared" si="18"/>
        <v>265325000</v>
      </c>
      <c r="L179" s="15">
        <f t="shared" si="9"/>
        <v>5675135.87</v>
      </c>
    </row>
    <row r="180">
      <c r="A180" s="1" t="s">
        <v>14</v>
      </c>
      <c r="B180" s="1" t="s">
        <v>201</v>
      </c>
      <c r="C180" s="62">
        <v>0.1989</v>
      </c>
      <c r="D180" s="52">
        <v>48714.0</v>
      </c>
      <c r="E180" s="122">
        <v>45833.0</v>
      </c>
      <c r="F180" s="122">
        <v>45835.0</v>
      </c>
      <c r="G180" s="62">
        <f t="shared" si="29"/>
        <v>0.1835044415</v>
      </c>
      <c r="H180" s="63">
        <v>106.21</v>
      </c>
      <c r="I180" s="63">
        <v>5.0E8</v>
      </c>
      <c r="J180" s="15">
        <f t="shared" si="30"/>
        <v>542670516.3</v>
      </c>
      <c r="K180" s="15">
        <f t="shared" si="18"/>
        <v>531050000</v>
      </c>
      <c r="L180" s="15">
        <f t="shared" si="9"/>
        <v>11620516.3</v>
      </c>
    </row>
    <row r="181">
      <c r="A181" s="1" t="s">
        <v>14</v>
      </c>
      <c r="B181" s="1" t="s">
        <v>201</v>
      </c>
      <c r="C181" s="62">
        <v>0.1989</v>
      </c>
      <c r="D181" s="52">
        <v>48714.0</v>
      </c>
      <c r="E181" s="122">
        <v>45833.0</v>
      </c>
      <c r="F181" s="122">
        <v>45834.0</v>
      </c>
      <c r="G181" s="62">
        <f t="shared" si="29"/>
        <v>0.1835263983</v>
      </c>
      <c r="H181" s="63">
        <v>106.20288525</v>
      </c>
      <c r="I181" s="63">
        <v>5.0E8</v>
      </c>
      <c r="J181" s="15">
        <v>5.4238152774E8</v>
      </c>
      <c r="K181" s="15">
        <f t="shared" si="18"/>
        <v>531014426.3</v>
      </c>
      <c r="L181" s="15">
        <f t="shared" si="9"/>
        <v>11350271.74</v>
      </c>
    </row>
    <row r="182">
      <c r="A182" s="57" t="s">
        <v>14</v>
      </c>
      <c r="B182" s="1" t="s">
        <v>201</v>
      </c>
      <c r="C182" s="62">
        <v>0.1989</v>
      </c>
      <c r="D182" s="52">
        <v>48714.0</v>
      </c>
      <c r="E182" s="122">
        <v>45834.0</v>
      </c>
      <c r="F182" s="122">
        <v>45838.0</v>
      </c>
      <c r="G182" s="62">
        <f t="shared" si="29"/>
        <v>0.1861369643</v>
      </c>
      <c r="H182" s="63">
        <v>105.08625</v>
      </c>
      <c r="I182" s="63">
        <v>1.0E9</v>
      </c>
      <c r="J182" s="15">
        <f t="shared" ref="J182:J270" si="31">IFERROR((I182*H182/100)+ACCRINT(COUPPCD(F182,D182,2,1),COUPNCD(F182,D182,2,1),F182,C182,I182,2,1),I182*H182/100)</f>
        <v>1075725000</v>
      </c>
      <c r="K182" s="15">
        <f t="shared" si="18"/>
        <v>1050862500</v>
      </c>
      <c r="L182" s="15">
        <f t="shared" si="9"/>
        <v>24862500</v>
      </c>
    </row>
    <row r="183">
      <c r="A183" s="1" t="s">
        <v>12</v>
      </c>
      <c r="B183" s="1" t="s">
        <v>195</v>
      </c>
      <c r="C183" s="62">
        <v>0.19</v>
      </c>
      <c r="D183" s="52">
        <v>48996.0</v>
      </c>
      <c r="E183" s="122">
        <v>45856.0</v>
      </c>
      <c r="F183" s="122">
        <v>45860.0</v>
      </c>
      <c r="G183" s="62">
        <f t="shared" si="29"/>
        <v>0.160898172</v>
      </c>
      <c r="H183" s="63">
        <v>113.24375</v>
      </c>
      <c r="I183" s="63">
        <v>7.0E8</v>
      </c>
      <c r="J183" s="15">
        <f t="shared" si="31"/>
        <v>848184150.6</v>
      </c>
      <c r="K183" s="15">
        <f t="shared" si="18"/>
        <v>792706250</v>
      </c>
      <c r="L183" s="15">
        <f t="shared" si="9"/>
        <v>55477900.55</v>
      </c>
    </row>
    <row r="184">
      <c r="A184" s="1" t="s">
        <v>12</v>
      </c>
      <c r="B184" s="1" t="s">
        <v>201</v>
      </c>
      <c r="C184" s="62">
        <v>0.1989</v>
      </c>
      <c r="D184" s="52">
        <v>48714.0</v>
      </c>
      <c r="E184" s="122">
        <v>45856.0</v>
      </c>
      <c r="F184" s="122">
        <v>45860.0</v>
      </c>
      <c r="G184" s="62">
        <f t="shared" si="29"/>
        <v>0.161005119</v>
      </c>
      <c r="H184" s="63">
        <v>116.43</v>
      </c>
      <c r="I184" s="63">
        <v>2.0E9</v>
      </c>
      <c r="J184" s="15">
        <f t="shared" si="31"/>
        <v>2402106522</v>
      </c>
      <c r="K184" s="15">
        <f t="shared" si="18"/>
        <v>2328600000</v>
      </c>
      <c r="L184" s="15">
        <f t="shared" si="9"/>
        <v>73506521.74</v>
      </c>
    </row>
    <row r="185">
      <c r="A185" s="1" t="s">
        <v>12</v>
      </c>
      <c r="B185" s="1" t="s">
        <v>201</v>
      </c>
      <c r="C185" s="62">
        <v>0.1989</v>
      </c>
      <c r="D185" s="52">
        <v>48714.0</v>
      </c>
      <c r="E185" s="122">
        <v>45860.0</v>
      </c>
      <c r="F185" s="122">
        <v>45862.0</v>
      </c>
      <c r="G185" s="62">
        <f t="shared" si="29"/>
        <v>0.1588867807</v>
      </c>
      <c r="H185" s="63">
        <v>117.46375</v>
      </c>
      <c r="I185" s="63">
        <v>5.0E8</v>
      </c>
      <c r="J185" s="15">
        <f t="shared" si="31"/>
        <v>606235869.6</v>
      </c>
      <c r="K185" s="15">
        <f t="shared" si="18"/>
        <v>587318750</v>
      </c>
      <c r="L185" s="15">
        <f t="shared" si="9"/>
        <v>18917119.57</v>
      </c>
    </row>
    <row r="186">
      <c r="A186" s="1" t="s">
        <v>12</v>
      </c>
      <c r="B186" s="1" t="s">
        <v>195</v>
      </c>
      <c r="C186" s="62">
        <v>0.19</v>
      </c>
      <c r="D186" s="52">
        <v>48996.0</v>
      </c>
      <c r="E186" s="122">
        <v>45859.0</v>
      </c>
      <c r="F186" s="122">
        <v>45861.0</v>
      </c>
      <c r="G186" s="62">
        <f t="shared" si="29"/>
        <v>0.1584913296</v>
      </c>
      <c r="H186" s="63">
        <v>114.46</v>
      </c>
      <c r="I186" s="63">
        <v>1.5E9</v>
      </c>
      <c r="J186" s="15">
        <f t="shared" si="31"/>
        <v>1836568508</v>
      </c>
      <c r="K186" s="15">
        <f t="shared" si="18"/>
        <v>1716900000</v>
      </c>
      <c r="L186" s="15">
        <f t="shared" si="9"/>
        <v>119668508.3</v>
      </c>
    </row>
    <row r="187">
      <c r="A187" s="1" t="s">
        <v>12</v>
      </c>
      <c r="B187" s="1" t="s">
        <v>201</v>
      </c>
      <c r="C187" s="62">
        <v>0.1989</v>
      </c>
      <c r="D187" s="52">
        <v>48714.0</v>
      </c>
      <c r="E187" s="122">
        <v>45860.0</v>
      </c>
      <c r="F187" s="122">
        <v>45863.0</v>
      </c>
      <c r="G187" s="62">
        <f t="shared" si="29"/>
        <v>0.1588793687</v>
      </c>
      <c r="H187" s="63">
        <v>117.46375</v>
      </c>
      <c r="I187" s="63">
        <v>1.0E9</v>
      </c>
      <c r="J187" s="15">
        <f t="shared" si="31"/>
        <v>1213012228</v>
      </c>
      <c r="K187" s="15">
        <f t="shared" si="18"/>
        <v>1174637500</v>
      </c>
      <c r="L187" s="15">
        <f t="shared" si="9"/>
        <v>38374728.26</v>
      </c>
    </row>
    <row r="188">
      <c r="A188" s="1" t="s">
        <v>12</v>
      </c>
      <c r="B188" s="1" t="s">
        <v>195</v>
      </c>
      <c r="C188" s="62">
        <v>0.19</v>
      </c>
      <c r="D188" s="52">
        <v>48996.0</v>
      </c>
      <c r="E188" s="122">
        <v>45860.0</v>
      </c>
      <c r="F188" s="122">
        <v>45862.0</v>
      </c>
      <c r="G188" s="62">
        <f t="shared" si="29"/>
        <v>0.1590007179</v>
      </c>
      <c r="H188" s="63">
        <v>114.2</v>
      </c>
      <c r="I188" s="63">
        <v>3.0E8</v>
      </c>
      <c r="J188" s="15">
        <f t="shared" si="31"/>
        <v>366691160.2</v>
      </c>
      <c r="K188" s="15">
        <f t="shared" si="18"/>
        <v>342600000</v>
      </c>
      <c r="L188" s="15">
        <f t="shared" si="9"/>
        <v>24091160.22</v>
      </c>
    </row>
    <row r="189">
      <c r="A189" s="1" t="s">
        <v>12</v>
      </c>
      <c r="B189" s="57" t="s">
        <v>208</v>
      </c>
      <c r="C189" s="87">
        <v>0.185</v>
      </c>
      <c r="D189" s="167">
        <v>47900.0</v>
      </c>
      <c r="E189" s="122">
        <v>45867.0</v>
      </c>
      <c r="F189" s="122">
        <v>45869.0</v>
      </c>
      <c r="G189" s="62">
        <f t="shared" si="29"/>
        <v>0.1603053523</v>
      </c>
      <c r="H189" s="63">
        <v>108.83</v>
      </c>
      <c r="I189" s="63">
        <v>2.0E9</v>
      </c>
      <c r="J189" s="15">
        <f t="shared" si="31"/>
        <v>2340135912</v>
      </c>
      <c r="K189" s="15">
        <f t="shared" si="18"/>
        <v>2176600000</v>
      </c>
      <c r="L189" s="15">
        <f t="shared" si="9"/>
        <v>163535911.6</v>
      </c>
    </row>
    <row r="190">
      <c r="A190" s="1" t="s">
        <v>12</v>
      </c>
      <c r="B190" s="1" t="s">
        <v>195</v>
      </c>
      <c r="C190" s="62">
        <v>0.19</v>
      </c>
      <c r="D190" s="52">
        <v>48996.0</v>
      </c>
      <c r="E190" s="122">
        <v>45867.0</v>
      </c>
      <c r="F190" s="122">
        <v>45870.0</v>
      </c>
      <c r="G190" s="62">
        <f t="shared" si="29"/>
        <v>0.1605874384</v>
      </c>
      <c r="H190" s="63">
        <v>113.39375</v>
      </c>
      <c r="I190" s="63">
        <v>1.0E9</v>
      </c>
      <c r="J190" s="15">
        <f t="shared" si="31"/>
        <v>1218440262</v>
      </c>
      <c r="K190" s="15">
        <f t="shared" si="18"/>
        <v>1133937500</v>
      </c>
      <c r="L190" s="15">
        <f t="shared" si="9"/>
        <v>84502762.43</v>
      </c>
    </row>
    <row r="191">
      <c r="A191" s="1" t="s">
        <v>12</v>
      </c>
      <c r="B191" s="1" t="s">
        <v>208</v>
      </c>
      <c r="C191" s="62">
        <v>0.185</v>
      </c>
      <c r="D191" s="52">
        <v>47900.0</v>
      </c>
      <c r="E191" s="122">
        <v>45889.0</v>
      </c>
      <c r="F191" s="122">
        <v>45891.0</v>
      </c>
      <c r="G191" s="62">
        <f t="shared" si="29"/>
        <v>0.1765094904</v>
      </c>
      <c r="H191" s="189">
        <v>102.91</v>
      </c>
      <c r="I191" s="63">
        <v>8.0E8</v>
      </c>
      <c r="J191" s="15">
        <f t="shared" si="31"/>
        <v>823682173.9</v>
      </c>
      <c r="K191" s="15">
        <f t="shared" si="18"/>
        <v>823280000</v>
      </c>
      <c r="L191" s="15">
        <f t="shared" si="9"/>
        <v>402173.913</v>
      </c>
    </row>
    <row r="192">
      <c r="A192" s="1" t="s">
        <v>12</v>
      </c>
      <c r="B192" s="1" t="s">
        <v>195</v>
      </c>
      <c r="C192" s="62">
        <v>0.19</v>
      </c>
      <c r="D192" s="52">
        <v>48996.0</v>
      </c>
      <c r="E192" s="122">
        <v>45889.0</v>
      </c>
      <c r="F192" s="122">
        <v>45894.0</v>
      </c>
      <c r="G192" s="62">
        <f t="shared" si="29"/>
        <v>0.1715787965</v>
      </c>
      <c r="H192" s="63">
        <v>108.07375</v>
      </c>
      <c r="I192" s="63">
        <v>7.0E8</v>
      </c>
      <c r="J192" s="15">
        <f t="shared" si="31"/>
        <v>757961902.2</v>
      </c>
      <c r="K192" s="15">
        <f t="shared" si="18"/>
        <v>756516250</v>
      </c>
      <c r="L192" s="15">
        <f t="shared" si="9"/>
        <v>1445652.174</v>
      </c>
    </row>
    <row r="193">
      <c r="A193" s="113" t="s">
        <v>12</v>
      </c>
      <c r="B193" s="113" t="s">
        <v>214</v>
      </c>
      <c r="C193" s="114">
        <v>0.1795</v>
      </c>
      <c r="D193" s="192">
        <v>48390.0</v>
      </c>
      <c r="E193" s="193">
        <v>45918.0</v>
      </c>
      <c r="F193" s="193">
        <v>45922.0</v>
      </c>
      <c r="G193" s="114">
        <f t="shared" si="29"/>
        <v>0.1613015724</v>
      </c>
      <c r="H193" s="116">
        <v>107.24</v>
      </c>
      <c r="I193" s="116">
        <v>5.0E8</v>
      </c>
      <c r="J193" s="109">
        <f t="shared" si="31"/>
        <v>558024453.6</v>
      </c>
      <c r="K193" s="109">
        <f t="shared" si="18"/>
        <v>536200000</v>
      </c>
      <c r="L193" s="109">
        <f t="shared" si="9"/>
        <v>21824453.55</v>
      </c>
    </row>
    <row r="194">
      <c r="A194" s="113" t="s">
        <v>12</v>
      </c>
      <c r="B194" s="113" t="s">
        <v>210</v>
      </c>
      <c r="C194" s="114">
        <v>0.185</v>
      </c>
      <c r="D194" s="192">
        <v>47900.0</v>
      </c>
      <c r="E194" s="193">
        <v>45918.0</v>
      </c>
      <c r="F194" s="193">
        <v>45922.0</v>
      </c>
      <c r="G194" s="114">
        <f t="shared" si="29"/>
        <v>0.1615066612</v>
      </c>
      <c r="H194" s="116">
        <v>108.22</v>
      </c>
      <c r="I194" s="116">
        <v>5.0E8</v>
      </c>
      <c r="J194" s="109">
        <f t="shared" si="31"/>
        <v>549143478.3</v>
      </c>
      <c r="K194" s="109">
        <f t="shared" si="18"/>
        <v>541100000</v>
      </c>
      <c r="L194" s="109">
        <f t="shared" si="9"/>
        <v>8043478.261</v>
      </c>
    </row>
    <row r="195">
      <c r="A195" s="113" t="s">
        <v>12</v>
      </c>
      <c r="B195" s="113" t="s">
        <v>214</v>
      </c>
      <c r="C195" s="114">
        <v>0.1795</v>
      </c>
      <c r="D195" s="192">
        <v>48390.0</v>
      </c>
      <c r="E195" s="193">
        <v>45919.0</v>
      </c>
      <c r="F195" s="193">
        <v>45923.0</v>
      </c>
      <c r="G195" s="114">
        <f t="shared" si="29"/>
        <v>0.1630047824</v>
      </c>
      <c r="H195" s="116">
        <v>106.52</v>
      </c>
      <c r="I195" s="116">
        <v>1.0E9</v>
      </c>
      <c r="J195" s="109">
        <f t="shared" si="31"/>
        <v>1109339344</v>
      </c>
      <c r="K195" s="109">
        <f t="shared" si="18"/>
        <v>1065200000</v>
      </c>
      <c r="L195" s="109">
        <f t="shared" si="9"/>
        <v>44139344.26</v>
      </c>
    </row>
    <row r="196">
      <c r="A196" s="113" t="s">
        <v>12</v>
      </c>
      <c r="B196" s="113" t="s">
        <v>201</v>
      </c>
      <c r="C196" s="114">
        <v>0.1989</v>
      </c>
      <c r="D196" s="192">
        <v>48714.0</v>
      </c>
      <c r="E196" s="193">
        <v>45919.0</v>
      </c>
      <c r="F196" s="193">
        <v>45923.0</v>
      </c>
      <c r="G196" s="114">
        <f t="shared" si="29"/>
        <v>0.162007343</v>
      </c>
      <c r="H196" s="116">
        <v>115.77</v>
      </c>
      <c r="I196" s="116">
        <v>1.5E9</v>
      </c>
      <c r="J196" s="109">
        <f t="shared" si="31"/>
        <v>1842756114</v>
      </c>
      <c r="K196" s="109">
        <f t="shared" si="18"/>
        <v>1736550000</v>
      </c>
      <c r="L196" s="109">
        <f t="shared" si="9"/>
        <v>106206114.1</v>
      </c>
    </row>
    <row r="197">
      <c r="A197" s="113" t="s">
        <v>12</v>
      </c>
      <c r="B197" s="113" t="s">
        <v>201</v>
      </c>
      <c r="C197" s="114">
        <v>0.1989</v>
      </c>
      <c r="D197" s="192">
        <v>48714.0</v>
      </c>
      <c r="E197" s="193">
        <v>45918.0</v>
      </c>
      <c r="F197" s="193">
        <v>45922.0</v>
      </c>
      <c r="G197" s="114">
        <f t="shared" si="29"/>
        <v>0.1608805001</v>
      </c>
      <c r="H197" s="116">
        <v>116.31375</v>
      </c>
      <c r="I197" s="116">
        <v>6.0E8</v>
      </c>
      <c r="J197" s="109">
        <f t="shared" si="31"/>
        <v>740040652.2</v>
      </c>
      <c r="K197" s="109">
        <f t="shared" si="18"/>
        <v>697882500</v>
      </c>
      <c r="L197" s="109">
        <f t="shared" si="9"/>
        <v>42158152.17</v>
      </c>
    </row>
    <row r="198">
      <c r="A198" s="1" t="s">
        <v>12</v>
      </c>
      <c r="B198" s="1" t="s">
        <v>208</v>
      </c>
      <c r="C198" s="62">
        <v>0.185</v>
      </c>
      <c r="D198" s="52">
        <v>47900.0</v>
      </c>
      <c r="E198" s="122">
        <v>45933.0</v>
      </c>
      <c r="F198" s="122">
        <v>45938.0</v>
      </c>
      <c r="G198" s="62">
        <f t="shared" si="29"/>
        <v>0.1563460453</v>
      </c>
      <c r="H198" s="63">
        <v>110.09375</v>
      </c>
      <c r="I198" s="63">
        <v>5.0E8</v>
      </c>
      <c r="J198" s="15">
        <f t="shared" si="31"/>
        <v>562533967.4</v>
      </c>
      <c r="K198" s="15">
        <f t="shared" si="18"/>
        <v>550468750</v>
      </c>
      <c r="L198" s="15">
        <f t="shared" si="9"/>
        <v>12065217.39</v>
      </c>
    </row>
    <row r="199">
      <c r="A199" s="1" t="s">
        <v>12</v>
      </c>
      <c r="B199" s="1" t="s">
        <v>214</v>
      </c>
      <c r="C199" s="62">
        <v>0.1795</v>
      </c>
      <c r="D199" s="52">
        <v>48390.0</v>
      </c>
      <c r="E199" s="122">
        <v>45933.0</v>
      </c>
      <c r="F199" s="122">
        <v>45937.0</v>
      </c>
      <c r="G199" s="62">
        <f t="shared" si="29"/>
        <v>0.1559958043</v>
      </c>
      <c r="H199" s="63">
        <v>109.49</v>
      </c>
      <c r="I199" s="63">
        <v>1.5E9</v>
      </c>
      <c r="J199" s="15">
        <f t="shared" si="31"/>
        <v>1718858197</v>
      </c>
      <c r="K199" s="15">
        <f t="shared" si="18"/>
        <v>1642350000</v>
      </c>
      <c r="L199" s="15">
        <f t="shared" si="9"/>
        <v>76508196.72</v>
      </c>
    </row>
    <row r="200">
      <c r="A200" s="1" t="s">
        <v>12</v>
      </c>
      <c r="B200" s="1" t="s">
        <v>208</v>
      </c>
      <c r="C200" s="62">
        <v>0.185</v>
      </c>
      <c r="D200" s="52">
        <v>47900.0</v>
      </c>
      <c r="E200" s="122">
        <v>45933.0</v>
      </c>
      <c r="F200" s="122">
        <v>45938.0</v>
      </c>
      <c r="G200" s="62">
        <f t="shared" si="29"/>
        <v>0.1563460453</v>
      </c>
      <c r="H200" s="63">
        <v>110.09375</v>
      </c>
      <c r="I200" s="63">
        <v>5.0E8</v>
      </c>
      <c r="J200" s="15">
        <f t="shared" si="31"/>
        <v>562533967.4</v>
      </c>
      <c r="K200" s="15">
        <f t="shared" si="18"/>
        <v>550468750</v>
      </c>
      <c r="L200" s="15">
        <f t="shared" si="9"/>
        <v>12065217.39</v>
      </c>
    </row>
    <row r="201">
      <c r="A201" s="1" t="s">
        <v>12</v>
      </c>
      <c r="B201" s="1" t="s">
        <v>201</v>
      </c>
      <c r="C201" s="62">
        <v>0.1989</v>
      </c>
      <c r="D201" s="52">
        <v>48714.0</v>
      </c>
      <c r="E201" s="122">
        <v>45936.0</v>
      </c>
      <c r="F201" s="122">
        <v>45938.0</v>
      </c>
      <c r="G201" s="62">
        <f t="shared" si="29"/>
        <v>0.1560040138</v>
      </c>
      <c r="H201" s="63">
        <v>118.66</v>
      </c>
      <c r="I201" s="63">
        <v>3.0E8</v>
      </c>
      <c r="J201" s="15">
        <f t="shared" si="31"/>
        <v>379653423.9</v>
      </c>
      <c r="K201" s="15">
        <f t="shared" si="18"/>
        <v>355980000</v>
      </c>
      <c r="L201" s="15">
        <f t="shared" si="9"/>
        <v>23673423.91</v>
      </c>
    </row>
    <row r="202">
      <c r="A202" s="1" t="s">
        <v>12</v>
      </c>
      <c r="B202" s="1" t="s">
        <v>220</v>
      </c>
      <c r="C202" s="62">
        <v>0.13</v>
      </c>
      <c r="D202" s="52">
        <v>51887.0</v>
      </c>
      <c r="E202" s="122">
        <v>45933.0</v>
      </c>
      <c r="F202" s="122">
        <v>45938.0</v>
      </c>
      <c r="G202" s="62">
        <f t="shared" si="29"/>
        <v>0.1540000006</v>
      </c>
      <c r="H202" s="63">
        <v>85.747873</v>
      </c>
      <c r="I202" s="63">
        <v>2.5E8</v>
      </c>
      <c r="J202" s="15">
        <f t="shared" si="31"/>
        <v>221346584.7</v>
      </c>
      <c r="K202" s="15">
        <f t="shared" si="18"/>
        <v>214369682.5</v>
      </c>
      <c r="L202" s="15">
        <f t="shared" si="9"/>
        <v>6976902.174</v>
      </c>
    </row>
    <row r="203">
      <c r="A203" s="1" t="s">
        <v>14</v>
      </c>
      <c r="B203" s="1" t="s">
        <v>201</v>
      </c>
      <c r="C203" s="62">
        <v>0.1989</v>
      </c>
      <c r="D203" s="52">
        <v>48714.0</v>
      </c>
      <c r="E203" s="122">
        <v>45936.0</v>
      </c>
      <c r="F203" s="122">
        <v>45937.0</v>
      </c>
      <c r="G203" s="62">
        <f t="shared" si="29"/>
        <v>0.1601067174</v>
      </c>
      <c r="H203" s="63">
        <v>116.65625</v>
      </c>
      <c r="I203" s="63">
        <v>3.0E8</v>
      </c>
      <c r="J203" s="15">
        <f t="shared" si="31"/>
        <v>373480027.2</v>
      </c>
      <c r="K203" s="15">
        <f t="shared" si="18"/>
        <v>349968750</v>
      </c>
      <c r="L203" s="15">
        <f t="shared" si="9"/>
        <v>23511277.17</v>
      </c>
    </row>
    <row r="204">
      <c r="A204" s="1" t="s">
        <v>12</v>
      </c>
      <c r="B204" s="1" t="s">
        <v>201</v>
      </c>
      <c r="C204" s="62">
        <v>0.1989</v>
      </c>
      <c r="D204" s="52">
        <v>48714.0</v>
      </c>
      <c r="E204" s="122">
        <v>45971.0</v>
      </c>
      <c r="F204" s="122">
        <v>45973.0</v>
      </c>
      <c r="G204" s="62">
        <f t="shared" si="29"/>
        <v>0.1523869339</v>
      </c>
      <c r="H204" s="63">
        <v>120.38375</v>
      </c>
      <c r="I204" s="63">
        <v>1.5E9</v>
      </c>
      <c r="J204" s="15">
        <f t="shared" si="31"/>
        <v>1952499049</v>
      </c>
      <c r="K204" s="15">
        <f t="shared" si="18"/>
        <v>1805756250</v>
      </c>
      <c r="L204" s="15">
        <f t="shared" si="9"/>
        <v>146742798.9</v>
      </c>
    </row>
    <row r="205">
      <c r="A205" s="1" t="s">
        <v>12</v>
      </c>
      <c r="B205" s="1" t="s">
        <v>201</v>
      </c>
      <c r="C205" s="62">
        <v>0.1989</v>
      </c>
      <c r="D205" s="52">
        <v>48714.0</v>
      </c>
      <c r="E205" s="122">
        <v>45971.0</v>
      </c>
      <c r="F205" s="122">
        <v>45973.0</v>
      </c>
      <c r="G205" s="62">
        <f t="shared" si="29"/>
        <v>0.1538967289</v>
      </c>
      <c r="H205" s="63">
        <v>119.63</v>
      </c>
      <c r="I205" s="63">
        <v>1.0E9</v>
      </c>
      <c r="J205" s="15">
        <f t="shared" si="31"/>
        <v>1294128533</v>
      </c>
      <c r="K205" s="15">
        <f t="shared" si="18"/>
        <v>1196300000</v>
      </c>
      <c r="L205" s="15">
        <f t="shared" si="9"/>
        <v>97828532.61</v>
      </c>
    </row>
    <row r="206">
      <c r="A206" s="1" t="s">
        <v>12</v>
      </c>
      <c r="B206" s="57" t="s">
        <v>221</v>
      </c>
      <c r="C206" s="87"/>
      <c r="D206" s="167">
        <v>46331.0</v>
      </c>
      <c r="E206" s="168">
        <v>45972.0</v>
      </c>
      <c r="F206" s="168">
        <v>45975.0</v>
      </c>
      <c r="G206" s="87">
        <v>0.1525</v>
      </c>
      <c r="H206" s="63">
        <f t="shared" ref="H206:H208" si="32">PRICEDISC(F206,D206,G206,100,1)</f>
        <v>85.1260274</v>
      </c>
      <c r="I206" s="63">
        <v>1.0E9</v>
      </c>
      <c r="J206" s="15">
        <f t="shared" si="31"/>
        <v>851260274</v>
      </c>
      <c r="K206" s="15">
        <f t="shared" si="18"/>
        <v>851260274</v>
      </c>
      <c r="L206" s="15" t="str">
        <f t="shared" si="9"/>
        <v/>
      </c>
    </row>
    <row r="207">
      <c r="A207" s="1" t="s">
        <v>12</v>
      </c>
      <c r="B207" s="57" t="s">
        <v>221</v>
      </c>
      <c r="C207" s="87"/>
      <c r="D207" s="167">
        <v>46331.0</v>
      </c>
      <c r="E207" s="168">
        <v>45972.0</v>
      </c>
      <c r="F207" s="168">
        <v>45975.0</v>
      </c>
      <c r="G207" s="87">
        <v>0.153</v>
      </c>
      <c r="H207" s="63">
        <f t="shared" si="32"/>
        <v>85.07726027</v>
      </c>
      <c r="I207" s="63">
        <v>1.8E9</v>
      </c>
      <c r="J207" s="15">
        <f t="shared" si="31"/>
        <v>1531390685</v>
      </c>
      <c r="K207" s="15">
        <f t="shared" si="18"/>
        <v>1531390685</v>
      </c>
      <c r="L207" s="15" t="str">
        <f t="shared" si="9"/>
        <v/>
      </c>
    </row>
    <row r="208">
      <c r="A208" s="1" t="s">
        <v>12</v>
      </c>
      <c r="B208" s="57" t="s">
        <v>221</v>
      </c>
      <c r="C208" s="87"/>
      <c r="D208" s="167">
        <v>46331.0</v>
      </c>
      <c r="E208" s="168">
        <v>45972.0</v>
      </c>
      <c r="F208" s="168">
        <v>45974.0</v>
      </c>
      <c r="G208" s="87">
        <v>0.1525</v>
      </c>
      <c r="H208" s="63">
        <f t="shared" si="32"/>
        <v>85.08424658</v>
      </c>
      <c r="I208" s="63">
        <v>1.0E9</v>
      </c>
      <c r="J208" s="15">
        <f t="shared" si="31"/>
        <v>850842465.8</v>
      </c>
      <c r="K208" s="15">
        <f t="shared" si="18"/>
        <v>850842465.8</v>
      </c>
      <c r="L208" s="15" t="str">
        <f t="shared" si="9"/>
        <v/>
      </c>
    </row>
    <row r="209">
      <c r="A209" s="57" t="s">
        <v>12</v>
      </c>
      <c r="B209" s="57" t="s">
        <v>208</v>
      </c>
      <c r="C209" s="87">
        <v>0.185</v>
      </c>
      <c r="D209" s="167">
        <v>47900.0</v>
      </c>
      <c r="E209" s="168">
        <v>45992.0</v>
      </c>
      <c r="F209" s="168">
        <v>45994.0</v>
      </c>
      <c r="G209" s="87">
        <f t="shared" ref="G209:G216" si="33">IFERROR(YIELD(F209,D209,C209,H209,100,2,1),"")</f>
        <v>0.1573481855</v>
      </c>
      <c r="H209" s="111">
        <v>109.51375</v>
      </c>
      <c r="I209" s="111">
        <v>1.0E9</v>
      </c>
      <c r="J209" s="27">
        <f t="shared" si="31"/>
        <v>1147420109</v>
      </c>
      <c r="K209" s="27">
        <f t="shared" si="18"/>
        <v>1095137500</v>
      </c>
      <c r="L209" s="27">
        <f t="shared" si="9"/>
        <v>52282608.7</v>
      </c>
    </row>
    <row r="210">
      <c r="A210" s="57" t="s">
        <v>12</v>
      </c>
      <c r="B210" s="57" t="s">
        <v>223</v>
      </c>
      <c r="C210" s="87">
        <v>0.1795</v>
      </c>
      <c r="D210" s="167">
        <v>48390.0</v>
      </c>
      <c r="E210" s="168">
        <v>45992.0</v>
      </c>
      <c r="F210" s="168">
        <v>45994.0</v>
      </c>
      <c r="G210" s="87">
        <f t="shared" si="33"/>
        <v>0.1584713096</v>
      </c>
      <c r="H210" s="111">
        <v>108.35375</v>
      </c>
      <c r="I210" s="111">
        <v>1.0E9</v>
      </c>
      <c r="J210" s="222">
        <f t="shared" si="31"/>
        <v>1162497883</v>
      </c>
      <c r="K210" s="27">
        <f t="shared" si="18"/>
        <v>1083537500</v>
      </c>
      <c r="L210" s="27">
        <f t="shared" si="9"/>
        <v>78960382.51</v>
      </c>
    </row>
    <row r="211">
      <c r="A211" s="57" t="s">
        <v>12</v>
      </c>
      <c r="B211" s="57" t="s">
        <v>223</v>
      </c>
      <c r="C211" s="87">
        <v>0.1795</v>
      </c>
      <c r="D211" s="167">
        <v>48390.0</v>
      </c>
      <c r="E211" s="168">
        <v>45992.0</v>
      </c>
      <c r="F211" s="168">
        <v>45994.0</v>
      </c>
      <c r="G211" s="87">
        <f t="shared" si="33"/>
        <v>0.1588830139</v>
      </c>
      <c r="H211" s="111">
        <v>108.18</v>
      </c>
      <c r="I211" s="111">
        <v>7.0E8</v>
      </c>
      <c r="J211" s="27">
        <f t="shared" si="31"/>
        <v>812532267.8</v>
      </c>
      <c r="K211" s="27">
        <f t="shared" si="18"/>
        <v>757260000</v>
      </c>
      <c r="L211" s="27">
        <f t="shared" si="9"/>
        <v>55272267.76</v>
      </c>
    </row>
    <row r="212">
      <c r="A212" s="57" t="s">
        <v>12</v>
      </c>
      <c r="B212" s="57" t="s">
        <v>223</v>
      </c>
      <c r="C212" s="87">
        <v>0.1795</v>
      </c>
      <c r="D212" s="167">
        <v>48390.0</v>
      </c>
      <c r="E212" s="168">
        <v>45992.0</v>
      </c>
      <c r="F212" s="168">
        <v>45994.0</v>
      </c>
      <c r="G212" s="87">
        <f t="shared" si="33"/>
        <v>0.1585038567</v>
      </c>
      <c r="H212" s="111">
        <v>108.34</v>
      </c>
      <c r="I212" s="111">
        <v>1.0E9</v>
      </c>
      <c r="J212" s="222">
        <f t="shared" si="31"/>
        <v>1162360383</v>
      </c>
      <c r="K212" s="27">
        <f t="shared" si="18"/>
        <v>1083400000</v>
      </c>
      <c r="L212" s="27">
        <f t="shared" si="9"/>
        <v>78960382.51</v>
      </c>
    </row>
    <row r="213">
      <c r="A213" s="57" t="s">
        <v>12</v>
      </c>
      <c r="B213" s="57" t="s">
        <v>208</v>
      </c>
      <c r="C213" s="87">
        <v>0.185</v>
      </c>
      <c r="D213" s="167">
        <v>47900.0</v>
      </c>
      <c r="E213" s="168">
        <v>45992.0</v>
      </c>
      <c r="F213" s="168">
        <v>45994.0</v>
      </c>
      <c r="G213" s="87">
        <f t="shared" si="33"/>
        <v>0.1580077124</v>
      </c>
      <c r="H213" s="111">
        <v>109.27</v>
      </c>
      <c r="I213" s="111">
        <v>1.0E9</v>
      </c>
      <c r="J213" s="222">
        <f t="shared" si="31"/>
        <v>1144982609</v>
      </c>
      <c r="K213" s="27">
        <f t="shared" si="18"/>
        <v>1092700000</v>
      </c>
      <c r="L213" s="27">
        <f t="shared" si="9"/>
        <v>52282608.7</v>
      </c>
    </row>
    <row r="214">
      <c r="A214" s="57" t="s">
        <v>14</v>
      </c>
      <c r="B214" s="57" t="s">
        <v>201</v>
      </c>
      <c r="C214" s="87">
        <v>0.1989</v>
      </c>
      <c r="D214" s="167">
        <v>48714.0</v>
      </c>
      <c r="E214" s="168">
        <v>45993.0</v>
      </c>
      <c r="F214" s="168">
        <v>45994.0</v>
      </c>
      <c r="G214" s="87">
        <f t="shared" si="33"/>
        <v>0.163621141</v>
      </c>
      <c r="H214" s="111">
        <v>114.84625</v>
      </c>
      <c r="I214" s="111">
        <v>1.2E9</v>
      </c>
      <c r="J214" s="27">
        <f t="shared" si="31"/>
        <v>1390023066</v>
      </c>
      <c r="K214" s="27">
        <f t="shared" si="18"/>
        <v>1378155000</v>
      </c>
      <c r="L214" s="27">
        <f t="shared" si="9"/>
        <v>11868066.3</v>
      </c>
    </row>
    <row r="215">
      <c r="A215" s="57" t="s">
        <v>12</v>
      </c>
      <c r="B215" s="57" t="s">
        <v>208</v>
      </c>
      <c r="C215" s="87">
        <v>0.185</v>
      </c>
      <c r="D215" s="167">
        <v>47900.0</v>
      </c>
      <c r="E215" s="168">
        <v>46008.0</v>
      </c>
      <c r="F215" s="168">
        <v>46010.0</v>
      </c>
      <c r="G215" s="87">
        <f t="shared" si="33"/>
        <v>0.1713406979</v>
      </c>
      <c r="H215" s="111">
        <v>104.48</v>
      </c>
      <c r="I215" s="111">
        <v>4.5E8</v>
      </c>
      <c r="J215" s="27">
        <f t="shared" si="31"/>
        <v>497306739.1</v>
      </c>
      <c r="K215" s="27">
        <f t="shared" si="18"/>
        <v>470160000</v>
      </c>
      <c r="L215" s="27">
        <f t="shared" si="9"/>
        <v>27146739.13</v>
      </c>
    </row>
    <row r="216">
      <c r="A216" s="57" t="s">
        <v>12</v>
      </c>
      <c r="B216" s="57" t="s">
        <v>208</v>
      </c>
      <c r="C216" s="87">
        <v>0.185</v>
      </c>
      <c r="D216" s="167">
        <v>47900.0</v>
      </c>
      <c r="E216" s="168">
        <v>46009.0</v>
      </c>
      <c r="F216" s="168">
        <v>46013.0</v>
      </c>
      <c r="G216" s="87">
        <f t="shared" si="33"/>
        <v>0.170338633</v>
      </c>
      <c r="H216" s="111">
        <v>104.82375</v>
      </c>
      <c r="I216" s="111">
        <v>4.5E8</v>
      </c>
      <c r="J216" s="27">
        <f t="shared" si="31"/>
        <v>499532282.6</v>
      </c>
      <c r="K216" s="27">
        <f t="shared" si="18"/>
        <v>471706875</v>
      </c>
      <c r="L216" s="27">
        <f t="shared" si="9"/>
        <v>27825407.61</v>
      </c>
    </row>
    <row r="217">
      <c r="A217" s="57" t="s">
        <v>12</v>
      </c>
      <c r="B217" s="57" t="s">
        <v>228</v>
      </c>
      <c r="C217" s="87"/>
      <c r="D217" s="167">
        <v>46226.0</v>
      </c>
      <c r="E217" s="168">
        <v>46037.0</v>
      </c>
      <c r="F217" s="168">
        <v>46041.0</v>
      </c>
      <c r="G217" s="87">
        <v>0.16</v>
      </c>
      <c r="H217" s="111">
        <f t="shared" ref="H217:H220" si="34">PRICEDISC(F217,D217,G217,100,1)</f>
        <v>91.89041096</v>
      </c>
      <c r="I217" s="111">
        <v>1.0E9</v>
      </c>
      <c r="J217" s="27">
        <f t="shared" si="31"/>
        <v>918904109.6</v>
      </c>
      <c r="K217" s="27">
        <f t="shared" si="18"/>
        <v>918904109.6</v>
      </c>
      <c r="L217" s="27" t="str">
        <f t="shared" si="9"/>
        <v/>
      </c>
    </row>
    <row r="218">
      <c r="A218" s="57" t="s">
        <v>12</v>
      </c>
      <c r="B218" s="57" t="s">
        <v>229</v>
      </c>
      <c r="C218" s="87"/>
      <c r="D218" s="167">
        <v>46191.0</v>
      </c>
      <c r="E218" s="168">
        <v>46037.0</v>
      </c>
      <c r="F218" s="168">
        <v>46041.0</v>
      </c>
      <c r="G218" s="87">
        <v>0.16</v>
      </c>
      <c r="H218" s="111">
        <f t="shared" si="34"/>
        <v>93.42465753</v>
      </c>
      <c r="I218" s="111">
        <v>6.0E8</v>
      </c>
      <c r="J218" s="27">
        <f t="shared" si="31"/>
        <v>560547945.2</v>
      </c>
      <c r="K218" s="27">
        <f t="shared" si="18"/>
        <v>560547945.2</v>
      </c>
      <c r="L218" s="27" t="str">
        <f t="shared" si="9"/>
        <v/>
      </c>
    </row>
    <row r="219">
      <c r="A219" s="72" t="s">
        <v>14</v>
      </c>
      <c r="B219" s="72" t="s">
        <v>221</v>
      </c>
      <c r="C219" s="169"/>
      <c r="D219" s="223">
        <v>46331.0</v>
      </c>
      <c r="E219" s="224">
        <v>46045.0</v>
      </c>
      <c r="F219" s="224">
        <v>46048.0</v>
      </c>
      <c r="G219" s="169">
        <v>0.1715</v>
      </c>
      <c r="H219" s="171">
        <f t="shared" si="34"/>
        <v>86.70287671</v>
      </c>
      <c r="I219" s="111">
        <v>6.0E8</v>
      </c>
      <c r="J219" s="27">
        <f t="shared" si="31"/>
        <v>520217260.3</v>
      </c>
      <c r="K219" s="172">
        <f t="shared" si="18"/>
        <v>520217260.3</v>
      </c>
      <c r="L219" s="172" t="str">
        <f t="shared" ref="L219:L220" si="35">IFERROR(ACCRINT(COUPPCD(F219,D219,2,1),COUPNCD(F219,D219,2,0),F219,C219,100,2,1),"")</f>
        <v/>
      </c>
    </row>
    <row r="220">
      <c r="A220" s="72" t="s">
        <v>14</v>
      </c>
      <c r="B220" s="72" t="s">
        <v>221</v>
      </c>
      <c r="C220" s="169"/>
      <c r="D220" s="223">
        <v>46331.0</v>
      </c>
      <c r="E220" s="224">
        <v>46045.0</v>
      </c>
      <c r="F220" s="224">
        <v>46048.0</v>
      </c>
      <c r="G220" s="169">
        <v>0.175</v>
      </c>
      <c r="H220" s="171">
        <f t="shared" si="34"/>
        <v>86.43150685</v>
      </c>
      <c r="I220" s="111">
        <v>6.0E8</v>
      </c>
      <c r="J220" s="27">
        <f t="shared" si="31"/>
        <v>518589041.1</v>
      </c>
      <c r="K220" s="172">
        <f t="shared" si="18"/>
        <v>518589041.1</v>
      </c>
      <c r="L220" s="172" t="str">
        <f t="shared" si="35"/>
        <v/>
      </c>
    </row>
    <row r="221">
      <c r="A221" s="57" t="s">
        <v>12</v>
      </c>
      <c r="B221" s="57" t="s">
        <v>232</v>
      </c>
      <c r="C221" s="87">
        <v>0.19</v>
      </c>
      <c r="D221" s="167">
        <v>48996.0</v>
      </c>
      <c r="E221" s="168">
        <v>46064.0</v>
      </c>
      <c r="F221" s="168">
        <v>46066.0</v>
      </c>
      <c r="G221" s="87">
        <f t="shared" ref="G221:G246" si="36">IFERROR(YIELD(F221,D221,C221,H221,100,2,1),"")</f>
        <v>0.165507028</v>
      </c>
      <c r="H221" s="111">
        <v>110.65</v>
      </c>
      <c r="I221" s="111">
        <v>1.0E9</v>
      </c>
      <c r="J221" s="27">
        <f t="shared" si="31"/>
        <v>1197369565</v>
      </c>
      <c r="K221" s="27">
        <f t="shared" si="18"/>
        <v>1106500000</v>
      </c>
      <c r="L221" s="27">
        <f t="shared" ref="L221:L246" si="37">IFERROR(ACCRINT(COUPPCD(F221,D221,2,1),COUPNCD(F221,D221,2,0),F221,C221,I221,2,1),"")</f>
        <v>90869565.22</v>
      </c>
    </row>
    <row r="222">
      <c r="A222" s="57" t="s">
        <v>12</v>
      </c>
      <c r="B222" s="57" t="s">
        <v>232</v>
      </c>
      <c r="C222" s="87">
        <v>0.19</v>
      </c>
      <c r="D222" s="167">
        <v>48996.0</v>
      </c>
      <c r="E222" s="168">
        <v>46066.0</v>
      </c>
      <c r="F222" s="168">
        <v>46070.0</v>
      </c>
      <c r="G222" s="87">
        <f t="shared" si="36"/>
        <v>0.1664921774</v>
      </c>
      <c r="H222" s="111">
        <v>110.19</v>
      </c>
      <c r="I222" s="111">
        <v>3.55E8</v>
      </c>
      <c r="J222" s="27">
        <f t="shared" si="31"/>
        <v>424166347.8</v>
      </c>
      <c r="K222" s="27">
        <f t="shared" si="18"/>
        <v>391174500</v>
      </c>
      <c r="L222" s="27">
        <f t="shared" si="37"/>
        <v>32991847.83</v>
      </c>
    </row>
    <row r="223">
      <c r="A223" s="57" t="s">
        <v>12</v>
      </c>
      <c r="B223" s="57" t="s">
        <v>232</v>
      </c>
      <c r="C223" s="87">
        <v>0.19</v>
      </c>
      <c r="D223" s="167">
        <v>48996.0</v>
      </c>
      <c r="E223" s="168">
        <v>46066.0</v>
      </c>
      <c r="F223" s="168">
        <v>46070.0</v>
      </c>
      <c r="G223" s="87">
        <f t="shared" si="36"/>
        <v>0.1668922483</v>
      </c>
      <c r="H223" s="111">
        <v>110.00375</v>
      </c>
      <c r="I223" s="111">
        <v>3.5E8</v>
      </c>
      <c r="J223" s="27">
        <f t="shared" si="31"/>
        <v>417540298.9</v>
      </c>
      <c r="K223" s="27">
        <f t="shared" si="18"/>
        <v>385013125</v>
      </c>
      <c r="L223" s="27">
        <f t="shared" si="37"/>
        <v>32527173.91</v>
      </c>
    </row>
    <row r="224">
      <c r="A224" s="72" t="s">
        <v>12</v>
      </c>
      <c r="B224" s="72" t="s">
        <v>208</v>
      </c>
      <c r="C224" s="169">
        <v>0.185</v>
      </c>
      <c r="D224" s="223">
        <v>47900.0</v>
      </c>
      <c r="E224" s="224">
        <v>46078.0</v>
      </c>
      <c r="F224" s="224">
        <v>46084.0</v>
      </c>
      <c r="G224" s="87">
        <f t="shared" si="36"/>
        <v>0.1578536304</v>
      </c>
      <c r="H224" s="171">
        <v>109.1</v>
      </c>
      <c r="I224" s="111">
        <v>7.0E8</v>
      </c>
      <c r="J224" s="27">
        <f t="shared" si="31"/>
        <v>767277348.1</v>
      </c>
      <c r="K224" s="172">
        <f t="shared" si="18"/>
        <v>763700000</v>
      </c>
      <c r="L224" s="172">
        <f t="shared" si="37"/>
        <v>3577348.066</v>
      </c>
    </row>
    <row r="225">
      <c r="A225" s="72" t="s">
        <v>12</v>
      </c>
      <c r="B225" s="72" t="s">
        <v>201</v>
      </c>
      <c r="C225" s="169">
        <v>0.1989</v>
      </c>
      <c r="D225" s="223">
        <v>48714.0</v>
      </c>
      <c r="E225" s="224">
        <v>46078.0</v>
      </c>
      <c r="F225" s="224">
        <v>46084.0</v>
      </c>
      <c r="G225" s="87">
        <f t="shared" si="36"/>
        <v>0.1570013796</v>
      </c>
      <c r="H225" s="171">
        <v>117.61</v>
      </c>
      <c r="I225" s="111">
        <v>3.0E8</v>
      </c>
      <c r="J225" s="27">
        <f t="shared" si="31"/>
        <v>370632099.4</v>
      </c>
      <c r="K225" s="172">
        <f t="shared" si="18"/>
        <v>352830000</v>
      </c>
      <c r="L225" s="172">
        <f t="shared" si="37"/>
        <v>17802099.45</v>
      </c>
    </row>
    <row r="226">
      <c r="A226" s="72" t="s">
        <v>12</v>
      </c>
      <c r="B226" s="72" t="s">
        <v>223</v>
      </c>
      <c r="C226" s="169">
        <v>0.1795</v>
      </c>
      <c r="D226" s="223">
        <v>48390.0</v>
      </c>
      <c r="E226" s="224">
        <v>46079.0</v>
      </c>
      <c r="F226" s="224">
        <v>46085.0</v>
      </c>
      <c r="G226" s="87">
        <f t="shared" si="36"/>
        <v>0.1564957878</v>
      </c>
      <c r="H226" s="171">
        <v>108.94</v>
      </c>
      <c r="I226" s="111">
        <v>9.0E8</v>
      </c>
      <c r="J226" s="27">
        <f t="shared" si="31"/>
        <v>1011083489</v>
      </c>
      <c r="K226" s="172">
        <f t="shared" si="18"/>
        <v>980460000</v>
      </c>
      <c r="L226" s="172">
        <f t="shared" si="37"/>
        <v>30623489.01</v>
      </c>
    </row>
    <row r="227">
      <c r="A227" s="72" t="s">
        <v>14</v>
      </c>
      <c r="B227" s="72" t="s">
        <v>201</v>
      </c>
      <c r="C227" s="169">
        <v>0.1989</v>
      </c>
      <c r="D227" s="223">
        <v>48714.0</v>
      </c>
      <c r="E227" s="224">
        <v>46108.0</v>
      </c>
      <c r="F227" s="224">
        <v>46112.0</v>
      </c>
      <c r="G227" s="87">
        <f t="shared" si="36"/>
        <v>0.1651138947</v>
      </c>
      <c r="H227" s="171">
        <v>113.78</v>
      </c>
      <c r="I227" s="111">
        <v>2.0E9</v>
      </c>
      <c r="J227" s="27">
        <f t="shared" si="31"/>
        <v>2425049724</v>
      </c>
      <c r="K227" s="172">
        <f t="shared" si="18"/>
        <v>2275600000</v>
      </c>
      <c r="L227" s="172">
        <f t="shared" si="37"/>
        <v>149449723.8</v>
      </c>
    </row>
    <row r="228">
      <c r="A228" s="72" t="s">
        <v>14</v>
      </c>
      <c r="B228" s="72" t="s">
        <v>201</v>
      </c>
      <c r="C228" s="169">
        <v>0.1989</v>
      </c>
      <c r="D228" s="223">
        <v>48714.0</v>
      </c>
      <c r="E228" s="224">
        <v>46108.0</v>
      </c>
      <c r="F228" s="224">
        <v>46112.0</v>
      </c>
      <c r="G228" s="87">
        <f t="shared" si="36"/>
        <v>0.1651138947</v>
      </c>
      <c r="H228" s="171">
        <v>113.78</v>
      </c>
      <c r="I228" s="111">
        <v>3.0E9</v>
      </c>
      <c r="J228" s="27">
        <f t="shared" si="31"/>
        <v>3637574586</v>
      </c>
      <c r="K228" s="172">
        <f t="shared" si="18"/>
        <v>3413400000</v>
      </c>
      <c r="L228" s="172">
        <f t="shared" si="37"/>
        <v>224174585.6</v>
      </c>
    </row>
    <row r="229">
      <c r="A229" s="72" t="s">
        <v>14</v>
      </c>
      <c r="B229" s="57" t="s">
        <v>232</v>
      </c>
      <c r="C229" s="87">
        <v>0.19</v>
      </c>
      <c r="D229" s="167">
        <v>48996.0</v>
      </c>
      <c r="E229" s="224">
        <v>46108.0</v>
      </c>
      <c r="F229" s="224">
        <v>46112.0</v>
      </c>
      <c r="G229" s="87">
        <f t="shared" si="36"/>
        <v>0.1628011668</v>
      </c>
      <c r="H229" s="111">
        <v>111.79</v>
      </c>
      <c r="I229" s="111">
        <v>2.5E9</v>
      </c>
      <c r="J229" s="27">
        <f t="shared" si="31"/>
        <v>2844611878</v>
      </c>
      <c r="K229" s="27">
        <f t="shared" si="18"/>
        <v>2794750000</v>
      </c>
      <c r="L229" s="27">
        <f t="shared" si="37"/>
        <v>49861878.45</v>
      </c>
    </row>
    <row r="230">
      <c r="A230" s="72" t="s">
        <v>14</v>
      </c>
      <c r="B230" s="1" t="s">
        <v>220</v>
      </c>
      <c r="C230" s="62">
        <v>0.13</v>
      </c>
      <c r="D230" s="52">
        <v>51887.0</v>
      </c>
      <c r="E230" s="224">
        <v>46108.0</v>
      </c>
      <c r="F230" s="224">
        <v>46111.0</v>
      </c>
      <c r="G230" s="62">
        <f t="shared" si="36"/>
        <v>0.149088112</v>
      </c>
      <c r="H230" s="63">
        <v>88.46</v>
      </c>
      <c r="I230" s="111">
        <v>2.5E8</v>
      </c>
      <c r="J230" s="27">
        <f t="shared" si="31"/>
        <v>227254972.4</v>
      </c>
      <c r="K230" s="15">
        <f t="shared" si="18"/>
        <v>221150000</v>
      </c>
      <c r="L230" s="15">
        <f t="shared" si="37"/>
        <v>6104972.376</v>
      </c>
    </row>
    <row r="231">
      <c r="A231" s="72" t="s">
        <v>14</v>
      </c>
      <c r="B231" s="57" t="s">
        <v>208</v>
      </c>
      <c r="C231" s="87">
        <v>0.185</v>
      </c>
      <c r="D231" s="167">
        <v>47900.0</v>
      </c>
      <c r="E231" s="168">
        <v>46111.0</v>
      </c>
      <c r="F231" s="168">
        <v>46113.0</v>
      </c>
      <c r="G231" s="87">
        <f t="shared" si="36"/>
        <v>0.1661410704</v>
      </c>
      <c r="H231" s="111">
        <v>106.09</v>
      </c>
      <c r="I231" s="111">
        <v>3.0E9</v>
      </c>
      <c r="J231" s="27">
        <f t="shared" si="31"/>
        <v>3242492818</v>
      </c>
      <c r="K231" s="27">
        <f t="shared" si="18"/>
        <v>3182700000</v>
      </c>
      <c r="L231" s="27">
        <f t="shared" si="37"/>
        <v>59792817.68</v>
      </c>
    </row>
    <row r="232">
      <c r="A232" s="72" t="s">
        <v>14</v>
      </c>
      <c r="B232" s="72" t="s">
        <v>223</v>
      </c>
      <c r="C232" s="169">
        <v>0.1795</v>
      </c>
      <c r="D232" s="223">
        <v>48390.0</v>
      </c>
      <c r="E232" s="168">
        <v>46111.0</v>
      </c>
      <c r="F232" s="224">
        <v>46112.0</v>
      </c>
      <c r="G232" s="87">
        <f t="shared" si="36"/>
        <v>0.1629880919</v>
      </c>
      <c r="H232" s="171">
        <v>106.23</v>
      </c>
      <c r="I232" s="111">
        <v>5.0E8</v>
      </c>
      <c r="J232" s="27">
        <f t="shared" si="31"/>
        <v>554820329.7</v>
      </c>
      <c r="K232" s="172">
        <f t="shared" si="18"/>
        <v>531150000</v>
      </c>
      <c r="L232" s="172">
        <f t="shared" si="37"/>
        <v>23670329.67</v>
      </c>
    </row>
    <row r="233">
      <c r="A233" s="72" t="s">
        <v>14</v>
      </c>
      <c r="B233" s="57" t="s">
        <v>208</v>
      </c>
      <c r="C233" s="87">
        <v>0.185</v>
      </c>
      <c r="D233" s="167">
        <v>47900.0</v>
      </c>
      <c r="E233" s="168">
        <v>46111.0</v>
      </c>
      <c r="F233" s="224">
        <v>46112.0</v>
      </c>
      <c r="G233" s="87">
        <f t="shared" si="36"/>
        <v>0.1657988037</v>
      </c>
      <c r="H233" s="111">
        <v>106.21</v>
      </c>
      <c r="I233" s="111">
        <v>2.0E9</v>
      </c>
      <c r="J233" s="27">
        <f t="shared" si="31"/>
        <v>2163039779</v>
      </c>
      <c r="K233" s="27">
        <f t="shared" si="18"/>
        <v>2124200000</v>
      </c>
      <c r="L233" s="27">
        <f t="shared" si="37"/>
        <v>38839779.01</v>
      </c>
    </row>
    <row r="234">
      <c r="A234" s="141" t="s">
        <v>14</v>
      </c>
      <c r="B234" s="141" t="s">
        <v>201</v>
      </c>
      <c r="C234" s="142">
        <v>0.1989</v>
      </c>
      <c r="D234" s="226">
        <v>48714.0</v>
      </c>
      <c r="E234" s="227">
        <v>46114.0</v>
      </c>
      <c r="F234" s="227">
        <v>46120.0</v>
      </c>
      <c r="G234" s="142">
        <f t="shared" si="36"/>
        <v>0.1661084969</v>
      </c>
      <c r="H234" s="144">
        <v>113.32</v>
      </c>
      <c r="I234" s="111">
        <v>4.5E8</v>
      </c>
      <c r="J234" s="27">
        <f t="shared" si="31"/>
        <v>545544198.9</v>
      </c>
      <c r="K234" s="105">
        <f t="shared" si="18"/>
        <v>509940000</v>
      </c>
      <c r="L234" s="105">
        <f t="shared" si="37"/>
        <v>35604198.9</v>
      </c>
    </row>
    <row r="235">
      <c r="A235" s="72" t="s">
        <v>14</v>
      </c>
      <c r="B235" s="57" t="s">
        <v>208</v>
      </c>
      <c r="C235" s="87">
        <v>0.185</v>
      </c>
      <c r="D235" s="167">
        <v>47900.0</v>
      </c>
      <c r="E235" s="224">
        <v>46114.0</v>
      </c>
      <c r="F235" s="224">
        <v>46120.0</v>
      </c>
      <c r="G235" s="87">
        <f t="shared" si="36"/>
        <v>0.165541493</v>
      </c>
      <c r="H235" s="171">
        <v>106.27</v>
      </c>
      <c r="I235" s="111">
        <v>1.0E9</v>
      </c>
      <c r="J235" s="27">
        <f t="shared" si="31"/>
        <v>1086208287</v>
      </c>
      <c r="K235" s="172">
        <f t="shared" si="18"/>
        <v>1062700000</v>
      </c>
      <c r="L235" s="172">
        <f t="shared" si="37"/>
        <v>23508287.29</v>
      </c>
    </row>
    <row r="236">
      <c r="A236" s="72" t="s">
        <v>14</v>
      </c>
      <c r="B236" s="57" t="s">
        <v>208</v>
      </c>
      <c r="C236" s="87">
        <v>0.185</v>
      </c>
      <c r="D236" s="167">
        <v>47900.0</v>
      </c>
      <c r="E236" s="224">
        <v>46114.0</v>
      </c>
      <c r="F236" s="224">
        <v>46120.0</v>
      </c>
      <c r="G236" s="87">
        <f t="shared" si="36"/>
        <v>0.165394527</v>
      </c>
      <c r="H236" s="171">
        <v>106.32</v>
      </c>
      <c r="I236" s="111">
        <v>1.0E9</v>
      </c>
      <c r="J236" s="27">
        <f t="shared" si="31"/>
        <v>1086708287</v>
      </c>
      <c r="K236" s="172">
        <f t="shared" si="18"/>
        <v>1063200000</v>
      </c>
      <c r="L236" s="172">
        <f t="shared" si="37"/>
        <v>23508287.29</v>
      </c>
    </row>
    <row r="237">
      <c r="A237" s="72" t="s">
        <v>14</v>
      </c>
      <c r="B237" s="72" t="s">
        <v>201</v>
      </c>
      <c r="C237" s="169">
        <v>0.1989</v>
      </c>
      <c r="D237" s="223">
        <v>48714.0</v>
      </c>
      <c r="E237" s="224">
        <v>46113.0</v>
      </c>
      <c r="F237" s="224">
        <v>46119.0</v>
      </c>
      <c r="G237" s="87">
        <f t="shared" si="36"/>
        <v>0.166402586</v>
      </c>
      <c r="H237" s="171">
        <v>113.19</v>
      </c>
      <c r="I237" s="111">
        <v>2.0E9</v>
      </c>
      <c r="J237" s="27">
        <f t="shared" si="31"/>
        <v>2420941989</v>
      </c>
      <c r="K237" s="172">
        <f t="shared" si="18"/>
        <v>2263800000</v>
      </c>
      <c r="L237" s="172">
        <f t="shared" si="37"/>
        <v>157141989</v>
      </c>
    </row>
    <row r="238">
      <c r="A238" s="72" t="s">
        <v>14</v>
      </c>
      <c r="B238" s="72" t="s">
        <v>201</v>
      </c>
      <c r="C238" s="169">
        <v>0.1989</v>
      </c>
      <c r="D238" s="223">
        <v>48714.0</v>
      </c>
      <c r="E238" s="224">
        <v>46113.0</v>
      </c>
      <c r="F238" s="224">
        <v>46120.0</v>
      </c>
      <c r="G238" s="87">
        <f t="shared" si="36"/>
        <v>0.1664888266</v>
      </c>
      <c r="H238" s="171">
        <v>113.15</v>
      </c>
      <c r="I238" s="111">
        <v>2.0E9</v>
      </c>
      <c r="J238" s="27">
        <f t="shared" si="31"/>
        <v>2421240884</v>
      </c>
      <c r="K238" s="172">
        <f t="shared" si="18"/>
        <v>2263000000</v>
      </c>
      <c r="L238" s="172">
        <f t="shared" si="37"/>
        <v>158240884</v>
      </c>
    </row>
    <row r="239">
      <c r="A239" s="72" t="s">
        <v>14</v>
      </c>
      <c r="B239" s="72" t="s">
        <v>201</v>
      </c>
      <c r="C239" s="169">
        <v>0.1989</v>
      </c>
      <c r="D239" s="223">
        <v>48714.0</v>
      </c>
      <c r="E239" s="224">
        <v>46113.0</v>
      </c>
      <c r="F239" s="224">
        <v>46119.0</v>
      </c>
      <c r="G239" s="87">
        <f t="shared" si="36"/>
        <v>0.1662907217</v>
      </c>
      <c r="H239" s="171">
        <v>113.24</v>
      </c>
      <c r="I239" s="111">
        <v>1.0E9</v>
      </c>
      <c r="J239" s="27">
        <f t="shared" si="31"/>
        <v>1210970994</v>
      </c>
      <c r="K239" s="172">
        <f t="shared" si="18"/>
        <v>1132400000</v>
      </c>
      <c r="L239" s="172">
        <f t="shared" si="37"/>
        <v>78570994.48</v>
      </c>
    </row>
    <row r="240">
      <c r="A240" s="72" t="s">
        <v>14</v>
      </c>
      <c r="B240" s="72" t="s">
        <v>223</v>
      </c>
      <c r="C240" s="169">
        <v>0.1795</v>
      </c>
      <c r="D240" s="223">
        <v>48390.0</v>
      </c>
      <c r="E240" s="224">
        <v>46114.0</v>
      </c>
      <c r="F240" s="224">
        <v>46120.0</v>
      </c>
      <c r="G240" s="87">
        <f t="shared" si="36"/>
        <v>0.1648979494</v>
      </c>
      <c r="H240" s="171">
        <v>105.46</v>
      </c>
      <c r="I240" s="111">
        <v>1.1E9</v>
      </c>
      <c r="J240" s="27">
        <f t="shared" si="31"/>
        <v>1216474286</v>
      </c>
      <c r="K240" s="172">
        <f t="shared" si="18"/>
        <v>1160060000</v>
      </c>
      <c r="L240" s="172">
        <f t="shared" si="37"/>
        <v>56414285.71</v>
      </c>
    </row>
    <row r="241">
      <c r="A241" s="72" t="s">
        <v>14</v>
      </c>
      <c r="B241" s="57" t="s">
        <v>232</v>
      </c>
      <c r="C241" s="87">
        <v>0.19</v>
      </c>
      <c r="D241" s="167">
        <v>48996.0</v>
      </c>
      <c r="E241" s="224">
        <v>46114.0</v>
      </c>
      <c r="F241" s="224">
        <v>46120.0</v>
      </c>
      <c r="G241" s="87">
        <f t="shared" si="36"/>
        <v>0.1639994009</v>
      </c>
      <c r="H241" s="111">
        <v>111.2</v>
      </c>
      <c r="I241" s="111">
        <v>2.0E9</v>
      </c>
      <c r="J241" s="27">
        <f t="shared" si="31"/>
        <v>2272287293</v>
      </c>
      <c r="K241" s="27">
        <f t="shared" si="18"/>
        <v>2224000000</v>
      </c>
      <c r="L241" s="27">
        <f t="shared" si="37"/>
        <v>48287292.82</v>
      </c>
    </row>
    <row r="242">
      <c r="A242" s="72" t="s">
        <v>14</v>
      </c>
      <c r="B242" s="57" t="s">
        <v>232</v>
      </c>
      <c r="C242" s="87">
        <v>0.19</v>
      </c>
      <c r="D242" s="167">
        <v>48996.0</v>
      </c>
      <c r="E242" s="224">
        <v>46114.0</v>
      </c>
      <c r="F242" s="224">
        <v>46119.0</v>
      </c>
      <c r="G242" s="87">
        <f t="shared" si="36"/>
        <v>0.1641977313</v>
      </c>
      <c r="H242" s="111">
        <v>111.11</v>
      </c>
      <c r="I242" s="111">
        <v>1.405E9</v>
      </c>
      <c r="J242" s="27">
        <f t="shared" si="31"/>
        <v>1594279892</v>
      </c>
      <c r="K242" s="27">
        <f t="shared" si="18"/>
        <v>1561095500</v>
      </c>
      <c r="L242" s="27">
        <f t="shared" si="37"/>
        <v>33184392.27</v>
      </c>
    </row>
    <row r="243">
      <c r="A243" s="72" t="s">
        <v>14</v>
      </c>
      <c r="B243" s="57" t="s">
        <v>232</v>
      </c>
      <c r="C243" s="87">
        <v>0.19</v>
      </c>
      <c r="D243" s="167">
        <v>48996.0</v>
      </c>
      <c r="E243" s="224">
        <v>46108.0</v>
      </c>
      <c r="F243" s="224">
        <v>46111.0</v>
      </c>
      <c r="G243" s="87">
        <f t="shared" si="36"/>
        <v>0.1628081383</v>
      </c>
      <c r="H243" s="111">
        <v>111.79</v>
      </c>
      <c r="I243" s="111">
        <v>5.0E8</v>
      </c>
      <c r="J243" s="27">
        <f t="shared" si="31"/>
        <v>568659944.8</v>
      </c>
      <c r="K243" s="27">
        <f t="shared" si="18"/>
        <v>558950000</v>
      </c>
      <c r="L243" s="27">
        <f t="shared" si="37"/>
        <v>9709944.751</v>
      </c>
    </row>
    <row r="244">
      <c r="A244" s="72" t="s">
        <v>14</v>
      </c>
      <c r="B244" s="72" t="s">
        <v>223</v>
      </c>
      <c r="C244" s="169">
        <v>0.1795</v>
      </c>
      <c r="D244" s="223">
        <v>48390.0</v>
      </c>
      <c r="E244" s="224">
        <v>46114.0</v>
      </c>
      <c r="F244" s="224">
        <v>46119.0</v>
      </c>
      <c r="G244" s="87">
        <f t="shared" si="36"/>
        <v>0.1655346581</v>
      </c>
      <c r="H244" s="171">
        <v>105.21</v>
      </c>
      <c r="I244" s="111">
        <v>2.4E9</v>
      </c>
      <c r="J244" s="27">
        <f t="shared" si="31"/>
        <v>2646942198</v>
      </c>
      <c r="K244" s="172">
        <f t="shared" si="18"/>
        <v>2525040000</v>
      </c>
      <c r="L244" s="172">
        <f t="shared" si="37"/>
        <v>121902197.8</v>
      </c>
    </row>
    <row r="245">
      <c r="A245" s="72" t="s">
        <v>14</v>
      </c>
      <c r="B245" s="72" t="s">
        <v>223</v>
      </c>
      <c r="C245" s="169">
        <v>0.1795</v>
      </c>
      <c r="D245" s="223">
        <v>48390.0</v>
      </c>
      <c r="E245" s="224">
        <v>46114.0</v>
      </c>
      <c r="F245" s="224">
        <v>46119.0</v>
      </c>
      <c r="G245" s="87">
        <f t="shared" si="36"/>
        <v>0.1655346581</v>
      </c>
      <c r="H245" s="171">
        <v>105.21</v>
      </c>
      <c r="I245" s="111">
        <v>2.6E9</v>
      </c>
      <c r="J245" s="27">
        <f t="shared" si="31"/>
        <v>2867520714</v>
      </c>
      <c r="K245" s="172">
        <f t="shared" si="18"/>
        <v>2735460000</v>
      </c>
      <c r="L245" s="172">
        <f t="shared" si="37"/>
        <v>132060714.3</v>
      </c>
    </row>
    <row r="246">
      <c r="A246" s="72" t="s">
        <v>12</v>
      </c>
      <c r="B246" s="57" t="s">
        <v>232</v>
      </c>
      <c r="C246" s="87">
        <v>0.19</v>
      </c>
      <c r="D246" s="167">
        <v>48996.0</v>
      </c>
      <c r="E246" s="224">
        <v>46120.0</v>
      </c>
      <c r="F246" s="224">
        <v>46121.0</v>
      </c>
      <c r="G246" s="87">
        <f t="shared" si="36"/>
        <v>0.1622968183</v>
      </c>
      <c r="H246" s="111">
        <v>112.0</v>
      </c>
      <c r="I246" s="111">
        <v>5.0E8</v>
      </c>
      <c r="J246" s="27">
        <f t="shared" si="31"/>
        <v>572334254.1</v>
      </c>
      <c r="K246" s="27">
        <f t="shared" si="18"/>
        <v>560000000</v>
      </c>
      <c r="L246" s="27">
        <f t="shared" si="37"/>
        <v>12334254.14</v>
      </c>
    </row>
    <row r="247">
      <c r="A247" s="72" t="s">
        <v>14</v>
      </c>
      <c r="B247" s="72" t="s">
        <v>221</v>
      </c>
      <c r="C247" s="169"/>
      <c r="D247" s="223">
        <v>46331.0</v>
      </c>
      <c r="E247" s="224">
        <v>46139.0</v>
      </c>
      <c r="F247" s="224">
        <v>46140.0</v>
      </c>
      <c r="G247" s="169">
        <v>0.165</v>
      </c>
      <c r="H247" s="171">
        <f t="shared" ref="H247:H250" si="38">PRICEDISC(F247,D247,G247,100,1)</f>
        <v>91.36575342</v>
      </c>
      <c r="I247" s="111">
        <v>1.3E9</v>
      </c>
      <c r="J247" s="27">
        <f t="shared" si="31"/>
        <v>1187754795</v>
      </c>
      <c r="K247" s="172">
        <f t="shared" si="18"/>
        <v>1187754795</v>
      </c>
      <c r="L247" s="172" t="str">
        <f t="shared" ref="L247:L250" si="39">IFERROR(ACCRINT(COUPPCD(F247,D247,2,1),COUPNCD(F247,D247,2,0),F247,C247,100,2,1),"")</f>
        <v/>
      </c>
    </row>
    <row r="248">
      <c r="A248" s="72" t="s">
        <v>14</v>
      </c>
      <c r="B248" s="72" t="s">
        <v>221</v>
      </c>
      <c r="C248" s="169"/>
      <c r="D248" s="223">
        <v>46331.0</v>
      </c>
      <c r="E248" s="224">
        <v>46139.0</v>
      </c>
      <c r="F248" s="224">
        <v>46140.0</v>
      </c>
      <c r="G248" s="169">
        <v>0.1646</v>
      </c>
      <c r="H248" s="171">
        <f t="shared" si="38"/>
        <v>91.38668493</v>
      </c>
      <c r="I248" s="111">
        <v>1.3E9</v>
      </c>
      <c r="J248" s="27">
        <f t="shared" si="31"/>
        <v>1188026904</v>
      </c>
      <c r="K248" s="172">
        <f t="shared" si="18"/>
        <v>1188026904</v>
      </c>
      <c r="L248" s="172" t="str">
        <f t="shared" si="39"/>
        <v/>
      </c>
    </row>
    <row r="249">
      <c r="A249" s="72" t="s">
        <v>14</v>
      </c>
      <c r="B249" s="72" t="s">
        <v>228</v>
      </c>
      <c r="C249" s="169"/>
      <c r="D249" s="223">
        <v>46226.0</v>
      </c>
      <c r="E249" s="224">
        <v>46153.0</v>
      </c>
      <c r="F249" s="224">
        <v>46154.0</v>
      </c>
      <c r="G249" s="169">
        <v>0.16</v>
      </c>
      <c r="H249" s="171">
        <f t="shared" si="38"/>
        <v>96.84383562</v>
      </c>
      <c r="I249" s="111">
        <v>1.0E9</v>
      </c>
      <c r="J249" s="27">
        <f t="shared" si="31"/>
        <v>968438356.2</v>
      </c>
      <c r="K249" s="172">
        <f t="shared" si="18"/>
        <v>968438356.2</v>
      </c>
      <c r="L249" s="172" t="str">
        <f t="shared" si="39"/>
        <v/>
      </c>
    </row>
    <row r="250">
      <c r="A250" s="72" t="s">
        <v>14</v>
      </c>
      <c r="B250" s="72" t="s">
        <v>229</v>
      </c>
      <c r="C250" s="169"/>
      <c r="D250" s="223">
        <v>46191.0</v>
      </c>
      <c r="E250" s="224">
        <v>46155.0</v>
      </c>
      <c r="F250" s="224">
        <v>46156.0</v>
      </c>
      <c r="G250" s="169">
        <v>0.1699</v>
      </c>
      <c r="H250" s="171">
        <f t="shared" si="38"/>
        <v>98.37082192</v>
      </c>
      <c r="I250" s="111">
        <v>6.0E8</v>
      </c>
      <c r="J250" s="27">
        <f t="shared" si="31"/>
        <v>590224931.5</v>
      </c>
      <c r="K250" s="172">
        <f t="shared" si="18"/>
        <v>590224931.5</v>
      </c>
      <c r="L250" s="172" t="str">
        <f t="shared" si="39"/>
        <v/>
      </c>
    </row>
    <row r="251">
      <c r="A251" s="72" t="s">
        <v>14</v>
      </c>
      <c r="B251" s="57" t="s">
        <v>208</v>
      </c>
      <c r="C251" s="87">
        <v>0.185</v>
      </c>
      <c r="D251" s="167">
        <v>47900.0</v>
      </c>
      <c r="E251" s="224">
        <v>46155.0</v>
      </c>
      <c r="F251" s="224">
        <v>46156.0</v>
      </c>
      <c r="G251" s="87">
        <f>IFERROR(YIELD(F251,D251,C251,H251,100,2,1),"")</f>
        <v>0.1686386328</v>
      </c>
      <c r="H251" s="171">
        <v>105.13</v>
      </c>
      <c r="I251" s="111">
        <v>9.0E8</v>
      </c>
      <c r="J251" s="27">
        <f t="shared" si="31"/>
        <v>983885469.6</v>
      </c>
      <c r="K251" s="172">
        <f t="shared" si="18"/>
        <v>946170000</v>
      </c>
      <c r="L251" s="172">
        <f>IFERROR(ACCRINT(COUPPCD(F251,D251,2,1),COUPNCD(F251,D251,2,0),F251,C251,I251,2,1),"")</f>
        <v>37715469.61</v>
      </c>
    </row>
    <row r="252">
      <c r="A252" s="72" t="s">
        <v>12</v>
      </c>
      <c r="B252" s="72" t="s">
        <v>236</v>
      </c>
      <c r="C252" s="169"/>
      <c r="D252" s="223">
        <v>46436.0</v>
      </c>
      <c r="E252" s="224">
        <v>46206.0</v>
      </c>
      <c r="F252" s="224">
        <v>46210.0</v>
      </c>
      <c r="G252" s="169">
        <v>0.174</v>
      </c>
      <c r="H252" s="171">
        <f>PRICEDISC(F252,D252,G252,100,1)</f>
        <v>89.22630137</v>
      </c>
      <c r="I252" s="111">
        <v>1.9E9</v>
      </c>
      <c r="J252" s="27">
        <f t="shared" si="31"/>
        <v>1695299726</v>
      </c>
      <c r="K252" s="172">
        <f t="shared" si="18"/>
        <v>1695299726</v>
      </c>
      <c r="L252" s="172" t="str">
        <f>IFERROR(ACCRINT(COUPPCD(F252,D252,2,1),COUPNCD(F252,D252,2,0),F252,C252,100,2,1),"")</f>
        <v/>
      </c>
    </row>
    <row r="253">
      <c r="A253" s="1" t="s">
        <v>12</v>
      </c>
      <c r="B253" s="1" t="s">
        <v>144</v>
      </c>
      <c r="C253" s="62">
        <v>0.226</v>
      </c>
      <c r="D253" s="52">
        <v>49338.0</v>
      </c>
      <c r="E253" s="122">
        <v>46220.0</v>
      </c>
      <c r="F253" s="122">
        <v>46225.0</v>
      </c>
      <c r="G253" s="87">
        <f t="shared" ref="G253:G255" si="40">IFERROR(YIELD(F253,D253,C253,H253,100,2,1),"")</f>
        <v>0.1828962778</v>
      </c>
      <c r="H253" s="63">
        <v>118.24243</v>
      </c>
      <c r="I253" s="63">
        <v>5.0E8</v>
      </c>
      <c r="J253" s="15">
        <f t="shared" si="31"/>
        <v>645527067.1</v>
      </c>
      <c r="K253" s="15">
        <f t="shared" si="18"/>
        <v>591212150</v>
      </c>
      <c r="L253" s="15">
        <f t="shared" ref="L253:L270" si="41">IFERROR(ACCRINT(COUPPCD(F253,D253,2,1),COUPNCD(F253,D253,2,0),F253,C253,I253,2,1),"")</f>
        <v>54314917.13</v>
      </c>
    </row>
    <row r="254">
      <c r="A254" s="57" t="s">
        <v>12</v>
      </c>
      <c r="B254" s="57" t="s">
        <v>171</v>
      </c>
      <c r="C254" s="87">
        <v>0.162499</v>
      </c>
      <c r="D254" s="167">
        <v>50148.0</v>
      </c>
      <c r="E254" s="168">
        <v>46220.0</v>
      </c>
      <c r="F254" s="168">
        <v>46225.0</v>
      </c>
      <c r="G254" s="87">
        <f t="shared" si="40"/>
        <v>0.1828833698</v>
      </c>
      <c r="H254" s="63">
        <v>90.46665</v>
      </c>
      <c r="I254" s="63">
        <v>5.0E8</v>
      </c>
      <c r="J254" s="15">
        <f t="shared" si="31"/>
        <v>473422601.1</v>
      </c>
      <c r="K254" s="15">
        <f t="shared" si="18"/>
        <v>452333250</v>
      </c>
      <c r="L254" s="15">
        <f t="shared" si="41"/>
        <v>21089351.09</v>
      </c>
    </row>
    <row r="255">
      <c r="A255" s="57" t="s">
        <v>12</v>
      </c>
      <c r="B255" s="57" t="s">
        <v>237</v>
      </c>
      <c r="C255" s="87">
        <v>0.1545</v>
      </c>
      <c r="D255" s="167">
        <v>50577.0</v>
      </c>
      <c r="E255" s="168">
        <v>46225.0</v>
      </c>
      <c r="F255" s="168">
        <v>46230.0</v>
      </c>
      <c r="G255" s="87">
        <f t="shared" si="40"/>
        <v>0.177499999</v>
      </c>
      <c r="H255" s="63">
        <v>88.702862</v>
      </c>
      <c r="I255" s="63">
        <v>5.0E8</v>
      </c>
      <c r="J255" s="15">
        <f t="shared" si="31"/>
        <v>451112670.7</v>
      </c>
      <c r="K255" s="15">
        <f t="shared" si="18"/>
        <v>443514310</v>
      </c>
      <c r="L255" s="15">
        <f t="shared" si="41"/>
        <v>7598360.656</v>
      </c>
    </row>
    <row r="256">
      <c r="A256" s="57" t="s">
        <v>12</v>
      </c>
      <c r="B256" s="57" t="s">
        <v>238</v>
      </c>
      <c r="C256" s="87"/>
      <c r="D256" s="167">
        <v>46583.0</v>
      </c>
      <c r="E256" s="168">
        <v>46225.0</v>
      </c>
      <c r="F256" s="168">
        <v>46227.0</v>
      </c>
      <c r="G256" s="87">
        <v>0.1725</v>
      </c>
      <c r="H256" s="171">
        <f t="shared" ref="H256:H257" si="42">PRICEDISC(F256,D256,G256,100,1)</f>
        <v>83.17534247</v>
      </c>
      <c r="I256" s="63">
        <v>5.0E8</v>
      </c>
      <c r="J256" s="15">
        <f t="shared" si="31"/>
        <v>415876712.3</v>
      </c>
      <c r="K256" s="15">
        <f t="shared" si="18"/>
        <v>415876712.3</v>
      </c>
      <c r="L256" s="15" t="str">
        <f t="shared" si="41"/>
        <v/>
      </c>
    </row>
    <row r="257">
      <c r="A257" s="57" t="s">
        <v>12</v>
      </c>
      <c r="B257" s="57" t="s">
        <v>238</v>
      </c>
      <c r="C257" s="87"/>
      <c r="D257" s="167">
        <v>46583.0</v>
      </c>
      <c r="E257" s="168">
        <v>46226.0</v>
      </c>
      <c r="F257" s="168">
        <v>46230.0</v>
      </c>
      <c r="G257" s="87">
        <v>0.172</v>
      </c>
      <c r="H257" s="171">
        <f t="shared" si="42"/>
        <v>83.36547945</v>
      </c>
      <c r="I257" s="63">
        <v>1.0E9</v>
      </c>
      <c r="J257" s="15">
        <f t="shared" si="31"/>
        <v>833654794.5</v>
      </c>
      <c r="K257" s="15">
        <f t="shared" si="18"/>
        <v>833654794.5</v>
      </c>
      <c r="L257" s="15" t="str">
        <f t="shared" si="41"/>
        <v/>
      </c>
    </row>
    <row r="258">
      <c r="A258" s="57" t="s">
        <v>12</v>
      </c>
      <c r="B258" s="57" t="s">
        <v>171</v>
      </c>
      <c r="C258" s="87">
        <v>0.162499</v>
      </c>
      <c r="D258" s="167">
        <v>50148.0</v>
      </c>
      <c r="E258" s="168">
        <v>46226.0</v>
      </c>
      <c r="F258" s="168">
        <v>46231.0</v>
      </c>
      <c r="G258" s="87">
        <f t="shared" ref="G258:G259" si="43">IFERROR(YIELD(F258,D258,C258,H258,100,2,1),"")</f>
        <v>0.1770692801</v>
      </c>
      <c r="H258" s="63">
        <v>93.02</v>
      </c>
      <c r="I258" s="63">
        <v>5.0E8</v>
      </c>
      <c r="J258" s="15">
        <f t="shared" si="31"/>
        <v>487521310.1</v>
      </c>
      <c r="K258" s="15">
        <f t="shared" si="18"/>
        <v>465100000</v>
      </c>
      <c r="L258" s="15">
        <f t="shared" si="41"/>
        <v>22421310.11</v>
      </c>
    </row>
    <row r="259">
      <c r="A259" s="1" t="s">
        <v>12</v>
      </c>
      <c r="B259" s="1" t="s">
        <v>144</v>
      </c>
      <c r="C259" s="62">
        <v>0.226</v>
      </c>
      <c r="D259" s="52">
        <v>49338.0</v>
      </c>
      <c r="E259" s="168">
        <v>46226.0</v>
      </c>
      <c r="F259" s="168">
        <v>46231.0</v>
      </c>
      <c r="G259" s="87">
        <f t="shared" si="43"/>
        <v>0.1772</v>
      </c>
      <c r="H259" s="63">
        <v>121.035672</v>
      </c>
      <c r="I259" s="63">
        <v>5.0E8</v>
      </c>
      <c r="J259" s="15">
        <f t="shared" si="31"/>
        <v>661366205.3</v>
      </c>
      <c r="K259" s="15">
        <f t="shared" si="18"/>
        <v>605178360</v>
      </c>
      <c r="L259" s="15">
        <f t="shared" si="41"/>
        <v>56187845.3</v>
      </c>
    </row>
    <row r="260">
      <c r="A260" s="57" t="s">
        <v>12</v>
      </c>
      <c r="B260" s="57" t="s">
        <v>239</v>
      </c>
      <c r="C260" s="87"/>
      <c r="D260" s="167">
        <v>46597.0</v>
      </c>
      <c r="E260" s="168">
        <v>46233.0</v>
      </c>
      <c r="F260" s="168">
        <v>46234.0</v>
      </c>
      <c r="G260" s="87">
        <v>0.1697</v>
      </c>
      <c r="H260" s="171">
        <f t="shared" ref="H260:H265" si="44">PRICEDISC(F260,D260,G260,100,1)</f>
        <v>83.1229863</v>
      </c>
      <c r="I260" s="63">
        <v>3.0E9</v>
      </c>
      <c r="J260" s="15">
        <f t="shared" si="31"/>
        <v>2493689589</v>
      </c>
      <c r="K260" s="15">
        <f t="shared" si="18"/>
        <v>2493689589</v>
      </c>
      <c r="L260" s="15" t="str">
        <f t="shared" si="41"/>
        <v/>
      </c>
    </row>
    <row r="261">
      <c r="A261" s="57" t="s">
        <v>12</v>
      </c>
      <c r="B261" s="57" t="s">
        <v>239</v>
      </c>
      <c r="C261" s="87"/>
      <c r="D261" s="167">
        <v>46597.0</v>
      </c>
      <c r="E261" s="168">
        <v>46233.0</v>
      </c>
      <c r="F261" s="168">
        <v>46237.0</v>
      </c>
      <c r="G261" s="87">
        <v>0.1698</v>
      </c>
      <c r="H261" s="171">
        <f t="shared" si="44"/>
        <v>83.25260274</v>
      </c>
      <c r="I261" s="63">
        <v>3.0E9</v>
      </c>
      <c r="J261" s="15">
        <f t="shared" si="31"/>
        <v>2497578082</v>
      </c>
      <c r="K261" s="15">
        <f t="shared" si="18"/>
        <v>2497578082</v>
      </c>
      <c r="L261" s="15" t="str">
        <f t="shared" si="41"/>
        <v/>
      </c>
    </row>
    <row r="262">
      <c r="A262" s="57" t="s">
        <v>12</v>
      </c>
      <c r="B262" s="57" t="s">
        <v>240</v>
      </c>
      <c r="C262" s="87"/>
      <c r="D262" s="167">
        <v>46611.0</v>
      </c>
      <c r="E262" s="168">
        <v>46247.0</v>
      </c>
      <c r="F262" s="168">
        <v>46248.0</v>
      </c>
      <c r="G262" s="87">
        <v>0.173</v>
      </c>
      <c r="H262" s="171">
        <f t="shared" si="44"/>
        <v>82.79479452</v>
      </c>
      <c r="I262" s="63">
        <v>2.0E9</v>
      </c>
      <c r="J262" s="15">
        <f t="shared" si="31"/>
        <v>1655895890</v>
      </c>
      <c r="K262" s="15">
        <f t="shared" si="18"/>
        <v>1655895890</v>
      </c>
      <c r="L262" s="15" t="str">
        <f t="shared" si="41"/>
        <v/>
      </c>
    </row>
    <row r="263">
      <c r="A263" s="57" t="s">
        <v>12</v>
      </c>
      <c r="B263" s="57" t="s">
        <v>240</v>
      </c>
      <c r="C263" s="87"/>
      <c r="D263" s="167">
        <v>46611.0</v>
      </c>
      <c r="E263" s="168">
        <v>46247.0</v>
      </c>
      <c r="F263" s="168">
        <v>46248.0</v>
      </c>
      <c r="G263" s="87">
        <v>0.173</v>
      </c>
      <c r="H263" s="171">
        <f t="shared" si="44"/>
        <v>82.79479452</v>
      </c>
      <c r="I263" s="63">
        <v>1.0E9</v>
      </c>
      <c r="J263" s="15">
        <f t="shared" si="31"/>
        <v>827947945.2</v>
      </c>
      <c r="K263" s="15">
        <f t="shared" si="18"/>
        <v>827947945.2</v>
      </c>
      <c r="L263" s="15" t="str">
        <f t="shared" si="41"/>
        <v/>
      </c>
    </row>
    <row r="264">
      <c r="A264" s="57" t="s">
        <v>12</v>
      </c>
      <c r="B264" s="57" t="s">
        <v>240</v>
      </c>
      <c r="C264" s="87"/>
      <c r="D264" s="167">
        <v>46611.0</v>
      </c>
      <c r="E264" s="168">
        <v>46247.0</v>
      </c>
      <c r="F264" s="168">
        <v>46248.0</v>
      </c>
      <c r="G264" s="87">
        <v>0.173</v>
      </c>
      <c r="H264" s="171">
        <f t="shared" si="44"/>
        <v>82.79479452</v>
      </c>
      <c r="I264" s="63">
        <v>1.0E9</v>
      </c>
      <c r="J264" s="15">
        <f t="shared" si="31"/>
        <v>827947945.2</v>
      </c>
      <c r="K264" s="15">
        <f t="shared" si="18"/>
        <v>827947945.2</v>
      </c>
      <c r="L264" s="15" t="str">
        <f t="shared" si="41"/>
        <v/>
      </c>
    </row>
    <row r="265">
      <c r="A265" s="57" t="s">
        <v>12</v>
      </c>
      <c r="B265" s="57" t="s">
        <v>240</v>
      </c>
      <c r="C265" s="87"/>
      <c r="D265" s="167">
        <v>46611.0</v>
      </c>
      <c r="E265" s="168">
        <v>46247.0</v>
      </c>
      <c r="F265" s="168">
        <v>46251.0</v>
      </c>
      <c r="G265" s="87">
        <v>0.173</v>
      </c>
      <c r="H265" s="171">
        <f t="shared" si="44"/>
        <v>82.9369863</v>
      </c>
      <c r="I265" s="63">
        <v>2.0E9</v>
      </c>
      <c r="J265" s="15">
        <f t="shared" si="31"/>
        <v>1658739726</v>
      </c>
      <c r="K265" s="15">
        <f t="shared" si="18"/>
        <v>1658739726</v>
      </c>
      <c r="L265" s="15" t="str">
        <f t="shared" si="41"/>
        <v/>
      </c>
    </row>
    <row r="266">
      <c r="A266" s="57" t="s">
        <v>12</v>
      </c>
      <c r="B266" s="57" t="s">
        <v>237</v>
      </c>
      <c r="C266" s="87">
        <v>0.1545</v>
      </c>
      <c r="D266" s="167">
        <v>50577.0</v>
      </c>
      <c r="E266" s="168">
        <v>46251.0</v>
      </c>
      <c r="F266" s="168">
        <v>46253.0</v>
      </c>
      <c r="G266" s="87">
        <f>IFERROR(YIELD(F266,D266,C266,H266,100,2,1),"")</f>
        <v>0.1778999999</v>
      </c>
      <c r="H266" s="63">
        <v>88.5239756343</v>
      </c>
      <c r="I266" s="63">
        <v>2.0E9</v>
      </c>
      <c r="J266" s="15">
        <f t="shared" si="31"/>
        <v>1820290988</v>
      </c>
      <c r="K266" s="15">
        <f t="shared" si="18"/>
        <v>1770479513</v>
      </c>
      <c r="L266" s="15">
        <f t="shared" si="41"/>
        <v>49811475.41</v>
      </c>
    </row>
    <row r="267">
      <c r="A267" s="57" t="s">
        <v>12</v>
      </c>
      <c r="B267" s="57" t="s">
        <v>240</v>
      </c>
      <c r="C267" s="87"/>
      <c r="D267" s="167">
        <v>46611.0</v>
      </c>
      <c r="E267" s="168">
        <v>46253.0</v>
      </c>
      <c r="F267" s="168">
        <v>46254.0</v>
      </c>
      <c r="G267" s="87">
        <v>0.1716</v>
      </c>
      <c r="H267" s="171">
        <f t="shared" ref="H267:H270" si="45">PRICEDISC(F267,D267,G267,100,1)</f>
        <v>83.21610959</v>
      </c>
      <c r="I267" s="63">
        <v>1.0E9</v>
      </c>
      <c r="J267" s="15">
        <f t="shared" si="31"/>
        <v>832161095.9</v>
      </c>
      <c r="K267" s="15">
        <f t="shared" si="18"/>
        <v>832161095.9</v>
      </c>
      <c r="L267" s="15" t="str">
        <f t="shared" si="41"/>
        <v/>
      </c>
    </row>
    <row r="268">
      <c r="A268" s="57" t="s">
        <v>12</v>
      </c>
      <c r="B268" s="57" t="s">
        <v>240</v>
      </c>
      <c r="C268" s="87"/>
      <c r="D268" s="167">
        <v>46611.0</v>
      </c>
      <c r="E268" s="168">
        <v>46253.0</v>
      </c>
      <c r="F268" s="168">
        <v>46254.0</v>
      </c>
      <c r="G268" s="87">
        <v>0.1718</v>
      </c>
      <c r="H268" s="171">
        <f t="shared" si="45"/>
        <v>83.19654795</v>
      </c>
      <c r="I268" s="63">
        <v>1.0E9</v>
      </c>
      <c r="J268" s="15">
        <f t="shared" si="31"/>
        <v>831965479.5</v>
      </c>
      <c r="K268" s="15">
        <f t="shared" si="18"/>
        <v>831965479.5</v>
      </c>
      <c r="L268" s="15" t="str">
        <f t="shared" si="41"/>
        <v/>
      </c>
    </row>
    <row r="269">
      <c r="A269" s="57" t="s">
        <v>12</v>
      </c>
      <c r="B269" s="57" t="s">
        <v>240</v>
      </c>
      <c r="C269" s="87"/>
      <c r="D269" s="167">
        <v>46611.0</v>
      </c>
      <c r="E269" s="168">
        <v>46253.0</v>
      </c>
      <c r="F269" s="168">
        <v>46255.0</v>
      </c>
      <c r="G269" s="87">
        <v>0.1718</v>
      </c>
      <c r="H269" s="171">
        <f t="shared" si="45"/>
        <v>83.24361644</v>
      </c>
      <c r="I269" s="63">
        <v>1.0E9</v>
      </c>
      <c r="J269" s="15">
        <f t="shared" si="31"/>
        <v>832436164.4</v>
      </c>
      <c r="K269" s="15">
        <f t="shared" si="18"/>
        <v>832436164.4</v>
      </c>
      <c r="L269" s="15" t="str">
        <f t="shared" si="41"/>
        <v/>
      </c>
    </row>
    <row r="270">
      <c r="A270" s="57" t="s">
        <v>12</v>
      </c>
      <c r="B270" s="57" t="s">
        <v>240</v>
      </c>
      <c r="C270" s="87"/>
      <c r="D270" s="167">
        <v>46611.0</v>
      </c>
      <c r="E270" s="168">
        <v>46253.0</v>
      </c>
      <c r="F270" s="168">
        <v>46255.0</v>
      </c>
      <c r="G270" s="87">
        <v>0.1717</v>
      </c>
      <c r="H270" s="171">
        <f t="shared" si="45"/>
        <v>83.25336986</v>
      </c>
      <c r="I270" s="63">
        <v>1.5E9</v>
      </c>
      <c r="J270" s="15">
        <f t="shared" si="31"/>
        <v>1248800548</v>
      </c>
      <c r="K270" s="15">
        <f t="shared" si="18"/>
        <v>1248800548</v>
      </c>
      <c r="L270" s="15" t="str">
        <f t="shared" si="41"/>
        <v/>
      </c>
    </row>
  </sheetData>
  <dataValidations>
    <dataValidation type="list" allowBlank="1" showErrorMessage="1" sqref="A1:A270">
      <formula1>"Sell,Buy"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11.14"/>
    <col customWidth="1" min="4" max="4" width="22.71"/>
    <col customWidth="1" min="5" max="6" width="13.86"/>
    <col customWidth="1" min="7" max="7" width="17.86"/>
    <col customWidth="1" min="8" max="8" width="15.14"/>
    <col customWidth="1" min="9" max="26" width="9.14"/>
  </cols>
  <sheetData>
    <row r="1" ht="14.25" hidden="1" customHeight="1">
      <c r="A1" s="235"/>
      <c r="B1" s="236"/>
      <c r="C1" s="236"/>
      <c r="D1" s="236"/>
      <c r="E1" s="236"/>
      <c r="F1" s="236"/>
      <c r="G1" s="236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 ht="14.25" hidden="1" customHeight="1">
      <c r="A2" s="237"/>
      <c r="B2" s="238"/>
      <c r="C2" s="238"/>
      <c r="D2" s="238"/>
      <c r="E2" s="238"/>
      <c r="F2" s="238"/>
      <c r="G2" s="238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 ht="14.25" customHeight="1">
      <c r="A3" s="236"/>
      <c r="B3" s="239">
        <v>0.0</v>
      </c>
      <c r="C3" s="239" t="s">
        <v>241</v>
      </c>
      <c r="D3" s="240" t="s">
        <v>242</v>
      </c>
      <c r="E3" s="240" t="s">
        <v>243</v>
      </c>
      <c r="F3" s="240" t="s">
        <v>244</v>
      </c>
      <c r="G3" s="240" t="s">
        <v>245</v>
      </c>
      <c r="H3" s="240" t="s">
        <v>246</v>
      </c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</row>
    <row r="4" ht="14.25" customHeight="1">
      <c r="A4" s="235"/>
      <c r="B4" s="241">
        <f t="shared" ref="B4:B147" si="1">B3+1</f>
        <v>1</v>
      </c>
      <c r="C4" s="236"/>
      <c r="D4" s="236" t="s">
        <v>247</v>
      </c>
      <c r="E4" s="242">
        <v>0.105</v>
      </c>
      <c r="F4" s="243">
        <v>44488.0</v>
      </c>
      <c r="G4" s="236" t="s">
        <v>248</v>
      </c>
      <c r="H4" s="235" t="s">
        <v>249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ht="14.25" customHeight="1">
      <c r="A5" s="235"/>
      <c r="B5" s="241">
        <f t="shared" si="1"/>
        <v>2</v>
      </c>
      <c r="C5" s="236"/>
      <c r="D5" s="236" t="s">
        <v>250</v>
      </c>
      <c r="E5" s="242">
        <v>0.06927</v>
      </c>
      <c r="F5" s="243">
        <v>46437.0</v>
      </c>
      <c r="G5" s="236" t="s">
        <v>251</v>
      </c>
      <c r="H5" s="235" t="s">
        <v>252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ht="14.25" customHeight="1">
      <c r="A6" s="235"/>
      <c r="B6" s="241">
        <f t="shared" si="1"/>
        <v>3</v>
      </c>
      <c r="C6" s="236"/>
      <c r="D6" s="236" t="s">
        <v>166</v>
      </c>
      <c r="E6" s="242">
        <v>0.0825</v>
      </c>
      <c r="F6" s="243">
        <v>46882.0</v>
      </c>
      <c r="G6" s="236" t="s">
        <v>248</v>
      </c>
      <c r="H6" s="235" t="s">
        <v>253</v>
      </c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ht="14.25" customHeight="1">
      <c r="A7" s="235"/>
      <c r="B7" s="241">
        <f t="shared" si="1"/>
        <v>4</v>
      </c>
      <c r="C7" s="236"/>
      <c r="D7" s="236" t="s">
        <v>254</v>
      </c>
      <c r="E7" s="242">
        <v>0.08</v>
      </c>
      <c r="F7" s="243">
        <v>47448.0</v>
      </c>
      <c r="G7" s="236" t="s">
        <v>248</v>
      </c>
      <c r="H7" s="235" t="s">
        <v>253</v>
      </c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ht="14.25" customHeight="1">
      <c r="A8" s="235"/>
      <c r="B8" s="241">
        <f t="shared" si="1"/>
        <v>5</v>
      </c>
      <c r="C8" s="236"/>
      <c r="D8" s="236" t="s">
        <v>168</v>
      </c>
      <c r="E8" s="242">
        <v>0.095</v>
      </c>
      <c r="F8" s="243">
        <v>45973.0</v>
      </c>
      <c r="G8" s="236" t="s">
        <v>248</v>
      </c>
      <c r="H8" s="235" t="s">
        <v>253</v>
      </c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</row>
    <row r="9" ht="14.25" customHeight="1">
      <c r="A9" s="235"/>
      <c r="B9" s="241">
        <f t="shared" si="1"/>
        <v>6</v>
      </c>
      <c r="C9" s="236"/>
      <c r="D9" s="236" t="s">
        <v>114</v>
      </c>
      <c r="E9" s="242">
        <v>0.09125</v>
      </c>
      <c r="F9" s="243">
        <v>54753.0</v>
      </c>
      <c r="G9" s="236" t="s">
        <v>248</v>
      </c>
      <c r="H9" s="235" t="s">
        <v>253</v>
      </c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 ht="14.25" customHeight="1">
      <c r="A10" s="235"/>
      <c r="B10" s="241">
        <f t="shared" si="1"/>
        <v>7</v>
      </c>
      <c r="C10" s="236"/>
      <c r="D10" s="236" t="s">
        <v>109</v>
      </c>
      <c r="E10" s="242">
        <v>0.09375</v>
      </c>
      <c r="F10" s="243">
        <v>54186.0</v>
      </c>
      <c r="G10" s="236" t="s">
        <v>248</v>
      </c>
      <c r="H10" s="235" t="s">
        <v>253</v>
      </c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 ht="14.25" customHeight="1">
      <c r="A11" s="235"/>
      <c r="B11" s="241">
        <f t="shared" si="1"/>
        <v>8</v>
      </c>
      <c r="C11" s="236"/>
      <c r="D11" s="236" t="s">
        <v>255</v>
      </c>
      <c r="E11" s="242">
        <v>0.0786688</v>
      </c>
      <c r="F11" s="243">
        <v>45108.0</v>
      </c>
      <c r="G11" s="236" t="s">
        <v>251</v>
      </c>
      <c r="H11" s="235" t="s">
        <v>256</v>
      </c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</row>
    <row r="12" ht="14.25" customHeight="1">
      <c r="A12" s="235"/>
      <c r="B12" s="241">
        <f t="shared" si="1"/>
        <v>9</v>
      </c>
      <c r="C12" s="236"/>
      <c r="D12" s="236" t="s">
        <v>257</v>
      </c>
      <c r="E12" s="242">
        <v>0.049805</v>
      </c>
      <c r="F12" s="243">
        <v>45267.0</v>
      </c>
      <c r="G12" s="236" t="s">
        <v>251</v>
      </c>
      <c r="H12" s="235" t="s">
        <v>256</v>
      </c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</row>
    <row r="13" ht="14.25" customHeight="1">
      <c r="A13" s="235"/>
      <c r="B13" s="241">
        <f t="shared" si="1"/>
        <v>10</v>
      </c>
      <c r="C13" s="236"/>
      <c r="D13" s="236" t="s">
        <v>258</v>
      </c>
      <c r="E13" s="242">
        <v>0.0575</v>
      </c>
      <c r="F13" s="243">
        <v>46107.0</v>
      </c>
      <c r="G13" s="236" t="s">
        <v>251</v>
      </c>
      <c r="H13" s="235" t="s">
        <v>259</v>
      </c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</row>
    <row r="14" ht="14.25" customHeight="1">
      <c r="A14" s="235"/>
      <c r="B14" s="241">
        <f t="shared" si="1"/>
        <v>11</v>
      </c>
      <c r="C14" s="236"/>
      <c r="D14" s="236" t="s">
        <v>258</v>
      </c>
      <c r="E14" s="242">
        <v>0.0575</v>
      </c>
      <c r="F14" s="243">
        <v>46107.0</v>
      </c>
      <c r="G14" s="236" t="s">
        <v>251</v>
      </c>
      <c r="H14" s="235" t="s">
        <v>259</v>
      </c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</row>
    <row r="15" ht="14.25" customHeight="1">
      <c r="A15" s="235"/>
      <c r="B15" s="241">
        <f t="shared" si="1"/>
        <v>12</v>
      </c>
      <c r="C15" s="236"/>
      <c r="D15" s="236" t="s">
        <v>260</v>
      </c>
      <c r="E15" s="242">
        <v>0.0455</v>
      </c>
      <c r="F15" s="243">
        <v>45250.0</v>
      </c>
      <c r="G15" s="236" t="s">
        <v>248</v>
      </c>
      <c r="H15" s="235" t="s">
        <v>261</v>
      </c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</row>
    <row r="16" ht="14.25" customHeight="1">
      <c r="A16" s="235"/>
      <c r="B16" s="241">
        <f t="shared" si="1"/>
        <v>13</v>
      </c>
      <c r="C16" s="236"/>
      <c r="D16" s="236" t="s">
        <v>262</v>
      </c>
      <c r="E16" s="242">
        <v>0.0575</v>
      </c>
      <c r="F16" s="243">
        <v>45441.0</v>
      </c>
      <c r="G16" s="236" t="s">
        <v>248</v>
      </c>
      <c r="H16" s="235" t="s">
        <v>261</v>
      </c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</row>
    <row r="17" ht="14.25" customHeight="1">
      <c r="A17" s="235"/>
      <c r="B17" s="241">
        <f t="shared" si="1"/>
        <v>14</v>
      </c>
      <c r="C17" s="236"/>
      <c r="D17" s="236" t="s">
        <v>263</v>
      </c>
      <c r="E17" s="242">
        <v>0.05875</v>
      </c>
      <c r="F17" s="243">
        <v>45819.0</v>
      </c>
      <c r="G17" s="236" t="s">
        <v>248</v>
      </c>
      <c r="H17" s="235" t="s">
        <v>261</v>
      </c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</row>
    <row r="18" ht="14.25" customHeight="1">
      <c r="A18" s="235"/>
      <c r="B18" s="241">
        <f t="shared" si="1"/>
        <v>15</v>
      </c>
      <c r="C18" s="236"/>
      <c r="D18" s="236" t="s">
        <v>264</v>
      </c>
      <c r="E18" s="242">
        <v>0.05577</v>
      </c>
      <c r="F18" s="243">
        <v>44978.0</v>
      </c>
      <c r="G18" s="236" t="s">
        <v>248</v>
      </c>
      <c r="H18" s="235" t="s">
        <v>261</v>
      </c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</row>
    <row r="19" ht="14.25" customHeight="1">
      <c r="A19" s="235"/>
      <c r="B19" s="241">
        <f t="shared" si="1"/>
        <v>16</v>
      </c>
      <c r="C19" s="236"/>
      <c r="D19" s="236" t="s">
        <v>265</v>
      </c>
      <c r="E19" s="242">
        <v>0.06125</v>
      </c>
      <c r="F19" s="243">
        <v>44592.0</v>
      </c>
      <c r="G19" s="236" t="s">
        <v>248</v>
      </c>
      <c r="H19" s="235" t="s">
        <v>261</v>
      </c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</row>
    <row r="20" ht="14.25" customHeight="1">
      <c r="A20" s="235"/>
      <c r="B20" s="241">
        <f t="shared" si="1"/>
        <v>17</v>
      </c>
      <c r="C20" s="236"/>
      <c r="D20" s="236" t="s">
        <v>266</v>
      </c>
      <c r="E20" s="242">
        <v>0.0675</v>
      </c>
      <c r="F20" s="243">
        <v>45606.0</v>
      </c>
      <c r="G20" s="236" t="s">
        <v>248</v>
      </c>
      <c r="H20" s="235" t="s">
        <v>261</v>
      </c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</row>
    <row r="21" ht="14.25" customHeight="1">
      <c r="A21" s="235"/>
      <c r="B21" s="241">
        <f t="shared" si="1"/>
        <v>18</v>
      </c>
      <c r="C21" s="236"/>
      <c r="D21" s="236" t="s">
        <v>267</v>
      </c>
      <c r="E21" s="242">
        <v>0.06875</v>
      </c>
      <c r="F21" s="243">
        <v>51256.0</v>
      </c>
      <c r="G21" s="236" t="s">
        <v>248</v>
      </c>
      <c r="H21" s="235" t="s">
        <v>261</v>
      </c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</row>
    <row r="22" ht="14.25" customHeight="1">
      <c r="A22" s="235"/>
      <c r="B22" s="241">
        <f t="shared" si="1"/>
        <v>19</v>
      </c>
      <c r="C22" s="236"/>
      <c r="D22" s="236" t="s">
        <v>268</v>
      </c>
      <c r="E22" s="242">
        <v>0.062004000000000004</v>
      </c>
      <c r="F22" s="243">
        <v>45352.0</v>
      </c>
      <c r="G22" s="236" t="s">
        <v>248</v>
      </c>
      <c r="H22" s="235" t="s">
        <v>261</v>
      </c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</row>
    <row r="23" ht="14.25" customHeight="1">
      <c r="A23" s="235"/>
      <c r="B23" s="241">
        <f t="shared" si="1"/>
        <v>20</v>
      </c>
      <c r="C23" s="236"/>
      <c r="D23" s="236" t="s">
        <v>269</v>
      </c>
      <c r="E23" s="242">
        <v>0.06588</v>
      </c>
      <c r="F23" s="243">
        <v>46804.0</v>
      </c>
      <c r="G23" s="236" t="s">
        <v>248</v>
      </c>
      <c r="H23" s="235" t="s">
        <v>261</v>
      </c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</row>
    <row r="24" ht="14.25" customHeight="1">
      <c r="A24" s="235"/>
      <c r="B24" s="241">
        <f t="shared" si="1"/>
        <v>21</v>
      </c>
      <c r="C24" s="236"/>
      <c r="D24" s="236" t="s">
        <v>270</v>
      </c>
      <c r="E24" s="242">
        <v>0.075</v>
      </c>
      <c r="F24" s="243">
        <v>46418.0</v>
      </c>
      <c r="G24" s="236" t="s">
        <v>248</v>
      </c>
      <c r="H24" s="235" t="s">
        <v>261</v>
      </c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</row>
    <row r="25" ht="14.25" customHeight="1">
      <c r="A25" s="235"/>
      <c r="B25" s="241">
        <f t="shared" si="1"/>
        <v>22</v>
      </c>
      <c r="C25" s="236"/>
      <c r="D25" s="236" t="s">
        <v>271</v>
      </c>
      <c r="E25" s="242">
        <v>0.07125</v>
      </c>
      <c r="F25" s="243">
        <v>46336.0</v>
      </c>
      <c r="G25" s="236" t="s">
        <v>248</v>
      </c>
      <c r="H25" s="235" t="s">
        <v>261</v>
      </c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</row>
    <row r="26" ht="14.25" customHeight="1">
      <c r="A26" s="235"/>
      <c r="B26" s="241">
        <f t="shared" si="1"/>
        <v>23</v>
      </c>
      <c r="C26" s="236"/>
      <c r="D26" s="236" t="s">
        <v>272</v>
      </c>
      <c r="E26" s="242">
        <v>0.07</v>
      </c>
      <c r="F26" s="243">
        <v>47067.0</v>
      </c>
      <c r="G26" s="236" t="s">
        <v>248</v>
      </c>
      <c r="H26" s="235" t="s">
        <v>261</v>
      </c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</row>
    <row r="27" ht="14.25" customHeight="1">
      <c r="A27" s="235"/>
      <c r="B27" s="241">
        <f t="shared" si="1"/>
        <v>24</v>
      </c>
      <c r="C27" s="236"/>
      <c r="D27" s="236" t="s">
        <v>273</v>
      </c>
      <c r="E27" s="242">
        <v>0.07625</v>
      </c>
      <c r="F27" s="243">
        <v>48363.0</v>
      </c>
      <c r="G27" s="236" t="s">
        <v>248</v>
      </c>
      <c r="H27" s="235" t="s">
        <v>261</v>
      </c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</row>
    <row r="28" ht="14.25" customHeight="1">
      <c r="A28" s="235"/>
      <c r="B28" s="241">
        <f t="shared" si="1"/>
        <v>25</v>
      </c>
      <c r="C28" s="236"/>
      <c r="D28" s="236" t="s">
        <v>274</v>
      </c>
      <c r="E28" s="242">
        <v>0.07625</v>
      </c>
      <c r="F28" s="243">
        <v>47797.0</v>
      </c>
      <c r="G28" s="236" t="s">
        <v>248</v>
      </c>
      <c r="H28" s="235" t="s">
        <v>261</v>
      </c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</row>
    <row r="29" ht="14.25" customHeight="1">
      <c r="A29" s="235"/>
      <c r="B29" s="241">
        <f t="shared" si="1"/>
        <v>26</v>
      </c>
      <c r="C29" s="236"/>
      <c r="D29" s="236" t="s">
        <v>275</v>
      </c>
      <c r="E29" s="242">
        <v>0.07052900000000001</v>
      </c>
      <c r="F29" s="243">
        <v>48228.0</v>
      </c>
      <c r="G29" s="236" t="s">
        <v>248</v>
      </c>
      <c r="H29" s="235" t="s">
        <v>261</v>
      </c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</row>
    <row r="30" ht="14.25" customHeight="1">
      <c r="A30" s="235"/>
      <c r="B30" s="241">
        <f t="shared" si="1"/>
        <v>27</v>
      </c>
      <c r="C30" s="236"/>
      <c r="D30" s="236" t="s">
        <v>276</v>
      </c>
      <c r="E30" s="242">
        <v>0.076003</v>
      </c>
      <c r="F30" s="243">
        <v>47178.0</v>
      </c>
      <c r="G30" s="236" t="s">
        <v>248</v>
      </c>
      <c r="H30" s="235" t="s">
        <v>261</v>
      </c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</row>
    <row r="31" ht="14.25" customHeight="1">
      <c r="A31" s="235"/>
      <c r="B31" s="241">
        <f t="shared" si="1"/>
        <v>28</v>
      </c>
      <c r="C31" s="236"/>
      <c r="D31" s="236" t="s">
        <v>277</v>
      </c>
      <c r="E31" s="242">
        <v>0.07902999999999999</v>
      </c>
      <c r="F31" s="243">
        <v>54109.0</v>
      </c>
      <c r="G31" s="236" t="s">
        <v>248</v>
      </c>
      <c r="H31" s="235" t="s">
        <v>261</v>
      </c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</row>
    <row r="32" ht="14.25" customHeight="1">
      <c r="A32" s="235"/>
      <c r="B32" s="241">
        <f t="shared" si="1"/>
        <v>29</v>
      </c>
      <c r="C32" s="236"/>
      <c r="D32" s="236" t="s">
        <v>141</v>
      </c>
      <c r="E32" s="242">
        <v>0.085</v>
      </c>
      <c r="F32" s="243">
        <v>53723.0</v>
      </c>
      <c r="G32" s="236" t="s">
        <v>248</v>
      </c>
      <c r="H32" s="235" t="s">
        <v>261</v>
      </c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</row>
    <row r="33" ht="14.25" customHeight="1">
      <c r="A33" s="235"/>
      <c r="B33" s="241">
        <f t="shared" si="1"/>
        <v>30</v>
      </c>
      <c r="C33" s="236"/>
      <c r="D33" s="236" t="s">
        <v>106</v>
      </c>
      <c r="E33" s="242">
        <v>0.08875</v>
      </c>
      <c r="F33" s="243">
        <v>54937.0</v>
      </c>
      <c r="G33" s="236" t="s">
        <v>248</v>
      </c>
      <c r="H33" s="235" t="s">
        <v>261</v>
      </c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</row>
    <row r="34" ht="14.25" customHeight="1">
      <c r="A34" s="235"/>
      <c r="B34" s="241">
        <f t="shared" si="1"/>
        <v>31</v>
      </c>
      <c r="C34" s="236"/>
      <c r="D34" s="236" t="s">
        <v>278</v>
      </c>
      <c r="E34" s="242">
        <v>0.0815</v>
      </c>
      <c r="F34" s="243">
        <v>58399.0</v>
      </c>
      <c r="G34" s="236" t="s">
        <v>248</v>
      </c>
      <c r="H34" s="235" t="s">
        <v>261</v>
      </c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</row>
    <row r="35" ht="14.25" customHeight="1">
      <c r="A35" s="235"/>
      <c r="B35" s="241">
        <f t="shared" si="1"/>
        <v>32</v>
      </c>
      <c r="C35" s="236"/>
      <c r="D35" s="236" t="s">
        <v>206</v>
      </c>
      <c r="E35" s="242">
        <v>0.08700200000000001</v>
      </c>
      <c r="F35" s="243">
        <v>54483.0</v>
      </c>
      <c r="G35" s="236" t="s">
        <v>248</v>
      </c>
      <c r="H35" s="235" t="s">
        <v>261</v>
      </c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</row>
    <row r="36" ht="14.25" customHeight="1">
      <c r="A36" s="235"/>
      <c r="B36" s="241">
        <f t="shared" si="1"/>
        <v>33</v>
      </c>
      <c r="C36" s="236"/>
      <c r="D36" s="236" t="s">
        <v>279</v>
      </c>
      <c r="E36" s="242">
        <v>0.06625</v>
      </c>
      <c r="F36" s="243">
        <v>45637.0</v>
      </c>
      <c r="G36" s="236" t="s">
        <v>248</v>
      </c>
      <c r="H36" s="235" t="s">
        <v>280</v>
      </c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</row>
    <row r="37" ht="14.25" customHeight="1">
      <c r="A37" s="235"/>
      <c r="B37" s="241">
        <f t="shared" si="1"/>
        <v>34</v>
      </c>
      <c r="C37" s="236"/>
      <c r="D37" s="236" t="s">
        <v>281</v>
      </c>
      <c r="E37" s="242">
        <v>0.095</v>
      </c>
      <c r="F37" s="243">
        <v>45400.0</v>
      </c>
      <c r="G37" s="236" t="s">
        <v>248</v>
      </c>
      <c r="H37" s="235" t="s">
        <v>249</v>
      </c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</row>
    <row r="38" ht="14.25" customHeight="1">
      <c r="A38" s="235"/>
      <c r="B38" s="241">
        <f t="shared" si="1"/>
        <v>35</v>
      </c>
      <c r="C38" s="236"/>
      <c r="D38" s="236" t="s">
        <v>282</v>
      </c>
      <c r="E38" s="244">
        <v>0.08625</v>
      </c>
      <c r="F38" s="243">
        <v>45957.0</v>
      </c>
      <c r="G38" s="236" t="s">
        <v>248</v>
      </c>
      <c r="H38" s="235" t="s">
        <v>249</v>
      </c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</row>
    <row r="39" ht="14.25" customHeight="1">
      <c r="A39" s="235"/>
      <c r="B39" s="241">
        <f t="shared" si="1"/>
        <v>36</v>
      </c>
      <c r="C39" s="236"/>
      <c r="D39" s="236" t="s">
        <v>283</v>
      </c>
      <c r="E39" s="242">
        <v>0.105</v>
      </c>
      <c r="F39" s="243">
        <v>44850.0</v>
      </c>
      <c r="G39" s="236" t="s">
        <v>248</v>
      </c>
      <c r="H39" s="235" t="s">
        <v>249</v>
      </c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</row>
    <row r="40" ht="14.25" customHeight="1">
      <c r="A40" s="235"/>
      <c r="B40" s="241">
        <f t="shared" si="1"/>
        <v>37</v>
      </c>
      <c r="C40" s="236"/>
      <c r="D40" s="236" t="s">
        <v>284</v>
      </c>
      <c r="E40" s="242">
        <v>0.06375</v>
      </c>
      <c r="F40" s="243">
        <v>45638.0</v>
      </c>
      <c r="G40" s="236" t="s">
        <v>251</v>
      </c>
      <c r="H40" s="235" t="s">
        <v>285</v>
      </c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</row>
    <row r="41" ht="14.25" customHeight="1">
      <c r="A41" s="235"/>
      <c r="B41" s="241">
        <f t="shared" si="1"/>
        <v>38</v>
      </c>
      <c r="C41" s="236"/>
      <c r="D41" s="236" t="s">
        <v>286</v>
      </c>
      <c r="E41" s="242">
        <v>0.06625</v>
      </c>
      <c r="F41" s="243">
        <v>47885.0</v>
      </c>
      <c r="G41" s="236" t="s">
        <v>251</v>
      </c>
      <c r="H41" s="235" t="s">
        <v>285</v>
      </c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</row>
    <row r="42" ht="14.25" customHeight="1">
      <c r="A42" s="235"/>
      <c r="B42" s="241">
        <f t="shared" si="1"/>
        <v>39</v>
      </c>
      <c r="C42" s="236"/>
      <c r="D42" s="236" t="s">
        <v>287</v>
      </c>
      <c r="E42" s="242">
        <v>0.0695</v>
      </c>
      <c r="F42" s="243">
        <v>45824.0</v>
      </c>
      <c r="G42" s="236" t="s">
        <v>248</v>
      </c>
      <c r="H42" s="235" t="s">
        <v>285</v>
      </c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</row>
    <row r="43" ht="14.25" customHeight="1">
      <c r="A43" s="235"/>
      <c r="B43" s="241">
        <f t="shared" si="1"/>
        <v>40</v>
      </c>
      <c r="C43" s="236"/>
      <c r="D43" s="236" t="s">
        <v>288</v>
      </c>
      <c r="E43" s="242">
        <v>0.1075</v>
      </c>
      <c r="F43" s="243">
        <v>47770.0</v>
      </c>
      <c r="G43" s="236" t="s">
        <v>251</v>
      </c>
      <c r="H43" s="235" t="s">
        <v>289</v>
      </c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</row>
    <row r="44" ht="14.25" customHeight="1">
      <c r="A44" s="235"/>
      <c r="B44" s="241">
        <f t="shared" si="1"/>
        <v>41</v>
      </c>
      <c r="C44" s="236"/>
      <c r="D44" s="236" t="s">
        <v>290</v>
      </c>
      <c r="E44" s="242">
        <v>0.06375</v>
      </c>
      <c r="F44" s="243">
        <v>46429.0</v>
      </c>
      <c r="G44" s="236" t="s">
        <v>251</v>
      </c>
      <c r="H44" s="235" t="s">
        <v>289</v>
      </c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</row>
    <row r="45" ht="14.25" customHeight="1">
      <c r="A45" s="235"/>
      <c r="B45" s="241">
        <f t="shared" si="1"/>
        <v>42</v>
      </c>
      <c r="C45" s="236"/>
      <c r="D45" s="236" t="s">
        <v>291</v>
      </c>
      <c r="E45" s="242">
        <v>0.07625</v>
      </c>
      <c r="F45" s="243">
        <v>47254.0</v>
      </c>
      <c r="G45" s="236" t="s">
        <v>251</v>
      </c>
      <c r="H45" s="235" t="s">
        <v>289</v>
      </c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</row>
    <row r="46" ht="14.25" customHeight="1">
      <c r="A46" s="235"/>
      <c r="B46" s="241">
        <f t="shared" si="1"/>
        <v>43</v>
      </c>
      <c r="C46" s="236"/>
      <c r="D46" s="236" t="s">
        <v>292</v>
      </c>
      <c r="E46" s="242">
        <v>0.07875</v>
      </c>
      <c r="F46" s="243">
        <v>49351.0</v>
      </c>
      <c r="G46" s="236" t="s">
        <v>251</v>
      </c>
      <c r="H46" s="235" t="s">
        <v>289</v>
      </c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</row>
    <row r="47" ht="14.25" customHeight="1">
      <c r="A47" s="235"/>
      <c r="B47" s="241">
        <f t="shared" si="1"/>
        <v>44</v>
      </c>
      <c r="C47" s="236"/>
      <c r="D47" s="236" t="s">
        <v>293</v>
      </c>
      <c r="E47" s="242">
        <v>0.07875</v>
      </c>
      <c r="F47" s="243">
        <v>46472.0</v>
      </c>
      <c r="G47" s="236" t="s">
        <v>251</v>
      </c>
      <c r="H47" s="235" t="s">
        <v>289</v>
      </c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</row>
    <row r="48" ht="14.25" customHeight="1">
      <c r="A48" s="235"/>
      <c r="B48" s="241">
        <f t="shared" si="1"/>
        <v>45</v>
      </c>
      <c r="C48" s="236"/>
      <c r="D48" s="236" t="s">
        <v>294</v>
      </c>
      <c r="E48" s="242">
        <v>0.07875</v>
      </c>
      <c r="F48" s="243">
        <v>45145.0</v>
      </c>
      <c r="G48" s="236" t="s">
        <v>248</v>
      </c>
      <c r="H48" s="235" t="s">
        <v>289</v>
      </c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</row>
    <row r="49" ht="14.25" customHeight="1">
      <c r="A49" s="235"/>
      <c r="B49" s="241">
        <f t="shared" si="1"/>
        <v>46</v>
      </c>
      <c r="C49" s="236"/>
      <c r="D49" s="236" t="s">
        <v>295</v>
      </c>
      <c r="E49" s="242">
        <v>0.08125</v>
      </c>
      <c r="F49" s="243">
        <v>46040.0</v>
      </c>
      <c r="G49" s="236" t="s">
        <v>251</v>
      </c>
      <c r="H49" s="235" t="s">
        <v>289</v>
      </c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</row>
    <row r="50" ht="14.25" customHeight="1">
      <c r="A50" s="235"/>
      <c r="B50" s="241">
        <f t="shared" si="1"/>
        <v>47</v>
      </c>
      <c r="C50" s="236"/>
      <c r="D50" s="236" t="s">
        <v>296</v>
      </c>
      <c r="E50" s="242">
        <v>0.08125</v>
      </c>
      <c r="F50" s="243">
        <v>48299.0</v>
      </c>
      <c r="G50" s="236" t="s">
        <v>251</v>
      </c>
      <c r="H50" s="235" t="s">
        <v>289</v>
      </c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</row>
    <row r="51" ht="14.25" customHeight="1">
      <c r="A51" s="235"/>
      <c r="B51" s="241">
        <f t="shared" si="1"/>
        <v>48</v>
      </c>
      <c r="C51" s="236"/>
      <c r="D51" s="236" t="s">
        <v>297</v>
      </c>
      <c r="E51" s="242">
        <v>0.0875</v>
      </c>
      <c r="F51" s="243">
        <v>58876.0</v>
      </c>
      <c r="G51" s="236" t="s">
        <v>251</v>
      </c>
      <c r="H51" s="235" t="s">
        <v>289</v>
      </c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</row>
    <row r="52" ht="14.25" customHeight="1">
      <c r="A52" s="235"/>
      <c r="B52" s="241">
        <f t="shared" si="1"/>
        <v>49</v>
      </c>
      <c r="C52" s="236"/>
      <c r="D52" s="236" t="s">
        <v>298</v>
      </c>
      <c r="E52" s="242">
        <v>0.08627000000000001</v>
      </c>
      <c r="F52" s="243">
        <v>54590.0</v>
      </c>
      <c r="G52" s="236" t="s">
        <v>251</v>
      </c>
      <c r="H52" s="235" t="s">
        <v>289</v>
      </c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</row>
    <row r="53" ht="14.25" customHeight="1">
      <c r="A53" s="235"/>
      <c r="B53" s="241">
        <f t="shared" si="1"/>
        <v>50</v>
      </c>
      <c r="C53" s="236"/>
      <c r="D53" s="236" t="s">
        <v>299</v>
      </c>
      <c r="E53" s="242">
        <v>0.0895</v>
      </c>
      <c r="F53" s="243">
        <v>55238.0</v>
      </c>
      <c r="G53" s="236" t="s">
        <v>251</v>
      </c>
      <c r="H53" s="235" t="s">
        <v>289</v>
      </c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</row>
    <row r="54" ht="14.25" customHeight="1">
      <c r="A54" s="235"/>
      <c r="B54" s="241">
        <f t="shared" si="1"/>
        <v>51</v>
      </c>
      <c r="C54" s="236"/>
      <c r="D54" s="236" t="s">
        <v>300</v>
      </c>
      <c r="E54" s="242">
        <v>0.0925</v>
      </c>
      <c r="F54" s="243">
        <v>44819.0</v>
      </c>
      <c r="G54" s="236" t="s">
        <v>251</v>
      </c>
      <c r="H54" s="235" t="s">
        <v>289</v>
      </c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</row>
    <row r="55" ht="14.25" customHeight="1">
      <c r="A55" s="235"/>
      <c r="B55" s="241">
        <f t="shared" si="1"/>
        <v>52</v>
      </c>
      <c r="C55" s="236"/>
      <c r="D55" s="236" t="s">
        <v>301</v>
      </c>
      <c r="E55" s="242">
        <v>0.0525</v>
      </c>
      <c r="F55" s="243">
        <v>47564.0</v>
      </c>
      <c r="G55" s="236" t="s">
        <v>251</v>
      </c>
      <c r="H55" s="235" t="s">
        <v>302</v>
      </c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</row>
    <row r="56" ht="14.25" customHeight="1">
      <c r="A56" s="235"/>
      <c r="B56" s="241">
        <f t="shared" si="1"/>
        <v>53</v>
      </c>
      <c r="C56" s="236"/>
      <c r="D56" s="236" t="s">
        <v>301</v>
      </c>
      <c r="E56" s="242">
        <v>0.0525</v>
      </c>
      <c r="F56" s="243">
        <v>47564.0</v>
      </c>
      <c r="G56" s="236" t="s">
        <v>251</v>
      </c>
      <c r="H56" s="235" t="s">
        <v>302</v>
      </c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</row>
    <row r="57" ht="14.25" customHeight="1">
      <c r="A57" s="235"/>
      <c r="B57" s="241">
        <f t="shared" si="1"/>
        <v>54</v>
      </c>
      <c r="C57" s="236"/>
      <c r="D57" s="236" t="s">
        <v>303</v>
      </c>
      <c r="E57" s="242">
        <v>0.05125</v>
      </c>
      <c r="F57" s="243">
        <v>45823.0</v>
      </c>
      <c r="G57" s="236" t="s">
        <v>248</v>
      </c>
      <c r="H57" s="235" t="s">
        <v>302</v>
      </c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</row>
    <row r="58" ht="14.25" customHeight="1">
      <c r="A58" s="235"/>
      <c r="B58" s="241">
        <f t="shared" si="1"/>
        <v>55</v>
      </c>
      <c r="C58" s="236"/>
      <c r="D58" s="236" t="s">
        <v>303</v>
      </c>
      <c r="E58" s="242">
        <v>0.05125</v>
      </c>
      <c r="F58" s="243">
        <v>45823.0</v>
      </c>
      <c r="G58" s="236" t="s">
        <v>248</v>
      </c>
      <c r="H58" s="235" t="s">
        <v>302</v>
      </c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</row>
    <row r="59" ht="14.25" customHeight="1">
      <c r="A59" s="235"/>
      <c r="B59" s="241">
        <f t="shared" si="1"/>
        <v>56</v>
      </c>
      <c r="C59" s="236"/>
      <c r="D59" s="236" t="s">
        <v>304</v>
      </c>
      <c r="E59" s="242">
        <v>0.0575</v>
      </c>
      <c r="F59" s="243">
        <v>48579.0</v>
      </c>
      <c r="G59" s="236" t="s">
        <v>305</v>
      </c>
      <c r="H59" s="235" t="s">
        <v>302</v>
      </c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</row>
    <row r="60" ht="14.25" customHeight="1">
      <c r="A60" s="235"/>
      <c r="B60" s="241">
        <f t="shared" si="1"/>
        <v>57</v>
      </c>
      <c r="C60" s="236"/>
      <c r="D60" s="236" t="s">
        <v>304</v>
      </c>
      <c r="E60" s="242">
        <v>0.0575</v>
      </c>
      <c r="F60" s="243">
        <v>48579.0</v>
      </c>
      <c r="G60" s="236" t="s">
        <v>305</v>
      </c>
      <c r="H60" s="235" t="s">
        <v>302</v>
      </c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</row>
    <row r="61" ht="14.25" customHeight="1">
      <c r="A61" s="235"/>
      <c r="B61" s="241">
        <f t="shared" si="1"/>
        <v>58</v>
      </c>
      <c r="C61" s="236"/>
      <c r="D61" s="236" t="s">
        <v>306</v>
      </c>
      <c r="E61" s="242">
        <v>0.05375</v>
      </c>
      <c r="F61" s="243">
        <v>45496.0</v>
      </c>
      <c r="G61" s="236" t="s">
        <v>248</v>
      </c>
      <c r="H61" s="235" t="s">
        <v>302</v>
      </c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</row>
    <row r="62" ht="14.25" customHeight="1">
      <c r="A62" s="235"/>
      <c r="B62" s="241">
        <f t="shared" si="1"/>
        <v>59</v>
      </c>
      <c r="C62" s="236"/>
      <c r="D62" s="236" t="s">
        <v>306</v>
      </c>
      <c r="E62" s="242">
        <v>0.05375</v>
      </c>
      <c r="F62" s="243">
        <v>45496.0</v>
      </c>
      <c r="G62" s="236" t="s">
        <v>248</v>
      </c>
      <c r="H62" s="235" t="s">
        <v>302</v>
      </c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</row>
    <row r="63" ht="14.25" customHeight="1">
      <c r="A63" s="235"/>
      <c r="B63" s="241">
        <f t="shared" si="1"/>
        <v>60</v>
      </c>
      <c r="C63" s="236"/>
      <c r="D63" s="236" t="s">
        <v>307</v>
      </c>
      <c r="E63" s="242">
        <v>0.05875</v>
      </c>
      <c r="F63" s="243">
        <v>48138.0</v>
      </c>
      <c r="G63" s="236" t="s">
        <v>251</v>
      </c>
      <c r="H63" s="235" t="s">
        <v>302</v>
      </c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</row>
    <row r="64" ht="14.25" customHeight="1">
      <c r="A64" s="235"/>
      <c r="B64" s="241">
        <f t="shared" si="1"/>
        <v>61</v>
      </c>
      <c r="C64" s="236"/>
      <c r="D64" s="236" t="s">
        <v>307</v>
      </c>
      <c r="E64" s="242">
        <v>0.05875</v>
      </c>
      <c r="F64" s="243">
        <v>48138.0</v>
      </c>
      <c r="G64" s="236" t="s">
        <v>251</v>
      </c>
      <c r="H64" s="235" t="s">
        <v>302</v>
      </c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</row>
    <row r="65" ht="14.25" customHeight="1">
      <c r="A65" s="235"/>
      <c r="B65" s="241">
        <f t="shared" si="1"/>
        <v>62</v>
      </c>
      <c r="C65" s="236"/>
      <c r="D65" s="236" t="s">
        <v>308</v>
      </c>
      <c r="E65" s="242">
        <v>0.06125</v>
      </c>
      <c r="F65" s="243">
        <v>48745.0</v>
      </c>
      <c r="G65" s="236" t="s">
        <v>251</v>
      </c>
      <c r="H65" s="235" t="s">
        <v>302</v>
      </c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</row>
    <row r="66" ht="14.25" customHeight="1">
      <c r="A66" s="235"/>
      <c r="B66" s="241">
        <f t="shared" si="1"/>
        <v>63</v>
      </c>
      <c r="C66" s="236"/>
      <c r="D66" s="236" t="s">
        <v>308</v>
      </c>
      <c r="E66" s="242">
        <v>0.06125</v>
      </c>
      <c r="F66" s="243">
        <v>48745.0</v>
      </c>
      <c r="G66" s="236" t="s">
        <v>251</v>
      </c>
      <c r="H66" s="235" t="s">
        <v>302</v>
      </c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</row>
    <row r="67" ht="14.25" customHeight="1">
      <c r="A67" s="235"/>
      <c r="B67" s="241">
        <f t="shared" si="1"/>
        <v>64</v>
      </c>
      <c r="C67" s="236"/>
      <c r="D67" s="236" t="s">
        <v>309</v>
      </c>
      <c r="E67" s="242">
        <v>0.06375</v>
      </c>
      <c r="F67" s="243">
        <v>46815.0</v>
      </c>
      <c r="G67" s="236" t="s">
        <v>251</v>
      </c>
      <c r="H67" s="235" t="s">
        <v>302</v>
      </c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</row>
    <row r="68" ht="14.25" customHeight="1">
      <c r="A68" s="235"/>
      <c r="B68" s="241">
        <f t="shared" si="1"/>
        <v>65</v>
      </c>
      <c r="C68" s="236"/>
      <c r="D68" s="236" t="s">
        <v>309</v>
      </c>
      <c r="E68" s="242">
        <v>0.06375</v>
      </c>
      <c r="F68" s="243">
        <v>46815.0</v>
      </c>
      <c r="G68" s="236" t="s">
        <v>251</v>
      </c>
      <c r="H68" s="235" t="s">
        <v>302</v>
      </c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</row>
    <row r="69" ht="14.25" customHeight="1">
      <c r="A69" s="235"/>
      <c r="B69" s="241">
        <f t="shared" si="1"/>
        <v>66</v>
      </c>
      <c r="C69" s="236"/>
      <c r="D69" s="236" t="s">
        <v>310</v>
      </c>
      <c r="E69" s="242">
        <v>0.06625</v>
      </c>
      <c r="F69" s="243">
        <v>54139.0</v>
      </c>
      <c r="G69" s="236" t="s">
        <v>251</v>
      </c>
      <c r="H69" s="235" t="s">
        <v>302</v>
      </c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</row>
    <row r="70" ht="14.25" customHeight="1">
      <c r="A70" s="235"/>
      <c r="B70" s="241">
        <f t="shared" si="1"/>
        <v>67</v>
      </c>
      <c r="C70" s="236"/>
      <c r="D70" s="236" t="s">
        <v>310</v>
      </c>
      <c r="E70" s="242">
        <v>0.06625</v>
      </c>
      <c r="F70" s="243">
        <v>54139.0</v>
      </c>
      <c r="G70" s="236" t="s">
        <v>251</v>
      </c>
      <c r="H70" s="235" t="s">
        <v>302</v>
      </c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</row>
    <row r="71" ht="14.25" customHeight="1">
      <c r="A71" s="235"/>
      <c r="B71" s="241">
        <f t="shared" si="1"/>
        <v>68</v>
      </c>
      <c r="C71" s="236"/>
      <c r="D71" s="236" t="s">
        <v>311</v>
      </c>
      <c r="E71" s="242">
        <v>0.06875</v>
      </c>
      <c r="F71" s="243">
        <v>51426.0</v>
      </c>
      <c r="G71" s="236" t="s">
        <v>251</v>
      </c>
      <c r="H71" s="235" t="s">
        <v>302</v>
      </c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</row>
    <row r="72" ht="14.25" customHeight="1">
      <c r="A72" s="235"/>
      <c r="B72" s="241">
        <f t="shared" si="1"/>
        <v>69</v>
      </c>
      <c r="C72" s="236"/>
      <c r="D72" s="236" t="s">
        <v>311</v>
      </c>
      <c r="E72" s="242">
        <v>0.06875</v>
      </c>
      <c r="F72" s="243">
        <v>51426.0</v>
      </c>
      <c r="G72" s="236" t="s">
        <v>251</v>
      </c>
      <c r="H72" s="235" t="s">
        <v>302</v>
      </c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</row>
    <row r="73" ht="14.25" customHeight="1">
      <c r="A73" s="235"/>
      <c r="B73" s="241">
        <f t="shared" si="1"/>
        <v>70</v>
      </c>
      <c r="C73" s="236"/>
      <c r="D73" s="236" t="s">
        <v>312</v>
      </c>
      <c r="E73" s="242">
        <v>0.06875</v>
      </c>
      <c r="F73" s="243">
        <v>45467.0</v>
      </c>
      <c r="G73" s="236" t="s">
        <v>248</v>
      </c>
      <c r="H73" s="235" t="s">
        <v>313</v>
      </c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</row>
    <row r="74" ht="14.25" customHeight="1">
      <c r="A74" s="235"/>
      <c r="B74" s="241">
        <f t="shared" si="1"/>
        <v>71</v>
      </c>
      <c r="C74" s="236"/>
      <c r="D74" s="236" t="s">
        <v>314</v>
      </c>
      <c r="E74" s="242">
        <v>0.07</v>
      </c>
      <c r="F74" s="243">
        <v>46529.0</v>
      </c>
      <c r="G74" s="236" t="s">
        <v>251</v>
      </c>
      <c r="H74" s="235" t="s">
        <v>313</v>
      </c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</row>
    <row r="75" ht="14.25" customHeight="1">
      <c r="A75" s="235"/>
      <c r="B75" s="241">
        <f t="shared" si="1"/>
        <v>72</v>
      </c>
      <c r="C75" s="236"/>
      <c r="D75" s="236" t="s">
        <v>315</v>
      </c>
      <c r="E75" s="242">
        <v>0.0725</v>
      </c>
      <c r="F75" s="243">
        <v>46811.0</v>
      </c>
      <c r="G75" s="236" t="s">
        <v>248</v>
      </c>
      <c r="H75" s="235" t="s">
        <v>313</v>
      </c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</row>
    <row r="76" ht="14.25" customHeight="1">
      <c r="A76" s="235"/>
      <c r="B76" s="241">
        <f t="shared" si="1"/>
        <v>73</v>
      </c>
      <c r="C76" s="236"/>
      <c r="D76" s="236" t="s">
        <v>316</v>
      </c>
      <c r="E76" s="242">
        <v>0.08</v>
      </c>
      <c r="F76" s="243">
        <v>48356.0</v>
      </c>
      <c r="G76" s="236" t="s">
        <v>251</v>
      </c>
      <c r="H76" s="235" t="s">
        <v>313</v>
      </c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</row>
    <row r="77" ht="14.25" customHeight="1">
      <c r="A77" s="235"/>
      <c r="B77" s="241">
        <f t="shared" si="1"/>
        <v>74</v>
      </c>
      <c r="C77" s="236"/>
      <c r="D77" s="236" t="s">
        <v>209</v>
      </c>
      <c r="E77" s="242">
        <v>0.0825</v>
      </c>
      <c r="F77" s="243">
        <v>54116.0</v>
      </c>
      <c r="G77" s="236" t="s">
        <v>248</v>
      </c>
      <c r="H77" s="235" t="s">
        <v>313</v>
      </c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</row>
    <row r="78" ht="14.25" customHeight="1">
      <c r="A78" s="235"/>
      <c r="B78" s="241">
        <f t="shared" si="1"/>
        <v>75</v>
      </c>
      <c r="C78" s="236"/>
      <c r="D78" s="236" t="s">
        <v>317</v>
      </c>
      <c r="E78" s="242">
        <v>0.0425</v>
      </c>
      <c r="F78" s="243">
        <v>44906.0</v>
      </c>
      <c r="G78" s="236" t="s">
        <v>248</v>
      </c>
      <c r="H78" s="235" t="s">
        <v>318</v>
      </c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</row>
    <row r="79" ht="14.25" customHeight="1">
      <c r="A79" s="235"/>
      <c r="B79" s="241">
        <f t="shared" si="1"/>
        <v>76</v>
      </c>
      <c r="C79" s="236"/>
      <c r="D79" s="236" t="s">
        <v>319</v>
      </c>
      <c r="E79" s="242">
        <v>0.055</v>
      </c>
      <c r="F79" s="243">
        <v>52211.0</v>
      </c>
      <c r="G79" s="236" t="s">
        <v>248</v>
      </c>
      <c r="H79" s="235" t="s">
        <v>318</v>
      </c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</row>
    <row r="80" ht="14.25" customHeight="1">
      <c r="A80" s="235"/>
      <c r="B80" s="241">
        <f t="shared" si="1"/>
        <v>77</v>
      </c>
      <c r="C80" s="236"/>
      <c r="D80" s="236" t="s">
        <v>320</v>
      </c>
      <c r="E80" s="242">
        <v>0.05625</v>
      </c>
      <c r="F80" s="243">
        <v>44739.0</v>
      </c>
      <c r="G80" s="236" t="s">
        <v>248</v>
      </c>
      <c r="H80" s="235" t="s">
        <v>249</v>
      </c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</row>
    <row r="81" ht="14.25" customHeight="1">
      <c r="A81" s="235"/>
      <c r="B81" s="241">
        <f t="shared" si="1"/>
        <v>78</v>
      </c>
      <c r="C81" s="236"/>
      <c r="D81" s="236" t="s">
        <v>182</v>
      </c>
      <c r="E81" s="242">
        <v>0.065</v>
      </c>
      <c r="F81" s="243">
        <v>46719.0</v>
      </c>
      <c r="G81" s="236" t="s">
        <v>248</v>
      </c>
      <c r="H81" s="235" t="s">
        <v>249</v>
      </c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</row>
    <row r="82" ht="14.25" customHeight="1">
      <c r="A82" s="235"/>
      <c r="B82" s="241">
        <f t="shared" si="1"/>
        <v>79</v>
      </c>
      <c r="C82" s="236"/>
      <c r="D82" s="236" t="s">
        <v>321</v>
      </c>
      <c r="E82" s="242">
        <v>0.0675</v>
      </c>
      <c r="F82" s="243">
        <v>44224.0</v>
      </c>
      <c r="G82" s="236" t="s">
        <v>248</v>
      </c>
      <c r="H82" s="235" t="s">
        <v>249</v>
      </c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</row>
    <row r="83" ht="14.25" customHeight="1">
      <c r="A83" s="235"/>
      <c r="B83" s="241">
        <f t="shared" si="1"/>
        <v>80</v>
      </c>
      <c r="C83" s="236"/>
      <c r="D83" s="236" t="s">
        <v>322</v>
      </c>
      <c r="E83" s="242">
        <v>0.06375</v>
      </c>
      <c r="F83" s="243">
        <v>45119.0</v>
      </c>
      <c r="G83" s="236" t="s">
        <v>248</v>
      </c>
      <c r="H83" s="235" t="s">
        <v>249</v>
      </c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</row>
    <row r="84" ht="14.25" customHeight="1">
      <c r="A84" s="235"/>
      <c r="B84" s="241">
        <f t="shared" si="1"/>
        <v>81</v>
      </c>
      <c r="C84" s="236"/>
      <c r="D84" s="236" t="s">
        <v>191</v>
      </c>
      <c r="E84" s="242">
        <v>0.07625</v>
      </c>
      <c r="F84" s="243">
        <v>54024.0</v>
      </c>
      <c r="G84" s="236" t="s">
        <v>248</v>
      </c>
      <c r="H84" s="235" t="s">
        <v>249</v>
      </c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</row>
    <row r="85" ht="14.25" customHeight="1">
      <c r="A85" s="235"/>
      <c r="B85" s="241">
        <f t="shared" si="1"/>
        <v>82</v>
      </c>
      <c r="C85" s="236"/>
      <c r="D85" s="236" t="s">
        <v>323</v>
      </c>
      <c r="E85" s="242">
        <v>0.07143</v>
      </c>
      <c r="F85" s="243">
        <v>47537.0</v>
      </c>
      <c r="G85" s="236" t="s">
        <v>248</v>
      </c>
      <c r="H85" s="235" t="s">
        <v>249</v>
      </c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</row>
    <row r="86" ht="14.25" customHeight="1">
      <c r="A86" s="235"/>
      <c r="B86" s="241">
        <f t="shared" si="1"/>
        <v>83</v>
      </c>
      <c r="C86" s="236"/>
      <c r="D86" s="236" t="s">
        <v>61</v>
      </c>
      <c r="E86" s="242">
        <v>0.07696</v>
      </c>
      <c r="F86" s="243">
        <v>50459.0</v>
      </c>
      <c r="G86" s="236" t="s">
        <v>248</v>
      </c>
      <c r="H86" s="235" t="s">
        <v>249</v>
      </c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</row>
    <row r="87" ht="14.25" customHeight="1">
      <c r="A87" s="235"/>
      <c r="B87" s="241">
        <f t="shared" si="1"/>
        <v>84</v>
      </c>
      <c r="C87" s="236"/>
      <c r="D87" s="236" t="s">
        <v>158</v>
      </c>
      <c r="E87" s="242">
        <v>0.07875</v>
      </c>
      <c r="F87" s="243">
        <v>48260.0</v>
      </c>
      <c r="G87" s="236" t="s">
        <v>248</v>
      </c>
      <c r="H87" s="235" t="s">
        <v>249</v>
      </c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</row>
    <row r="88" ht="14.25" customHeight="1">
      <c r="A88" s="235"/>
      <c r="B88" s="241">
        <f t="shared" si="1"/>
        <v>85</v>
      </c>
      <c r="C88" s="236"/>
      <c r="D88" s="236" t="s">
        <v>164</v>
      </c>
      <c r="E88" s="242">
        <v>0.08746999999999999</v>
      </c>
      <c r="F88" s="243">
        <v>47869.0</v>
      </c>
      <c r="G88" s="236" t="s">
        <v>248</v>
      </c>
      <c r="H88" s="235" t="s">
        <v>249</v>
      </c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</row>
    <row r="89" ht="14.25" customHeight="1">
      <c r="A89" s="235"/>
      <c r="B89" s="241">
        <f t="shared" si="1"/>
        <v>86</v>
      </c>
      <c r="C89" s="236"/>
      <c r="D89" s="236" t="s">
        <v>156</v>
      </c>
      <c r="E89" s="242">
        <v>0.09247999999999999</v>
      </c>
      <c r="F89" s="243">
        <v>54444.0</v>
      </c>
      <c r="G89" s="236" t="s">
        <v>248</v>
      </c>
      <c r="H89" s="235" t="s">
        <v>249</v>
      </c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</row>
    <row r="90" ht="14.25" customHeight="1">
      <c r="A90" s="235"/>
      <c r="B90" s="241">
        <f t="shared" si="1"/>
        <v>87</v>
      </c>
      <c r="C90" s="236"/>
      <c r="D90" s="236" t="s">
        <v>185</v>
      </c>
      <c r="E90" s="242">
        <v>0.07625</v>
      </c>
      <c r="F90" s="243">
        <v>45982.0</v>
      </c>
      <c r="G90" s="236" t="s">
        <v>248</v>
      </c>
      <c r="H90" s="235" t="s">
        <v>249</v>
      </c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</row>
    <row r="91" ht="14.25" customHeight="1">
      <c r="A91" s="235"/>
      <c r="B91" s="241">
        <f t="shared" si="1"/>
        <v>88</v>
      </c>
      <c r="C91" s="236"/>
      <c r="D91" s="236" t="s">
        <v>149</v>
      </c>
      <c r="E91" s="242">
        <v>0.06125</v>
      </c>
      <c r="F91" s="243">
        <v>47024.0</v>
      </c>
      <c r="G91" s="236"/>
      <c r="H91" s="235" t="s">
        <v>249</v>
      </c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</row>
    <row r="92" ht="14.25" customHeight="1">
      <c r="A92" s="235"/>
      <c r="B92" s="241">
        <f t="shared" si="1"/>
        <v>89</v>
      </c>
      <c r="C92" s="236"/>
      <c r="D92" s="236" t="s">
        <v>184</v>
      </c>
      <c r="E92" s="242">
        <v>0.07375</v>
      </c>
      <c r="F92" s="243">
        <v>48850.0</v>
      </c>
      <c r="G92" s="236"/>
      <c r="H92" s="235" t="s">
        <v>249</v>
      </c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</row>
    <row r="93" ht="14.25" customHeight="1">
      <c r="A93" s="235"/>
      <c r="B93" s="241">
        <f t="shared" si="1"/>
        <v>90</v>
      </c>
      <c r="C93" s="236"/>
      <c r="D93" s="236" t="s">
        <v>176</v>
      </c>
      <c r="E93" s="242">
        <v>0.0825</v>
      </c>
      <c r="F93" s="243">
        <v>55424.0</v>
      </c>
      <c r="G93" s="236"/>
      <c r="H93" s="235" t="s">
        <v>249</v>
      </c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</row>
    <row r="94" ht="14.25" customHeight="1">
      <c r="A94" s="235"/>
      <c r="B94" s="241">
        <f t="shared" si="1"/>
        <v>91</v>
      </c>
      <c r="C94" s="236"/>
      <c r="D94" s="236" t="s">
        <v>324</v>
      </c>
      <c r="E94" s="242">
        <v>0.095</v>
      </c>
      <c r="F94" s="243">
        <v>45980.0</v>
      </c>
      <c r="G94" s="236" t="s">
        <v>251</v>
      </c>
      <c r="H94" s="235" t="s">
        <v>325</v>
      </c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</row>
    <row r="95" ht="14.25" customHeight="1">
      <c r="A95" s="235"/>
      <c r="B95" s="241">
        <f t="shared" si="1"/>
        <v>92</v>
      </c>
      <c r="C95" s="236"/>
      <c r="D95" s="236" t="s">
        <v>326</v>
      </c>
      <c r="E95" s="242">
        <v>0.06</v>
      </c>
      <c r="F95" s="243">
        <v>47299.0</v>
      </c>
      <c r="G95" s="236" t="s">
        <v>305</v>
      </c>
      <c r="H95" s="235" t="s">
        <v>327</v>
      </c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</row>
    <row r="96" ht="14.25" customHeight="1">
      <c r="A96" s="235"/>
      <c r="B96" s="241">
        <f t="shared" si="1"/>
        <v>93</v>
      </c>
      <c r="C96" s="236"/>
      <c r="D96" s="236" t="s">
        <v>328</v>
      </c>
      <c r="E96" s="242">
        <v>0.055</v>
      </c>
      <c r="F96" s="243">
        <v>44503.0</v>
      </c>
      <c r="G96" s="236" t="s">
        <v>248</v>
      </c>
      <c r="H96" s="235" t="s">
        <v>329</v>
      </c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</row>
    <row r="97" ht="14.25" customHeight="1">
      <c r="A97" s="235"/>
      <c r="B97" s="241">
        <f t="shared" si="1"/>
        <v>94</v>
      </c>
      <c r="C97" s="236"/>
      <c r="D97" s="236" t="s">
        <v>328</v>
      </c>
      <c r="E97" s="242">
        <v>0.055</v>
      </c>
      <c r="F97" s="243">
        <v>44503.0</v>
      </c>
      <c r="G97" s="236" t="s">
        <v>248</v>
      </c>
      <c r="H97" s="235" t="s">
        <v>329</v>
      </c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</row>
    <row r="98" ht="14.25" customHeight="1">
      <c r="A98" s="235"/>
      <c r="B98" s="241">
        <f t="shared" si="1"/>
        <v>95</v>
      </c>
      <c r="C98" s="236"/>
      <c r="D98" s="236" t="s">
        <v>330</v>
      </c>
      <c r="E98" s="242">
        <v>0.0525</v>
      </c>
      <c r="F98" s="243">
        <v>45959.0</v>
      </c>
      <c r="G98" s="236" t="s">
        <v>248</v>
      </c>
      <c r="H98" s="235" t="s">
        <v>329</v>
      </c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</row>
    <row r="99" ht="14.25" customHeight="1">
      <c r="A99" s="235"/>
      <c r="B99" s="241">
        <f t="shared" si="1"/>
        <v>96</v>
      </c>
      <c r="C99" s="236"/>
      <c r="D99" s="236" t="s">
        <v>330</v>
      </c>
      <c r="E99" s="242">
        <v>0.0525</v>
      </c>
      <c r="F99" s="243">
        <v>45959.0</v>
      </c>
      <c r="G99" s="236" t="s">
        <v>248</v>
      </c>
      <c r="H99" s="235" t="s">
        <v>329</v>
      </c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</row>
    <row r="100" ht="14.25" customHeight="1">
      <c r="A100" s="235"/>
      <c r="B100" s="241">
        <f t="shared" si="1"/>
        <v>97</v>
      </c>
      <c r="C100" s="236"/>
      <c r="D100" s="236" t="s">
        <v>331</v>
      </c>
      <c r="E100" s="242">
        <v>0.06625</v>
      </c>
      <c r="F100" s="243">
        <v>45048.0</v>
      </c>
      <c r="G100" s="236" t="s">
        <v>248</v>
      </c>
      <c r="H100" s="235" t="s">
        <v>332</v>
      </c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</row>
    <row r="101" ht="14.25" customHeight="1">
      <c r="A101" s="235"/>
      <c r="B101" s="241">
        <f t="shared" si="1"/>
        <v>98</v>
      </c>
      <c r="C101" s="236"/>
      <c r="D101" s="236" t="s">
        <v>333</v>
      </c>
      <c r="E101" s="242">
        <v>0.0625</v>
      </c>
      <c r="F101" s="243">
        <v>48722.0</v>
      </c>
      <c r="G101" s="236" t="s">
        <v>251</v>
      </c>
      <c r="H101" s="235" t="s">
        <v>334</v>
      </c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</row>
    <row r="102" ht="14.25" customHeight="1">
      <c r="A102" s="235"/>
      <c r="B102" s="241">
        <f t="shared" si="1"/>
        <v>99</v>
      </c>
      <c r="C102" s="236"/>
      <c r="D102" s="236" t="s">
        <v>335</v>
      </c>
      <c r="E102" s="242">
        <v>0.0625</v>
      </c>
      <c r="F102" s="243">
        <v>45503.0</v>
      </c>
      <c r="G102" s="236" t="s">
        <v>248</v>
      </c>
      <c r="H102" s="235" t="s">
        <v>334</v>
      </c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</row>
    <row r="103" ht="14.25" customHeight="1">
      <c r="A103" s="235"/>
      <c r="B103" s="241">
        <f t="shared" si="1"/>
        <v>100</v>
      </c>
      <c r="C103" s="236"/>
      <c r="D103" s="236" t="s">
        <v>336</v>
      </c>
      <c r="E103" s="242">
        <v>0.0675</v>
      </c>
      <c r="F103" s="243">
        <v>54130.0</v>
      </c>
      <c r="G103" s="236" t="s">
        <v>251</v>
      </c>
      <c r="H103" s="235" t="s">
        <v>334</v>
      </c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</row>
    <row r="104" ht="14.25" customHeight="1">
      <c r="A104" s="235"/>
      <c r="B104" s="241">
        <f t="shared" si="1"/>
        <v>101</v>
      </c>
      <c r="C104" s="236"/>
      <c r="D104" s="236" t="s">
        <v>337</v>
      </c>
      <c r="E104" s="242">
        <v>0.0875</v>
      </c>
      <c r="F104" s="243">
        <v>44329.0</v>
      </c>
      <c r="G104" s="236" t="s">
        <v>248</v>
      </c>
      <c r="H104" s="235" t="s">
        <v>334</v>
      </c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</row>
    <row r="105" ht="14.25" customHeight="1">
      <c r="A105" s="235"/>
      <c r="B105" s="241">
        <f t="shared" si="1"/>
        <v>102</v>
      </c>
      <c r="C105" s="236"/>
      <c r="D105" s="236" t="s">
        <v>338</v>
      </c>
      <c r="E105" s="242">
        <v>0.0925</v>
      </c>
      <c r="F105" s="243">
        <v>45017.0</v>
      </c>
      <c r="G105" s="236" t="s">
        <v>248</v>
      </c>
      <c r="H105" s="235" t="s">
        <v>249</v>
      </c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</row>
    <row r="106" ht="14.25" customHeight="1">
      <c r="A106" s="235"/>
      <c r="B106" s="241">
        <f t="shared" si="1"/>
        <v>103</v>
      </c>
      <c r="C106" s="236"/>
      <c r="D106" s="236" t="s">
        <v>339</v>
      </c>
      <c r="E106" s="242">
        <v>0.08</v>
      </c>
      <c r="F106" s="243">
        <v>46023.0</v>
      </c>
      <c r="G106" s="236" t="s">
        <v>251</v>
      </c>
      <c r="H106" s="235" t="s">
        <v>340</v>
      </c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</row>
    <row r="107" ht="14.25" customHeight="1">
      <c r="A107" s="235"/>
      <c r="B107" s="241">
        <f t="shared" si="1"/>
        <v>104</v>
      </c>
      <c r="C107" s="236"/>
      <c r="D107" s="236" t="s">
        <v>341</v>
      </c>
      <c r="E107" s="242">
        <v>0.0375</v>
      </c>
      <c r="F107" s="243">
        <v>46227.0</v>
      </c>
      <c r="G107" s="236" t="s">
        <v>248</v>
      </c>
      <c r="H107" s="235" t="s">
        <v>342</v>
      </c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</row>
    <row r="108" ht="14.25" customHeight="1">
      <c r="A108" s="235"/>
      <c r="B108" s="241">
        <f t="shared" si="1"/>
        <v>105</v>
      </c>
      <c r="C108" s="236"/>
      <c r="D108" s="236" t="s">
        <v>343</v>
      </c>
      <c r="E108" s="242">
        <v>0.04875</v>
      </c>
      <c r="F108" s="243">
        <v>46126.0</v>
      </c>
      <c r="G108" s="236" t="s">
        <v>248</v>
      </c>
      <c r="H108" s="235" t="s">
        <v>342</v>
      </c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</row>
    <row r="109" ht="14.25" customHeight="1">
      <c r="A109" s="235"/>
      <c r="B109" s="241">
        <f t="shared" si="1"/>
        <v>106</v>
      </c>
      <c r="C109" s="236"/>
      <c r="D109" s="236" t="s">
        <v>344</v>
      </c>
      <c r="E109" s="242">
        <v>0.043</v>
      </c>
      <c r="F109" s="243">
        <v>47038.0</v>
      </c>
      <c r="G109" s="236" t="s">
        <v>248</v>
      </c>
      <c r="H109" s="235" t="s">
        <v>342</v>
      </c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</row>
    <row r="110" ht="14.25" customHeight="1">
      <c r="A110" s="235"/>
      <c r="B110" s="241">
        <f t="shared" si="1"/>
        <v>107</v>
      </c>
      <c r="C110" s="236"/>
      <c r="D110" s="236" t="s">
        <v>345</v>
      </c>
      <c r="E110" s="242">
        <v>0.04665</v>
      </c>
      <c r="F110" s="243">
        <v>45308.0</v>
      </c>
      <c r="G110" s="236" t="s">
        <v>248</v>
      </c>
      <c r="H110" s="235" t="s">
        <v>342</v>
      </c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</row>
    <row r="111" ht="14.25" customHeight="1">
      <c r="A111" s="235"/>
      <c r="B111" s="241">
        <f t="shared" si="1"/>
        <v>108</v>
      </c>
      <c r="C111" s="236"/>
      <c r="D111" s="236" t="s">
        <v>346</v>
      </c>
      <c r="E111" s="242">
        <v>0.048499999999999995</v>
      </c>
      <c r="F111" s="243">
        <v>46657.0</v>
      </c>
      <c r="G111" s="236" t="s">
        <v>248</v>
      </c>
      <c r="H111" s="235" t="s">
        <v>342</v>
      </c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</row>
    <row r="112" ht="14.25" customHeight="1">
      <c r="A112" s="235"/>
      <c r="B112" s="241">
        <f t="shared" si="1"/>
        <v>109</v>
      </c>
      <c r="C112" s="236"/>
      <c r="D112" s="236" t="s">
        <v>347</v>
      </c>
      <c r="E112" s="242">
        <v>0.048499999999999995</v>
      </c>
      <c r="F112" s="243">
        <v>47391.0</v>
      </c>
      <c r="G112" s="236" t="s">
        <v>248</v>
      </c>
      <c r="H112" s="235" t="s">
        <v>342</v>
      </c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</row>
    <row r="113" ht="14.25" customHeight="1">
      <c r="A113" s="235"/>
      <c r="B113" s="241">
        <f t="shared" si="1"/>
        <v>110</v>
      </c>
      <c r="C113" s="236"/>
      <c r="D113" s="236" t="s">
        <v>348</v>
      </c>
      <c r="E113" s="242">
        <v>0.05</v>
      </c>
      <c r="F113" s="243">
        <v>53612.0</v>
      </c>
      <c r="G113" s="236" t="s">
        <v>248</v>
      </c>
      <c r="H113" s="235" t="s">
        <v>342</v>
      </c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</row>
    <row r="114" ht="14.25" customHeight="1">
      <c r="A114" s="235"/>
      <c r="B114" s="241">
        <f t="shared" si="1"/>
        <v>111</v>
      </c>
      <c r="C114" s="236"/>
      <c r="D114" s="236" t="s">
        <v>349</v>
      </c>
      <c r="E114" s="242">
        <v>0.0575</v>
      </c>
      <c r="F114" s="243">
        <v>54696.0</v>
      </c>
      <c r="G114" s="236" t="s">
        <v>248</v>
      </c>
      <c r="H114" s="235" t="s">
        <v>342</v>
      </c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</row>
    <row r="115" ht="14.25" customHeight="1">
      <c r="A115" s="235"/>
      <c r="B115" s="241">
        <f t="shared" si="1"/>
        <v>112</v>
      </c>
      <c r="C115" s="236"/>
      <c r="D115" s="236" t="s">
        <v>350</v>
      </c>
      <c r="E115" s="242">
        <v>0.05375</v>
      </c>
      <c r="F115" s="243">
        <v>52802.0</v>
      </c>
      <c r="G115" s="236" t="s">
        <v>248</v>
      </c>
      <c r="H115" s="235" t="s">
        <v>342</v>
      </c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</row>
    <row r="116" ht="14.25" customHeight="1">
      <c r="A116" s="235"/>
      <c r="B116" s="241">
        <f t="shared" si="1"/>
        <v>113</v>
      </c>
      <c r="C116" s="236"/>
      <c r="D116" s="236" t="s">
        <v>351</v>
      </c>
      <c r="E116" s="242">
        <v>0.05875</v>
      </c>
      <c r="F116" s="243">
        <v>44711.0</v>
      </c>
      <c r="G116" s="236" t="s">
        <v>248</v>
      </c>
      <c r="H116" s="235" t="s">
        <v>342</v>
      </c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</row>
    <row r="117" ht="14.25" customHeight="1">
      <c r="A117" s="235"/>
      <c r="B117" s="241">
        <f t="shared" si="1"/>
        <v>114</v>
      </c>
      <c r="C117" s="236"/>
      <c r="D117" s="236" t="s">
        <v>352</v>
      </c>
      <c r="E117" s="242">
        <v>0.05875</v>
      </c>
      <c r="F117" s="243">
        <v>47656.0</v>
      </c>
      <c r="G117" s="236" t="s">
        <v>248</v>
      </c>
      <c r="H117" s="235" t="s">
        <v>342</v>
      </c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</row>
    <row r="118" ht="14.25" customHeight="1">
      <c r="A118" s="235"/>
      <c r="B118" s="241">
        <f t="shared" si="1"/>
        <v>115</v>
      </c>
      <c r="C118" s="236"/>
      <c r="D118" s="236" t="s">
        <v>353</v>
      </c>
      <c r="E118" s="242">
        <v>0.05875</v>
      </c>
      <c r="F118" s="243">
        <v>45916.0</v>
      </c>
      <c r="G118" s="236" t="s">
        <v>248</v>
      </c>
      <c r="H118" s="235" t="s">
        <v>342</v>
      </c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</row>
    <row r="119" ht="14.25" customHeight="1">
      <c r="A119" s="235"/>
      <c r="B119" s="241">
        <f t="shared" si="1"/>
        <v>116</v>
      </c>
      <c r="C119" s="236"/>
      <c r="D119" s="236" t="s">
        <v>354</v>
      </c>
      <c r="E119" s="242">
        <v>0.0565</v>
      </c>
      <c r="F119" s="243">
        <v>53962.0</v>
      </c>
      <c r="G119" s="236" t="s">
        <v>248</v>
      </c>
      <c r="H119" s="235" t="s">
        <v>342</v>
      </c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</row>
    <row r="120" ht="14.25" customHeight="1">
      <c r="A120" s="235"/>
      <c r="B120" s="241">
        <f t="shared" si="1"/>
        <v>117</v>
      </c>
      <c r="C120" s="236"/>
      <c r="D120" s="236" t="s">
        <v>355</v>
      </c>
      <c r="E120" s="242">
        <v>0.0625</v>
      </c>
      <c r="F120" s="243">
        <v>51568.0</v>
      </c>
      <c r="G120" s="236" t="s">
        <v>248</v>
      </c>
      <c r="H120" s="235" t="s">
        <v>342</v>
      </c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</row>
    <row r="121" ht="14.25" customHeight="1">
      <c r="A121" s="235"/>
      <c r="B121" s="241">
        <f t="shared" si="1"/>
        <v>118</v>
      </c>
      <c r="C121" s="236"/>
      <c r="D121" s="236" t="s">
        <v>356</v>
      </c>
      <c r="E121" s="242">
        <v>0.063</v>
      </c>
      <c r="F121" s="243">
        <v>54231.0</v>
      </c>
      <c r="G121" s="236" t="s">
        <v>248</v>
      </c>
      <c r="H121" s="235" t="s">
        <v>342</v>
      </c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</row>
    <row r="122" ht="14.25" customHeight="1">
      <c r="A122" s="235"/>
      <c r="B122" s="241">
        <f t="shared" si="1"/>
        <v>119</v>
      </c>
      <c r="C122" s="236"/>
      <c r="D122" s="236" t="s">
        <v>357</v>
      </c>
      <c r="E122" s="242">
        <v>0.0775</v>
      </c>
      <c r="F122" s="243">
        <v>44720.0</v>
      </c>
      <c r="G122" s="236" t="s">
        <v>248</v>
      </c>
      <c r="H122" s="235" t="s">
        <v>249</v>
      </c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</row>
    <row r="123" ht="14.25" customHeight="1">
      <c r="A123" s="235"/>
      <c r="B123" s="241">
        <f t="shared" si="1"/>
        <v>120</v>
      </c>
      <c r="C123" s="236"/>
      <c r="D123" s="236" t="s">
        <v>358</v>
      </c>
      <c r="E123" s="242">
        <v>0.05375</v>
      </c>
      <c r="F123" s="243">
        <v>44824.0</v>
      </c>
      <c r="G123" s="236" t="s">
        <v>248</v>
      </c>
      <c r="H123" s="235" t="s">
        <v>359</v>
      </c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</row>
    <row r="124" ht="14.25" customHeight="1">
      <c r="A124" s="235"/>
      <c r="B124" s="241">
        <f t="shared" si="1"/>
        <v>121</v>
      </c>
      <c r="C124" s="236"/>
      <c r="D124" s="236" t="s">
        <v>360</v>
      </c>
      <c r="E124" s="242">
        <v>0.085</v>
      </c>
      <c r="F124" s="243">
        <v>45396.0</v>
      </c>
      <c r="G124" s="236" t="s">
        <v>248</v>
      </c>
      <c r="H124" s="235" t="s">
        <v>359</v>
      </c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</row>
    <row r="125" ht="14.25" customHeight="1">
      <c r="A125" s="235"/>
      <c r="B125" s="241">
        <f t="shared" si="1"/>
        <v>122</v>
      </c>
      <c r="C125" s="236"/>
      <c r="D125" s="236" t="s">
        <v>361</v>
      </c>
      <c r="E125" s="242">
        <v>0.0897</v>
      </c>
      <c r="F125" s="243">
        <v>46598.0</v>
      </c>
      <c r="G125" s="236" t="s">
        <v>251</v>
      </c>
      <c r="H125" s="235" t="s">
        <v>359</v>
      </c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</row>
    <row r="126" ht="14.25" customHeight="1">
      <c r="A126" s="235"/>
      <c r="B126" s="241">
        <f t="shared" si="1"/>
        <v>123</v>
      </c>
      <c r="C126" s="236"/>
      <c r="D126" s="236" t="s">
        <v>362</v>
      </c>
      <c r="E126" s="242">
        <v>0.07375</v>
      </c>
      <c r="F126" s="243">
        <v>44711.0</v>
      </c>
      <c r="G126" s="236" t="s">
        <v>248</v>
      </c>
      <c r="H126" s="235" t="s">
        <v>249</v>
      </c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</row>
    <row r="127" ht="14.25" customHeight="1">
      <c r="A127" s="235"/>
      <c r="B127" s="241">
        <f t="shared" si="1"/>
        <v>124</v>
      </c>
      <c r="C127" s="236"/>
      <c r="D127" s="236" t="s">
        <v>71</v>
      </c>
      <c r="E127" s="242">
        <v>0.1985</v>
      </c>
      <c r="F127" s="243">
        <v>45943.0</v>
      </c>
      <c r="G127" s="236"/>
      <c r="H127" s="235" t="s">
        <v>289</v>
      </c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</row>
    <row r="128" ht="14.25" customHeight="1">
      <c r="A128" s="235"/>
      <c r="B128" s="241">
        <f t="shared" si="1"/>
        <v>125</v>
      </c>
      <c r="C128" s="236"/>
      <c r="D128" s="236" t="s">
        <v>87</v>
      </c>
      <c r="E128" s="242">
        <v>0.1925</v>
      </c>
      <c r="F128" s="243">
        <v>46405.0</v>
      </c>
      <c r="G128" s="236"/>
      <c r="H128" s="235" t="s">
        <v>289</v>
      </c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</row>
    <row r="129" ht="14.25" customHeight="1">
      <c r="A129" s="235"/>
      <c r="B129" s="241">
        <f t="shared" si="1"/>
        <v>126</v>
      </c>
      <c r="C129" s="236"/>
      <c r="D129" s="236" t="s">
        <v>94</v>
      </c>
      <c r="E129" s="242">
        <v>0.205</v>
      </c>
      <c r="F129" s="243">
        <v>46699.0</v>
      </c>
      <c r="G129" s="236"/>
      <c r="H129" s="235" t="s">
        <v>289</v>
      </c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</row>
    <row r="130" ht="14.25" customHeight="1">
      <c r="A130" s="235"/>
      <c r="B130" s="241">
        <f t="shared" si="1"/>
        <v>127</v>
      </c>
      <c r="C130" s="236"/>
      <c r="D130" s="236" t="s">
        <v>99</v>
      </c>
      <c r="E130" s="242">
        <v>0.2</v>
      </c>
      <c r="F130" s="243">
        <v>46608.0</v>
      </c>
      <c r="G130" s="236"/>
      <c r="H130" s="235" t="s">
        <v>289</v>
      </c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</row>
    <row r="131" ht="14.25" customHeight="1">
      <c r="A131" s="235"/>
      <c r="B131" s="241">
        <f t="shared" si="1"/>
        <v>128</v>
      </c>
      <c r="C131" s="236"/>
      <c r="D131" s="236" t="s">
        <v>112</v>
      </c>
      <c r="E131" s="242">
        <v>0.175</v>
      </c>
      <c r="F131" s="243">
        <v>46902.0</v>
      </c>
      <c r="G131" s="236"/>
      <c r="H131" s="235" t="s">
        <v>289</v>
      </c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</row>
    <row r="132" ht="14.25" customHeight="1">
      <c r="A132" s="235"/>
      <c r="B132" s="241">
        <f t="shared" si="1"/>
        <v>129</v>
      </c>
      <c r="C132" s="236"/>
      <c r="D132" s="236" t="s">
        <v>81</v>
      </c>
      <c r="E132" s="242">
        <v>0.0775</v>
      </c>
      <c r="F132" s="243">
        <v>46113.0</v>
      </c>
      <c r="G132" s="236" t="s">
        <v>305</v>
      </c>
      <c r="H132" s="235" t="s">
        <v>249</v>
      </c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</row>
    <row r="133" ht="14.25" customHeight="1">
      <c r="A133" s="235"/>
      <c r="B133" s="241">
        <f t="shared" si="1"/>
        <v>130</v>
      </c>
      <c r="C133" s="236"/>
      <c r="D133" s="236" t="s">
        <v>363</v>
      </c>
      <c r="E133" s="242">
        <v>0.07125</v>
      </c>
      <c r="F133" s="243">
        <v>46069.0</v>
      </c>
      <c r="G133" s="236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</row>
    <row r="134" ht="14.25" customHeight="1">
      <c r="A134" s="235"/>
      <c r="B134" s="241">
        <f t="shared" si="1"/>
        <v>131</v>
      </c>
      <c r="C134" s="236"/>
      <c r="D134" s="236" t="s">
        <v>364</v>
      </c>
      <c r="E134" s="242">
        <v>0.0875</v>
      </c>
      <c r="F134" s="243">
        <v>48016.0</v>
      </c>
      <c r="G134" s="236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</row>
    <row r="135" ht="14.25" customHeight="1">
      <c r="A135" s="235"/>
      <c r="B135" s="241">
        <f t="shared" si="1"/>
        <v>132</v>
      </c>
      <c r="C135" s="236"/>
      <c r="D135" s="236" t="s">
        <v>365</v>
      </c>
      <c r="E135" s="242">
        <v>0.0</v>
      </c>
      <c r="F135" s="243">
        <v>45754.0</v>
      </c>
      <c r="G135" s="236"/>
      <c r="H135" s="235" t="s">
        <v>289</v>
      </c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</row>
    <row r="136" ht="14.25" customHeight="1">
      <c r="A136" s="235"/>
      <c r="B136" s="241">
        <f t="shared" si="1"/>
        <v>133</v>
      </c>
      <c r="C136" s="236"/>
      <c r="D136" s="236" t="s">
        <v>160</v>
      </c>
      <c r="E136" s="242">
        <v>0.08375</v>
      </c>
      <c r="F136" s="243">
        <v>47201.0</v>
      </c>
      <c r="G136" s="236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</row>
    <row r="137" ht="14.25" customHeight="1">
      <c r="A137" s="235"/>
      <c r="B137" s="241">
        <f t="shared" si="1"/>
        <v>134</v>
      </c>
      <c r="C137" s="236"/>
      <c r="D137" s="236" t="s">
        <v>122</v>
      </c>
      <c r="E137" s="242">
        <v>0.19</v>
      </c>
      <c r="F137" s="243">
        <v>46328.0</v>
      </c>
      <c r="G137" s="236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</row>
    <row r="138" ht="14.25" customHeight="1">
      <c r="A138" s="235"/>
      <c r="B138" s="241">
        <f t="shared" si="1"/>
        <v>135</v>
      </c>
      <c r="C138" s="236"/>
      <c r="D138" s="236" t="s">
        <v>133</v>
      </c>
      <c r="E138" s="242">
        <v>0.183</v>
      </c>
      <c r="F138" s="243">
        <v>46083.0</v>
      </c>
      <c r="G138" s="236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</row>
    <row r="139" ht="14.25" customHeight="1">
      <c r="A139" s="235"/>
      <c r="B139" s="241">
        <f t="shared" si="1"/>
        <v>136</v>
      </c>
      <c r="C139" s="236"/>
      <c r="D139" s="236" t="s">
        <v>135</v>
      </c>
      <c r="E139" s="242">
        <v>0.1985</v>
      </c>
      <c r="F139" s="243">
        <v>45943.0</v>
      </c>
      <c r="G139" s="236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</row>
    <row r="140" ht="14.25" customHeight="1">
      <c r="A140" s="235"/>
      <c r="B140" s="241">
        <f t="shared" si="1"/>
        <v>137</v>
      </c>
      <c r="C140" s="236"/>
      <c r="D140" s="236" t="s">
        <v>142</v>
      </c>
      <c r="E140" s="242">
        <v>0.1925</v>
      </c>
      <c r="F140" s="243">
        <v>46405.0</v>
      </c>
      <c r="G140" s="236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</row>
    <row r="141" ht="14.25" customHeight="1">
      <c r="A141" s="235"/>
      <c r="B141" s="241">
        <f t="shared" si="1"/>
        <v>138</v>
      </c>
      <c r="C141" s="236"/>
      <c r="D141" s="236" t="s">
        <v>366</v>
      </c>
      <c r="E141" s="242">
        <v>0.08625</v>
      </c>
      <c r="F141" s="243">
        <v>49041.0</v>
      </c>
      <c r="G141" s="236"/>
      <c r="H141" s="235" t="s">
        <v>289</v>
      </c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</row>
    <row r="142" ht="14.25" customHeight="1">
      <c r="A142" s="235"/>
      <c r="B142" s="241">
        <f t="shared" si="1"/>
        <v>139</v>
      </c>
      <c r="C142" s="236"/>
      <c r="D142" s="236" t="s">
        <v>181</v>
      </c>
      <c r="E142" s="242">
        <v>0.06125</v>
      </c>
      <c r="F142" s="243">
        <v>46286.0</v>
      </c>
      <c r="G142" s="236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</row>
    <row r="143" ht="14.25" customHeight="1">
      <c r="A143" s="235"/>
      <c r="B143" s="241">
        <f t="shared" si="1"/>
        <v>140</v>
      </c>
      <c r="C143" s="236"/>
      <c r="D143" s="236" t="s">
        <v>367</v>
      </c>
      <c r="E143" s="242">
        <v>0.07625</v>
      </c>
      <c r="F143" s="243">
        <v>45982.0</v>
      </c>
      <c r="G143" s="236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</row>
    <row r="144" ht="14.25" customHeight="1">
      <c r="A144" s="235"/>
      <c r="B144" s="241">
        <f t="shared" si="1"/>
        <v>141</v>
      </c>
      <c r="C144" s="236"/>
      <c r="D144" s="236" t="s">
        <v>155</v>
      </c>
      <c r="E144" s="242">
        <v>0.09125</v>
      </c>
      <c r="F144" s="243">
        <v>46210.0</v>
      </c>
      <c r="G144" s="236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</row>
    <row r="145" ht="14.25" customHeight="1">
      <c r="A145" s="235"/>
      <c r="B145" s="241">
        <f t="shared" si="1"/>
        <v>142</v>
      </c>
      <c r="C145" s="236"/>
      <c r="D145" s="236" t="s">
        <v>137</v>
      </c>
      <c r="E145" s="242">
        <v>0.0875</v>
      </c>
      <c r="F145" s="243">
        <v>48016.0</v>
      </c>
      <c r="G145" s="236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</row>
    <row r="146" ht="14.25" customHeight="1">
      <c r="A146" s="235"/>
      <c r="B146" s="241">
        <f t="shared" si="1"/>
        <v>143</v>
      </c>
      <c r="C146" s="236"/>
      <c r="D146" s="236" t="s">
        <v>101</v>
      </c>
      <c r="E146" s="242">
        <v>0.0875</v>
      </c>
      <c r="F146" s="243">
        <v>48318.0</v>
      </c>
      <c r="G146" s="236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</row>
    <row r="147" ht="14.25" customHeight="1">
      <c r="A147" s="235"/>
      <c r="B147" s="241">
        <f t="shared" si="1"/>
        <v>144</v>
      </c>
      <c r="C147" s="236"/>
      <c r="D147" s="236" t="s">
        <v>183</v>
      </c>
      <c r="E147" s="242">
        <v>0.0675</v>
      </c>
      <c r="F147" s="243">
        <v>46345.0</v>
      </c>
      <c r="G147" s="236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</row>
    <row r="148" ht="14.25" customHeight="1">
      <c r="A148" s="235"/>
      <c r="B148" s="236"/>
      <c r="C148" s="236"/>
      <c r="D148" s="236"/>
      <c r="E148" s="236"/>
      <c r="F148" s="236"/>
      <c r="G148" s="236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</row>
    <row r="149" ht="14.25" customHeight="1">
      <c r="A149" s="235"/>
      <c r="B149" s="236"/>
      <c r="C149" s="236"/>
      <c r="D149" s="236"/>
      <c r="E149" s="236"/>
      <c r="F149" s="236"/>
      <c r="G149" s="236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</row>
    <row r="150" ht="14.25" customHeight="1">
      <c r="A150" s="235"/>
      <c r="B150" s="236"/>
      <c r="C150" s="236"/>
      <c r="D150" s="236"/>
      <c r="E150" s="236"/>
      <c r="F150" s="236"/>
      <c r="G150" s="236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</row>
    <row r="151" ht="14.25" customHeight="1">
      <c r="A151" s="235"/>
      <c r="B151" s="236"/>
      <c r="C151" s="236"/>
      <c r="D151" s="236"/>
      <c r="E151" s="236"/>
      <c r="F151" s="236"/>
      <c r="G151" s="236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</row>
    <row r="152" ht="14.25" customHeight="1">
      <c r="A152" s="235"/>
      <c r="B152" s="236"/>
      <c r="C152" s="236"/>
      <c r="D152" s="236"/>
      <c r="E152" s="236"/>
      <c r="F152" s="236"/>
      <c r="G152" s="236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</row>
    <row r="153" ht="14.25" customHeight="1">
      <c r="A153" s="235"/>
      <c r="B153" s="236"/>
      <c r="C153" s="236"/>
      <c r="D153" s="236"/>
      <c r="E153" s="236"/>
      <c r="F153" s="236"/>
      <c r="G153" s="236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</row>
    <row r="154" ht="14.25" customHeight="1">
      <c r="A154" s="235"/>
      <c r="B154" s="236"/>
      <c r="C154" s="236"/>
      <c r="D154" s="236"/>
      <c r="E154" s="236"/>
      <c r="F154" s="236"/>
      <c r="G154" s="236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</row>
    <row r="155" ht="14.25" customHeight="1">
      <c r="A155" s="235"/>
      <c r="B155" s="236"/>
      <c r="C155" s="236"/>
      <c r="D155" s="236"/>
      <c r="E155" s="236"/>
      <c r="F155" s="236"/>
      <c r="G155" s="236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</row>
    <row r="156" ht="14.25" customHeight="1">
      <c r="A156" s="235"/>
      <c r="B156" s="236"/>
      <c r="C156" s="236"/>
      <c r="D156" s="236"/>
      <c r="E156" s="236"/>
      <c r="F156" s="236"/>
      <c r="G156" s="236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</row>
    <row r="157" ht="14.25" customHeight="1">
      <c r="A157" s="235"/>
      <c r="B157" s="236"/>
      <c r="C157" s="236"/>
      <c r="D157" s="236"/>
      <c r="E157" s="236"/>
      <c r="F157" s="236"/>
      <c r="G157" s="236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</row>
    <row r="158" ht="14.25" customHeight="1">
      <c r="A158" s="235"/>
      <c r="B158" s="236"/>
      <c r="C158" s="236"/>
      <c r="D158" s="236"/>
      <c r="E158" s="236"/>
      <c r="F158" s="236"/>
      <c r="G158" s="236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</row>
    <row r="159" ht="14.25" customHeight="1">
      <c r="A159" s="235"/>
      <c r="B159" s="236"/>
      <c r="C159" s="236"/>
      <c r="D159" s="236"/>
      <c r="E159" s="236"/>
      <c r="F159" s="236"/>
      <c r="G159" s="236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</row>
    <row r="160" ht="14.25" customHeight="1">
      <c r="A160" s="235"/>
      <c r="B160" s="236"/>
      <c r="C160" s="236"/>
      <c r="D160" s="236"/>
      <c r="E160" s="236"/>
      <c r="F160" s="236"/>
      <c r="G160" s="236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</row>
    <row r="161" ht="14.25" customHeight="1">
      <c r="A161" s="235"/>
      <c r="B161" s="236"/>
      <c r="C161" s="236"/>
      <c r="D161" s="236"/>
      <c r="E161" s="236"/>
      <c r="F161" s="236"/>
      <c r="G161" s="236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</row>
    <row r="162" ht="14.25" customHeight="1">
      <c r="A162" s="235"/>
      <c r="B162" s="236"/>
      <c r="C162" s="236"/>
      <c r="D162" s="236"/>
      <c r="E162" s="236"/>
      <c r="F162" s="236"/>
      <c r="G162" s="236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</row>
    <row r="163" ht="14.25" customHeight="1">
      <c r="A163" s="235"/>
      <c r="B163" s="236"/>
      <c r="C163" s="236"/>
      <c r="D163" s="236"/>
      <c r="E163" s="236"/>
      <c r="F163" s="236"/>
      <c r="G163" s="236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</row>
    <row r="164" ht="14.25" customHeight="1">
      <c r="A164" s="235"/>
      <c r="B164" s="236"/>
      <c r="C164" s="236"/>
      <c r="D164" s="236"/>
      <c r="E164" s="236"/>
      <c r="F164" s="236"/>
      <c r="G164" s="236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</row>
    <row r="165" ht="14.25" customHeight="1">
      <c r="A165" s="235"/>
      <c r="B165" s="236"/>
      <c r="C165" s="236"/>
      <c r="D165" s="236"/>
      <c r="E165" s="236"/>
      <c r="F165" s="236"/>
      <c r="G165" s="236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</row>
    <row r="166" ht="14.25" customHeight="1">
      <c r="A166" s="235"/>
      <c r="B166" s="236"/>
      <c r="C166" s="236"/>
      <c r="D166" s="236"/>
      <c r="E166" s="236"/>
      <c r="F166" s="236"/>
      <c r="G166" s="236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</row>
    <row r="167" ht="14.25" customHeight="1">
      <c r="A167" s="235"/>
      <c r="B167" s="236"/>
      <c r="C167" s="236"/>
      <c r="D167" s="236"/>
      <c r="E167" s="236"/>
      <c r="F167" s="236"/>
      <c r="G167" s="236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</row>
    <row r="168" ht="14.25" customHeight="1">
      <c r="A168" s="235"/>
      <c r="B168" s="236"/>
      <c r="C168" s="236"/>
      <c r="D168" s="236"/>
      <c r="E168" s="236"/>
      <c r="F168" s="236"/>
      <c r="G168" s="236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</row>
    <row r="169" ht="14.25" customHeight="1">
      <c r="A169" s="235"/>
      <c r="B169" s="236"/>
      <c r="C169" s="236"/>
      <c r="D169" s="236"/>
      <c r="E169" s="236"/>
      <c r="F169" s="236"/>
      <c r="G169" s="236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</row>
    <row r="170" ht="14.25" customHeight="1">
      <c r="A170" s="235"/>
      <c r="B170" s="236"/>
      <c r="C170" s="236"/>
      <c r="D170" s="236"/>
      <c r="E170" s="236"/>
      <c r="F170" s="236"/>
      <c r="G170" s="236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</row>
    <row r="171" ht="14.25" customHeight="1">
      <c r="A171" s="235"/>
      <c r="B171" s="236"/>
      <c r="C171" s="236"/>
      <c r="D171" s="236"/>
      <c r="E171" s="236"/>
      <c r="F171" s="236"/>
      <c r="G171" s="236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</row>
    <row r="172" ht="14.25" customHeight="1">
      <c r="A172" s="235"/>
      <c r="B172" s="236"/>
      <c r="C172" s="236"/>
      <c r="D172" s="236"/>
      <c r="E172" s="236"/>
      <c r="F172" s="236"/>
      <c r="G172" s="236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</row>
    <row r="173" ht="14.25" customHeight="1">
      <c r="A173" s="235"/>
      <c r="B173" s="236"/>
      <c r="C173" s="236"/>
      <c r="D173" s="236"/>
      <c r="E173" s="236"/>
      <c r="F173" s="236"/>
      <c r="G173" s="236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</row>
    <row r="174" ht="14.25" customHeight="1">
      <c r="A174" s="235"/>
      <c r="B174" s="236"/>
      <c r="C174" s="236"/>
      <c r="D174" s="236"/>
      <c r="E174" s="236"/>
      <c r="F174" s="236"/>
      <c r="G174" s="236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</row>
    <row r="175" ht="14.25" customHeight="1">
      <c r="A175" s="235"/>
      <c r="B175" s="236"/>
      <c r="C175" s="236"/>
      <c r="D175" s="236"/>
      <c r="E175" s="236"/>
      <c r="F175" s="236"/>
      <c r="G175" s="236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</row>
    <row r="176" ht="14.25" customHeight="1">
      <c r="A176" s="235"/>
      <c r="B176" s="236"/>
      <c r="C176" s="236"/>
      <c r="D176" s="236"/>
      <c r="E176" s="236"/>
      <c r="F176" s="236"/>
      <c r="G176" s="236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</row>
    <row r="177" ht="14.25" customHeight="1">
      <c r="A177" s="235"/>
      <c r="B177" s="236"/>
      <c r="C177" s="236"/>
      <c r="D177" s="236"/>
      <c r="E177" s="236"/>
      <c r="F177" s="236"/>
      <c r="G177" s="236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</row>
    <row r="178" ht="14.25" customHeight="1">
      <c r="A178" s="235"/>
      <c r="B178" s="236"/>
      <c r="C178" s="236"/>
      <c r="D178" s="236"/>
      <c r="E178" s="236"/>
      <c r="F178" s="236"/>
      <c r="G178" s="236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</row>
    <row r="179" ht="14.25" customHeight="1">
      <c r="A179" s="235"/>
      <c r="B179" s="236"/>
      <c r="C179" s="236"/>
      <c r="D179" s="236"/>
      <c r="E179" s="236"/>
      <c r="F179" s="236"/>
      <c r="G179" s="236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</row>
    <row r="180" ht="14.25" customHeight="1">
      <c r="A180" s="235"/>
      <c r="B180" s="236"/>
      <c r="C180" s="236"/>
      <c r="D180" s="236"/>
      <c r="E180" s="236"/>
      <c r="F180" s="236"/>
      <c r="G180" s="236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</row>
    <row r="181" ht="14.25" customHeight="1">
      <c r="A181" s="235"/>
      <c r="B181" s="236"/>
      <c r="C181" s="236"/>
      <c r="D181" s="236"/>
      <c r="E181" s="236"/>
      <c r="F181" s="236"/>
      <c r="G181" s="236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</row>
    <row r="182" ht="14.25" customHeight="1">
      <c r="A182" s="235"/>
      <c r="B182" s="236"/>
      <c r="C182" s="236"/>
      <c r="D182" s="236"/>
      <c r="E182" s="236"/>
      <c r="F182" s="236"/>
      <c r="G182" s="236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</row>
    <row r="183" ht="14.25" customHeight="1">
      <c r="A183" s="235"/>
      <c r="B183" s="236"/>
      <c r="C183" s="236"/>
      <c r="D183" s="236"/>
      <c r="E183" s="236"/>
      <c r="F183" s="236"/>
      <c r="G183" s="236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</row>
    <row r="184" ht="14.25" customHeight="1">
      <c r="A184" s="235"/>
      <c r="B184" s="236"/>
      <c r="C184" s="236"/>
      <c r="D184" s="236"/>
      <c r="E184" s="236"/>
      <c r="F184" s="236"/>
      <c r="G184" s="236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</row>
    <row r="185" ht="14.25" customHeight="1">
      <c r="A185" s="235"/>
      <c r="B185" s="236"/>
      <c r="C185" s="236"/>
      <c r="D185" s="236"/>
      <c r="E185" s="236"/>
      <c r="F185" s="236"/>
      <c r="G185" s="236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</row>
    <row r="186" ht="14.25" customHeight="1">
      <c r="A186" s="235"/>
      <c r="B186" s="236"/>
      <c r="C186" s="236"/>
      <c r="D186" s="236"/>
      <c r="E186" s="236"/>
      <c r="F186" s="236"/>
      <c r="G186" s="236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</row>
    <row r="187" ht="14.25" customHeight="1">
      <c r="A187" s="235"/>
      <c r="B187" s="236"/>
      <c r="C187" s="236"/>
      <c r="D187" s="236"/>
      <c r="E187" s="236"/>
      <c r="F187" s="236"/>
      <c r="G187" s="236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</row>
    <row r="188" ht="14.25" customHeight="1">
      <c r="A188" s="235"/>
      <c r="B188" s="236"/>
      <c r="C188" s="236"/>
      <c r="D188" s="236"/>
      <c r="E188" s="236"/>
      <c r="F188" s="236"/>
      <c r="G188" s="236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</row>
    <row r="189" ht="14.25" customHeight="1">
      <c r="A189" s="235"/>
      <c r="B189" s="236"/>
      <c r="C189" s="236"/>
      <c r="D189" s="236"/>
      <c r="E189" s="236"/>
      <c r="F189" s="236"/>
      <c r="G189" s="236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</row>
    <row r="190" ht="14.25" customHeight="1">
      <c r="A190" s="235"/>
      <c r="B190" s="236"/>
      <c r="C190" s="236"/>
      <c r="D190" s="236"/>
      <c r="E190" s="236"/>
      <c r="F190" s="236"/>
      <c r="G190" s="236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</row>
    <row r="191" ht="14.25" customHeight="1">
      <c r="A191" s="235"/>
      <c r="B191" s="236"/>
      <c r="C191" s="236"/>
      <c r="D191" s="236"/>
      <c r="E191" s="236"/>
      <c r="F191" s="236"/>
      <c r="G191" s="236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</row>
    <row r="192" ht="14.25" customHeight="1">
      <c r="A192" s="235"/>
      <c r="B192" s="236"/>
      <c r="C192" s="236"/>
      <c r="D192" s="236"/>
      <c r="E192" s="236"/>
      <c r="F192" s="236"/>
      <c r="G192" s="236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</row>
    <row r="193" ht="14.25" customHeight="1">
      <c r="A193" s="235"/>
      <c r="B193" s="236"/>
      <c r="C193" s="236"/>
      <c r="D193" s="236"/>
      <c r="E193" s="236"/>
      <c r="F193" s="236"/>
      <c r="G193" s="236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</row>
    <row r="194" ht="14.25" customHeight="1">
      <c r="A194" s="235"/>
      <c r="B194" s="236"/>
      <c r="C194" s="236"/>
      <c r="D194" s="236"/>
      <c r="E194" s="236"/>
      <c r="F194" s="236"/>
      <c r="G194" s="236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</row>
    <row r="195" ht="14.25" customHeight="1">
      <c r="A195" s="235"/>
      <c r="B195" s="236"/>
      <c r="C195" s="236"/>
      <c r="D195" s="236"/>
      <c r="E195" s="236"/>
      <c r="F195" s="236"/>
      <c r="G195" s="236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</row>
    <row r="196" ht="14.25" customHeight="1">
      <c r="A196" s="235"/>
      <c r="B196" s="236"/>
      <c r="C196" s="236"/>
      <c r="D196" s="236"/>
      <c r="E196" s="236"/>
      <c r="F196" s="236"/>
      <c r="G196" s="236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</row>
    <row r="197" ht="14.25" customHeight="1">
      <c r="A197" s="235"/>
      <c r="B197" s="236"/>
      <c r="C197" s="236"/>
      <c r="D197" s="236"/>
      <c r="E197" s="236"/>
      <c r="F197" s="236"/>
      <c r="G197" s="236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</row>
    <row r="198" ht="14.25" customHeight="1">
      <c r="A198" s="235"/>
      <c r="B198" s="236"/>
      <c r="C198" s="236"/>
      <c r="D198" s="236"/>
      <c r="E198" s="236"/>
      <c r="F198" s="236"/>
      <c r="G198" s="236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</row>
    <row r="199" ht="14.25" customHeight="1">
      <c r="A199" s="235"/>
      <c r="B199" s="236"/>
      <c r="C199" s="236"/>
      <c r="D199" s="236"/>
      <c r="E199" s="236"/>
      <c r="F199" s="236"/>
      <c r="G199" s="236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</row>
    <row r="200" ht="14.25" customHeight="1">
      <c r="A200" s="235"/>
      <c r="B200" s="236"/>
      <c r="C200" s="236"/>
      <c r="D200" s="236"/>
      <c r="E200" s="236"/>
      <c r="F200" s="236"/>
      <c r="G200" s="236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</row>
    <row r="201" ht="14.25" customHeight="1">
      <c r="A201" s="235"/>
      <c r="B201" s="236"/>
      <c r="C201" s="236"/>
      <c r="D201" s="236"/>
      <c r="E201" s="236"/>
      <c r="F201" s="236"/>
      <c r="G201" s="236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</row>
    <row r="202" ht="14.25" customHeight="1">
      <c r="A202" s="235"/>
      <c r="B202" s="236"/>
      <c r="C202" s="236"/>
      <c r="D202" s="236"/>
      <c r="E202" s="236"/>
      <c r="F202" s="236"/>
      <c r="G202" s="236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</row>
    <row r="203" ht="14.25" customHeight="1">
      <c r="A203" s="235"/>
      <c r="B203" s="236"/>
      <c r="C203" s="236"/>
      <c r="D203" s="236"/>
      <c r="E203" s="236"/>
      <c r="F203" s="236"/>
      <c r="G203" s="236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</row>
    <row r="204" ht="14.25" customHeight="1">
      <c r="A204" s="235"/>
      <c r="B204" s="236"/>
      <c r="C204" s="236"/>
      <c r="D204" s="236"/>
      <c r="E204" s="236"/>
      <c r="F204" s="236"/>
      <c r="G204" s="236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</row>
    <row r="205" ht="14.25" customHeight="1">
      <c r="A205" s="235"/>
      <c r="B205" s="236"/>
      <c r="C205" s="236"/>
      <c r="D205" s="236"/>
      <c r="E205" s="236"/>
      <c r="F205" s="236"/>
      <c r="G205" s="236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</row>
    <row r="206" ht="14.25" customHeight="1">
      <c r="A206" s="235"/>
      <c r="B206" s="236"/>
      <c r="C206" s="236"/>
      <c r="D206" s="236"/>
      <c r="E206" s="236"/>
      <c r="F206" s="236"/>
      <c r="G206" s="236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</row>
    <row r="207" ht="14.25" customHeight="1">
      <c r="A207" s="235"/>
      <c r="B207" s="236"/>
      <c r="C207" s="236"/>
      <c r="D207" s="236"/>
      <c r="E207" s="236"/>
      <c r="F207" s="236"/>
      <c r="G207" s="236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</row>
    <row r="208" ht="14.25" customHeight="1">
      <c r="A208" s="235"/>
      <c r="B208" s="236"/>
      <c r="C208" s="236"/>
      <c r="D208" s="236"/>
      <c r="E208" s="236"/>
      <c r="F208" s="236"/>
      <c r="G208" s="236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</row>
    <row r="209" ht="14.25" customHeight="1">
      <c r="A209" s="235"/>
      <c r="B209" s="236"/>
      <c r="C209" s="236"/>
      <c r="D209" s="236"/>
      <c r="E209" s="236"/>
      <c r="F209" s="236"/>
      <c r="G209" s="236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</row>
    <row r="210" ht="14.25" customHeight="1">
      <c r="A210" s="235"/>
      <c r="B210" s="236"/>
      <c r="C210" s="236"/>
      <c r="D210" s="236"/>
      <c r="E210" s="236"/>
      <c r="F210" s="236"/>
      <c r="G210" s="236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</row>
    <row r="211" ht="14.25" customHeight="1">
      <c r="A211" s="235"/>
      <c r="B211" s="236"/>
      <c r="C211" s="236"/>
      <c r="D211" s="236"/>
      <c r="E211" s="236"/>
      <c r="F211" s="236"/>
      <c r="G211" s="236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</row>
    <row r="212" ht="14.25" customHeight="1">
      <c r="A212" s="235"/>
      <c r="B212" s="236"/>
      <c r="C212" s="236"/>
      <c r="D212" s="236"/>
      <c r="E212" s="236"/>
      <c r="F212" s="236"/>
      <c r="G212" s="236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</row>
    <row r="213" ht="14.25" customHeight="1">
      <c r="A213" s="235"/>
      <c r="B213" s="236"/>
      <c r="C213" s="236"/>
      <c r="D213" s="236"/>
      <c r="E213" s="236"/>
      <c r="F213" s="236"/>
      <c r="G213" s="236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</row>
    <row r="214" ht="14.25" customHeight="1">
      <c r="A214" s="235"/>
      <c r="B214" s="236"/>
      <c r="C214" s="236"/>
      <c r="D214" s="236"/>
      <c r="E214" s="236"/>
      <c r="F214" s="236"/>
      <c r="G214" s="236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</row>
    <row r="215" ht="14.25" customHeight="1">
      <c r="A215" s="235"/>
      <c r="B215" s="236"/>
      <c r="C215" s="236"/>
      <c r="D215" s="236"/>
      <c r="E215" s="236"/>
      <c r="F215" s="236"/>
      <c r="G215" s="236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</row>
    <row r="216" ht="14.25" customHeight="1">
      <c r="A216" s="235"/>
      <c r="B216" s="236"/>
      <c r="C216" s="236"/>
      <c r="D216" s="236"/>
      <c r="E216" s="236"/>
      <c r="F216" s="236"/>
      <c r="G216" s="236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</row>
    <row r="217" ht="14.25" customHeight="1">
      <c r="A217" s="235"/>
      <c r="B217" s="236"/>
      <c r="C217" s="236"/>
      <c r="D217" s="236"/>
      <c r="E217" s="236"/>
      <c r="F217" s="236"/>
      <c r="G217" s="236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</row>
    <row r="218" ht="14.25" customHeight="1">
      <c r="A218" s="235"/>
      <c r="B218" s="236"/>
      <c r="C218" s="236"/>
      <c r="D218" s="236"/>
      <c r="E218" s="236"/>
      <c r="F218" s="236"/>
      <c r="G218" s="236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</row>
    <row r="219" ht="14.25" customHeight="1">
      <c r="A219" s="235"/>
      <c r="B219" s="236"/>
      <c r="C219" s="236"/>
      <c r="D219" s="236"/>
      <c r="E219" s="236"/>
      <c r="F219" s="236"/>
      <c r="G219" s="236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</row>
    <row r="220" ht="14.25" customHeight="1">
      <c r="A220" s="235"/>
      <c r="B220" s="236"/>
      <c r="C220" s="236"/>
      <c r="D220" s="236"/>
      <c r="E220" s="236"/>
      <c r="F220" s="236"/>
      <c r="G220" s="236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</row>
    <row r="221" ht="14.25" customHeight="1">
      <c r="A221" s="235"/>
      <c r="B221" s="236"/>
      <c r="C221" s="236"/>
      <c r="D221" s="236"/>
      <c r="E221" s="236"/>
      <c r="F221" s="236"/>
      <c r="G221" s="236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</row>
    <row r="222" ht="14.25" customHeight="1">
      <c r="A222" s="235"/>
      <c r="B222" s="236"/>
      <c r="C222" s="236"/>
      <c r="D222" s="236"/>
      <c r="E222" s="236"/>
      <c r="F222" s="236"/>
      <c r="G222" s="236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</row>
    <row r="223" ht="14.25" customHeight="1">
      <c r="A223" s="235"/>
      <c r="B223" s="236"/>
      <c r="C223" s="236"/>
      <c r="D223" s="236"/>
      <c r="E223" s="236"/>
      <c r="F223" s="236"/>
      <c r="G223" s="236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</row>
    <row r="224" ht="14.25" customHeight="1">
      <c r="A224" s="235"/>
      <c r="B224" s="236"/>
      <c r="C224" s="236"/>
      <c r="D224" s="236"/>
      <c r="E224" s="236"/>
      <c r="F224" s="236"/>
      <c r="G224" s="236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</row>
    <row r="225" ht="14.25" customHeight="1">
      <c r="A225" s="235"/>
      <c r="B225" s="236"/>
      <c r="C225" s="236"/>
      <c r="D225" s="236"/>
      <c r="E225" s="236"/>
      <c r="F225" s="236"/>
      <c r="G225" s="236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</row>
    <row r="226" ht="14.25" customHeight="1">
      <c r="A226" s="235"/>
      <c r="B226" s="236"/>
      <c r="C226" s="236"/>
      <c r="D226" s="236"/>
      <c r="E226" s="236"/>
      <c r="F226" s="236"/>
      <c r="G226" s="236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</row>
    <row r="227" ht="14.25" customHeight="1">
      <c r="A227" s="235"/>
      <c r="B227" s="236"/>
      <c r="C227" s="236"/>
      <c r="D227" s="236"/>
      <c r="E227" s="236"/>
      <c r="F227" s="236"/>
      <c r="G227" s="236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</row>
    <row r="228" ht="14.25" customHeight="1">
      <c r="A228" s="235"/>
      <c r="B228" s="236"/>
      <c r="C228" s="236"/>
      <c r="D228" s="236"/>
      <c r="E228" s="236"/>
      <c r="F228" s="236"/>
      <c r="G228" s="236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</row>
    <row r="229" ht="14.25" customHeight="1">
      <c r="A229" s="235"/>
      <c r="B229" s="236"/>
      <c r="C229" s="236"/>
      <c r="D229" s="236"/>
      <c r="E229" s="236"/>
      <c r="F229" s="236"/>
      <c r="G229" s="236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</row>
    <row r="230" ht="14.25" customHeight="1">
      <c r="A230" s="235"/>
      <c r="B230" s="236"/>
      <c r="C230" s="236"/>
      <c r="D230" s="236"/>
      <c r="E230" s="236"/>
      <c r="F230" s="236"/>
      <c r="G230" s="236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</row>
    <row r="231" ht="14.25" customHeight="1">
      <c r="A231" s="235"/>
      <c r="B231" s="236"/>
      <c r="C231" s="236"/>
      <c r="D231" s="236"/>
      <c r="E231" s="236"/>
      <c r="F231" s="236"/>
      <c r="G231" s="236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</row>
    <row r="232" ht="14.25" customHeight="1">
      <c r="A232" s="235"/>
      <c r="B232" s="236"/>
      <c r="C232" s="236"/>
      <c r="D232" s="236"/>
      <c r="E232" s="236"/>
      <c r="F232" s="236"/>
      <c r="G232" s="236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</row>
    <row r="233" ht="14.25" customHeight="1">
      <c r="A233" s="235"/>
      <c r="B233" s="236"/>
      <c r="C233" s="236"/>
      <c r="D233" s="236"/>
      <c r="E233" s="236"/>
      <c r="F233" s="236"/>
      <c r="G233" s="236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</row>
    <row r="234" ht="14.25" customHeight="1">
      <c r="A234" s="235"/>
      <c r="B234" s="236"/>
      <c r="C234" s="236"/>
      <c r="D234" s="236"/>
      <c r="E234" s="236"/>
      <c r="F234" s="236"/>
      <c r="G234" s="236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</row>
    <row r="235" ht="14.25" customHeight="1">
      <c r="A235" s="235"/>
      <c r="B235" s="236"/>
      <c r="C235" s="236"/>
      <c r="D235" s="236"/>
      <c r="E235" s="236"/>
      <c r="F235" s="236"/>
      <c r="G235" s="236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</row>
    <row r="236" ht="14.25" customHeight="1">
      <c r="A236" s="235"/>
      <c r="B236" s="236"/>
      <c r="C236" s="236"/>
      <c r="D236" s="236"/>
      <c r="E236" s="236"/>
      <c r="F236" s="236"/>
      <c r="G236" s="236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</row>
    <row r="237" ht="14.25" customHeight="1">
      <c r="A237" s="235"/>
      <c r="B237" s="236"/>
      <c r="C237" s="236"/>
      <c r="D237" s="236"/>
      <c r="E237" s="236"/>
      <c r="F237" s="236"/>
      <c r="G237" s="236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</row>
    <row r="238" ht="14.25" customHeight="1">
      <c r="A238" s="235"/>
      <c r="B238" s="236"/>
      <c r="C238" s="236"/>
      <c r="D238" s="236"/>
      <c r="E238" s="236"/>
      <c r="F238" s="236"/>
      <c r="G238" s="236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</row>
    <row r="239" ht="14.25" customHeight="1">
      <c r="A239" s="235"/>
      <c r="B239" s="236"/>
      <c r="C239" s="236"/>
      <c r="D239" s="236"/>
      <c r="E239" s="236"/>
      <c r="F239" s="236"/>
      <c r="G239" s="236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</row>
    <row r="240" ht="14.25" customHeight="1">
      <c r="A240" s="235"/>
      <c r="B240" s="236"/>
      <c r="C240" s="236"/>
      <c r="D240" s="236"/>
      <c r="E240" s="236"/>
      <c r="F240" s="236"/>
      <c r="G240" s="236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</row>
    <row r="241" ht="14.25" customHeight="1">
      <c r="A241" s="235"/>
      <c r="B241" s="236"/>
      <c r="C241" s="236"/>
      <c r="D241" s="236"/>
      <c r="E241" s="236"/>
      <c r="F241" s="236"/>
      <c r="G241" s="236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</row>
    <row r="242" ht="14.25" customHeight="1">
      <c r="A242" s="235"/>
      <c r="B242" s="236"/>
      <c r="C242" s="236"/>
      <c r="D242" s="236"/>
      <c r="E242" s="236"/>
      <c r="F242" s="236"/>
      <c r="G242" s="236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</row>
    <row r="243" ht="14.25" customHeight="1">
      <c r="A243" s="235"/>
      <c r="B243" s="236"/>
      <c r="C243" s="236"/>
      <c r="D243" s="236"/>
      <c r="E243" s="236"/>
      <c r="F243" s="236"/>
      <c r="G243" s="236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</row>
    <row r="244" ht="14.25" customHeight="1">
      <c r="A244" s="235"/>
      <c r="B244" s="236"/>
      <c r="C244" s="236"/>
      <c r="D244" s="236"/>
      <c r="E244" s="236"/>
      <c r="F244" s="236"/>
      <c r="G244" s="236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</row>
    <row r="245" ht="14.25" customHeight="1">
      <c r="A245" s="235"/>
      <c r="B245" s="236"/>
      <c r="C245" s="236"/>
      <c r="D245" s="236"/>
      <c r="E245" s="236"/>
      <c r="F245" s="236"/>
      <c r="G245" s="236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</row>
    <row r="246" ht="14.25" customHeight="1">
      <c r="A246" s="235"/>
      <c r="B246" s="236"/>
      <c r="C246" s="236"/>
      <c r="D246" s="236"/>
      <c r="E246" s="236"/>
      <c r="F246" s="236"/>
      <c r="G246" s="236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</row>
    <row r="247" ht="14.25" customHeight="1">
      <c r="A247" s="235"/>
      <c r="B247" s="236"/>
      <c r="C247" s="236"/>
      <c r="D247" s="236"/>
      <c r="E247" s="236"/>
      <c r="F247" s="236"/>
      <c r="G247" s="236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</row>
    <row r="248" ht="14.25" customHeight="1">
      <c r="A248" s="235"/>
      <c r="B248" s="236"/>
      <c r="C248" s="236"/>
      <c r="D248" s="236"/>
      <c r="E248" s="236"/>
      <c r="F248" s="236"/>
      <c r="G248" s="236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</row>
    <row r="249" ht="14.25" customHeight="1">
      <c r="A249" s="235"/>
      <c r="B249" s="236"/>
      <c r="C249" s="236"/>
      <c r="D249" s="236"/>
      <c r="E249" s="236"/>
      <c r="F249" s="236"/>
      <c r="G249" s="236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</row>
    <row r="250" ht="14.25" customHeight="1">
      <c r="A250" s="235"/>
      <c r="B250" s="236"/>
      <c r="C250" s="236"/>
      <c r="D250" s="236"/>
      <c r="E250" s="236"/>
      <c r="F250" s="236"/>
      <c r="G250" s="236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</row>
    <row r="251" ht="14.25" customHeight="1">
      <c r="A251" s="235"/>
      <c r="B251" s="236"/>
      <c r="C251" s="236"/>
      <c r="D251" s="236"/>
      <c r="E251" s="236"/>
      <c r="F251" s="236"/>
      <c r="G251" s="236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</row>
    <row r="252" ht="14.25" customHeight="1">
      <c r="A252" s="235"/>
      <c r="B252" s="236"/>
      <c r="C252" s="236"/>
      <c r="D252" s="236"/>
      <c r="E252" s="236"/>
      <c r="F252" s="236"/>
      <c r="G252" s="236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</row>
    <row r="253" ht="14.25" customHeight="1">
      <c r="A253" s="235"/>
      <c r="B253" s="236"/>
      <c r="C253" s="236"/>
      <c r="D253" s="236"/>
      <c r="E253" s="236"/>
      <c r="F253" s="236"/>
      <c r="G253" s="236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</row>
    <row r="254" ht="14.25" customHeight="1">
      <c r="A254" s="235"/>
      <c r="B254" s="236"/>
      <c r="C254" s="236"/>
      <c r="D254" s="236"/>
      <c r="E254" s="236"/>
      <c r="F254" s="236"/>
      <c r="G254" s="236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</row>
    <row r="255" ht="14.25" customHeight="1">
      <c r="A255" s="235"/>
      <c r="B255" s="236"/>
      <c r="C255" s="236"/>
      <c r="D255" s="236"/>
      <c r="E255" s="236"/>
      <c r="F255" s="236"/>
      <c r="G255" s="236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</row>
    <row r="256" ht="14.25" customHeight="1">
      <c r="A256" s="235"/>
      <c r="B256" s="236"/>
      <c r="C256" s="236"/>
      <c r="D256" s="236"/>
      <c r="E256" s="236"/>
      <c r="F256" s="236"/>
      <c r="G256" s="236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</row>
    <row r="257" ht="14.25" customHeight="1">
      <c r="A257" s="235"/>
      <c r="B257" s="236"/>
      <c r="C257" s="236"/>
      <c r="D257" s="236"/>
      <c r="E257" s="236"/>
      <c r="F257" s="236"/>
      <c r="G257" s="236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</row>
    <row r="258" ht="14.25" customHeight="1">
      <c r="A258" s="235"/>
      <c r="B258" s="236"/>
      <c r="C258" s="236"/>
      <c r="D258" s="236"/>
      <c r="E258" s="236"/>
      <c r="F258" s="236"/>
      <c r="G258" s="236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</row>
    <row r="259" ht="14.25" customHeight="1">
      <c r="A259" s="235"/>
      <c r="B259" s="236"/>
      <c r="C259" s="236"/>
      <c r="D259" s="236"/>
      <c r="E259" s="236"/>
      <c r="F259" s="236"/>
      <c r="G259" s="236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</row>
    <row r="260" ht="14.25" customHeight="1">
      <c r="A260" s="235"/>
      <c r="B260" s="236"/>
      <c r="C260" s="236"/>
      <c r="D260" s="236"/>
      <c r="E260" s="236"/>
      <c r="F260" s="236"/>
      <c r="G260" s="236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</row>
    <row r="261" ht="14.25" customHeight="1">
      <c r="A261" s="235"/>
      <c r="B261" s="236"/>
      <c r="C261" s="236"/>
      <c r="D261" s="236"/>
      <c r="E261" s="236"/>
      <c r="F261" s="236"/>
      <c r="G261" s="236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</row>
    <row r="262" ht="14.25" customHeight="1">
      <c r="A262" s="235"/>
      <c r="B262" s="236"/>
      <c r="C262" s="236"/>
      <c r="D262" s="236"/>
      <c r="E262" s="236"/>
      <c r="F262" s="236"/>
      <c r="G262" s="236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</row>
    <row r="263" ht="14.25" customHeight="1">
      <c r="A263" s="235"/>
      <c r="B263" s="236"/>
      <c r="C263" s="236"/>
      <c r="D263" s="236"/>
      <c r="E263" s="236"/>
      <c r="F263" s="236"/>
      <c r="G263" s="236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</row>
    <row r="264" ht="14.25" customHeight="1">
      <c r="A264" s="235"/>
      <c r="B264" s="236"/>
      <c r="C264" s="236"/>
      <c r="D264" s="236"/>
      <c r="E264" s="236"/>
      <c r="F264" s="236"/>
      <c r="G264" s="236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</row>
    <row r="265" ht="14.25" customHeight="1">
      <c r="A265" s="235"/>
      <c r="B265" s="236"/>
      <c r="C265" s="236"/>
      <c r="D265" s="236"/>
      <c r="E265" s="236"/>
      <c r="F265" s="236"/>
      <c r="G265" s="236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</row>
    <row r="266" ht="14.25" customHeight="1">
      <c r="A266" s="235"/>
      <c r="B266" s="236"/>
      <c r="C266" s="236"/>
      <c r="D266" s="236"/>
      <c r="E266" s="236"/>
      <c r="F266" s="236"/>
      <c r="G266" s="236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</row>
    <row r="267" ht="14.25" customHeight="1">
      <c r="A267" s="235"/>
      <c r="B267" s="236"/>
      <c r="C267" s="236"/>
      <c r="D267" s="236"/>
      <c r="E267" s="236"/>
      <c r="F267" s="236"/>
      <c r="G267" s="236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</row>
    <row r="268" ht="14.25" customHeight="1">
      <c r="A268" s="235"/>
      <c r="B268" s="236"/>
      <c r="C268" s="236"/>
      <c r="D268" s="236"/>
      <c r="E268" s="236"/>
      <c r="F268" s="236"/>
      <c r="G268" s="236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</row>
    <row r="269" ht="14.25" customHeight="1">
      <c r="A269" s="235"/>
      <c r="B269" s="236"/>
      <c r="C269" s="236"/>
      <c r="D269" s="236"/>
      <c r="E269" s="236"/>
      <c r="F269" s="236"/>
      <c r="G269" s="236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</row>
    <row r="270" ht="14.25" customHeight="1">
      <c r="A270" s="235"/>
      <c r="B270" s="236"/>
      <c r="C270" s="236"/>
      <c r="D270" s="236"/>
      <c r="E270" s="236"/>
      <c r="F270" s="236"/>
      <c r="G270" s="236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</row>
    <row r="271" ht="14.25" customHeight="1">
      <c r="A271" s="235"/>
      <c r="B271" s="236"/>
      <c r="C271" s="236"/>
      <c r="D271" s="236"/>
      <c r="E271" s="236"/>
      <c r="F271" s="236"/>
      <c r="G271" s="236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</row>
    <row r="272" ht="14.25" customHeight="1">
      <c r="A272" s="235"/>
      <c r="B272" s="236"/>
      <c r="C272" s="236"/>
      <c r="D272" s="236"/>
      <c r="E272" s="236"/>
      <c r="F272" s="236"/>
      <c r="G272" s="236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</row>
    <row r="273" ht="14.25" customHeight="1">
      <c r="A273" s="235"/>
      <c r="B273" s="236"/>
      <c r="C273" s="236"/>
      <c r="D273" s="236"/>
      <c r="E273" s="236"/>
      <c r="F273" s="236"/>
      <c r="G273" s="236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</row>
    <row r="274" ht="14.25" customHeight="1">
      <c r="A274" s="235"/>
      <c r="B274" s="236"/>
      <c r="C274" s="236"/>
      <c r="D274" s="236"/>
      <c r="E274" s="236"/>
      <c r="F274" s="236"/>
      <c r="G274" s="236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</row>
    <row r="275" ht="14.25" customHeight="1">
      <c r="A275" s="235"/>
      <c r="B275" s="236"/>
      <c r="C275" s="236"/>
      <c r="D275" s="236"/>
      <c r="E275" s="236"/>
      <c r="F275" s="236"/>
      <c r="G275" s="236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</row>
    <row r="276" ht="14.25" customHeight="1">
      <c r="A276" s="235"/>
      <c r="B276" s="236"/>
      <c r="C276" s="236"/>
      <c r="D276" s="236"/>
      <c r="E276" s="236"/>
      <c r="F276" s="236"/>
      <c r="G276" s="236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</row>
    <row r="277" ht="14.25" customHeight="1">
      <c r="A277" s="235"/>
      <c r="B277" s="236"/>
      <c r="C277" s="236"/>
      <c r="D277" s="236"/>
      <c r="E277" s="236"/>
      <c r="F277" s="236"/>
      <c r="G277" s="236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</row>
    <row r="278" ht="14.25" customHeight="1">
      <c r="A278" s="235"/>
      <c r="B278" s="236"/>
      <c r="C278" s="236"/>
      <c r="D278" s="236"/>
      <c r="E278" s="236"/>
      <c r="F278" s="236"/>
      <c r="G278" s="236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</row>
    <row r="279" ht="14.25" customHeight="1">
      <c r="A279" s="235"/>
      <c r="B279" s="236"/>
      <c r="C279" s="236"/>
      <c r="D279" s="236"/>
      <c r="E279" s="236"/>
      <c r="F279" s="236"/>
      <c r="G279" s="236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</row>
    <row r="280" ht="14.25" customHeight="1">
      <c r="A280" s="235"/>
      <c r="B280" s="236"/>
      <c r="C280" s="236"/>
      <c r="D280" s="236"/>
      <c r="E280" s="236"/>
      <c r="F280" s="236"/>
      <c r="G280" s="236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</row>
    <row r="281" ht="14.25" customHeight="1">
      <c r="A281" s="235"/>
      <c r="B281" s="236"/>
      <c r="C281" s="236"/>
      <c r="D281" s="236"/>
      <c r="E281" s="236"/>
      <c r="F281" s="236"/>
      <c r="G281" s="236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</row>
    <row r="282" ht="14.25" customHeight="1">
      <c r="A282" s="235"/>
      <c r="B282" s="236"/>
      <c r="C282" s="236"/>
      <c r="D282" s="236"/>
      <c r="E282" s="236"/>
      <c r="F282" s="236"/>
      <c r="G282" s="236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</row>
    <row r="283" ht="14.25" customHeight="1">
      <c r="A283" s="235"/>
      <c r="B283" s="236"/>
      <c r="C283" s="236"/>
      <c r="D283" s="236"/>
      <c r="E283" s="236"/>
      <c r="F283" s="236"/>
      <c r="G283" s="236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</row>
    <row r="284" ht="14.25" customHeight="1">
      <c r="A284" s="235"/>
      <c r="B284" s="236"/>
      <c r="C284" s="236"/>
      <c r="D284" s="236"/>
      <c r="E284" s="236"/>
      <c r="F284" s="236"/>
      <c r="G284" s="236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</row>
    <row r="285" ht="14.25" customHeight="1">
      <c r="A285" s="235"/>
      <c r="B285" s="236"/>
      <c r="C285" s="236"/>
      <c r="D285" s="236"/>
      <c r="E285" s="236"/>
      <c r="F285" s="236"/>
      <c r="G285" s="236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</row>
    <row r="286" ht="14.25" customHeight="1">
      <c r="A286" s="235"/>
      <c r="B286" s="236"/>
      <c r="C286" s="236"/>
      <c r="D286" s="236"/>
      <c r="E286" s="236"/>
      <c r="F286" s="236"/>
      <c r="G286" s="236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</row>
    <row r="287" ht="14.25" customHeight="1">
      <c r="A287" s="235"/>
      <c r="B287" s="236"/>
      <c r="C287" s="236"/>
      <c r="D287" s="236"/>
      <c r="E287" s="236"/>
      <c r="F287" s="236"/>
      <c r="G287" s="236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</row>
    <row r="288" ht="14.25" customHeight="1">
      <c r="A288" s="235"/>
      <c r="B288" s="236"/>
      <c r="C288" s="236"/>
      <c r="D288" s="236"/>
      <c r="E288" s="236"/>
      <c r="F288" s="236"/>
      <c r="G288" s="236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</row>
    <row r="289" ht="14.25" customHeight="1">
      <c r="A289" s="235"/>
      <c r="B289" s="236"/>
      <c r="C289" s="236"/>
      <c r="D289" s="236"/>
      <c r="E289" s="236"/>
      <c r="F289" s="236"/>
      <c r="G289" s="236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</row>
    <row r="290" ht="14.25" customHeight="1">
      <c r="A290" s="235"/>
      <c r="B290" s="236"/>
      <c r="C290" s="236"/>
      <c r="D290" s="236"/>
      <c r="E290" s="236"/>
      <c r="F290" s="236"/>
      <c r="G290" s="236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</row>
    <row r="291" ht="14.25" customHeight="1">
      <c r="A291" s="235"/>
      <c r="B291" s="236"/>
      <c r="C291" s="236"/>
      <c r="D291" s="236"/>
      <c r="E291" s="236"/>
      <c r="F291" s="236"/>
      <c r="G291" s="236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</row>
    <row r="292" ht="14.25" customHeight="1">
      <c r="A292" s="235"/>
      <c r="B292" s="236"/>
      <c r="C292" s="236"/>
      <c r="D292" s="236"/>
      <c r="E292" s="236"/>
      <c r="F292" s="236"/>
      <c r="G292" s="236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</row>
    <row r="293" ht="14.25" customHeight="1">
      <c r="A293" s="235"/>
      <c r="B293" s="236"/>
      <c r="C293" s="236"/>
      <c r="D293" s="236"/>
      <c r="E293" s="236"/>
      <c r="F293" s="236"/>
      <c r="G293" s="236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</row>
    <row r="294" ht="14.25" customHeight="1">
      <c r="A294" s="235"/>
      <c r="B294" s="236"/>
      <c r="C294" s="236"/>
      <c r="D294" s="236"/>
      <c r="E294" s="236"/>
      <c r="F294" s="236"/>
      <c r="G294" s="236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</row>
    <row r="295" ht="14.25" customHeight="1">
      <c r="A295" s="235"/>
      <c r="B295" s="236"/>
      <c r="C295" s="236"/>
      <c r="D295" s="236"/>
      <c r="E295" s="236"/>
      <c r="F295" s="236"/>
      <c r="G295" s="236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</row>
    <row r="296" ht="14.25" customHeight="1">
      <c r="A296" s="235"/>
      <c r="B296" s="236"/>
      <c r="C296" s="236"/>
      <c r="D296" s="236"/>
      <c r="E296" s="236"/>
      <c r="F296" s="236"/>
      <c r="G296" s="236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</row>
    <row r="297" ht="14.25" customHeight="1">
      <c r="A297" s="235"/>
      <c r="B297" s="236"/>
      <c r="C297" s="236"/>
      <c r="D297" s="236"/>
      <c r="E297" s="236"/>
      <c r="F297" s="236"/>
      <c r="G297" s="236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</row>
    <row r="298" ht="14.25" customHeight="1">
      <c r="A298" s="235"/>
      <c r="B298" s="236"/>
      <c r="C298" s="236"/>
      <c r="D298" s="236"/>
      <c r="E298" s="236"/>
      <c r="F298" s="236"/>
      <c r="G298" s="236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</row>
    <row r="299" ht="14.25" customHeight="1">
      <c r="A299" s="235"/>
      <c r="B299" s="236"/>
      <c r="C299" s="236"/>
      <c r="D299" s="236"/>
      <c r="E299" s="236"/>
      <c r="F299" s="236"/>
      <c r="G299" s="236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</row>
    <row r="300" ht="14.25" customHeight="1">
      <c r="A300" s="235"/>
      <c r="B300" s="236"/>
      <c r="C300" s="236"/>
      <c r="D300" s="236"/>
      <c r="E300" s="236"/>
      <c r="F300" s="236"/>
      <c r="G300" s="236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</row>
    <row r="301" ht="14.25" customHeight="1">
      <c r="A301" s="235"/>
      <c r="B301" s="236"/>
      <c r="C301" s="236"/>
      <c r="D301" s="236"/>
      <c r="E301" s="236"/>
      <c r="F301" s="236"/>
      <c r="G301" s="236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</row>
    <row r="302" ht="14.25" customHeight="1">
      <c r="A302" s="235"/>
      <c r="B302" s="236"/>
      <c r="C302" s="236"/>
      <c r="D302" s="236"/>
      <c r="E302" s="236"/>
      <c r="F302" s="236"/>
      <c r="G302" s="236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</row>
    <row r="303" ht="14.25" customHeight="1">
      <c r="A303" s="235"/>
      <c r="B303" s="236"/>
      <c r="C303" s="236"/>
      <c r="D303" s="236"/>
      <c r="E303" s="236"/>
      <c r="F303" s="236"/>
      <c r="G303" s="236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</row>
    <row r="304" ht="14.25" customHeight="1">
      <c r="A304" s="235"/>
      <c r="B304" s="236"/>
      <c r="C304" s="236"/>
      <c r="D304" s="236"/>
      <c r="E304" s="236"/>
      <c r="F304" s="236"/>
      <c r="G304" s="236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</row>
    <row r="305" ht="14.25" customHeight="1">
      <c r="A305" s="235"/>
      <c r="B305" s="236"/>
      <c r="C305" s="236"/>
      <c r="D305" s="236"/>
      <c r="E305" s="236"/>
      <c r="F305" s="236"/>
      <c r="G305" s="236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</row>
    <row r="306" ht="14.25" customHeight="1">
      <c r="A306" s="235"/>
      <c r="B306" s="236"/>
      <c r="C306" s="236"/>
      <c r="D306" s="236"/>
      <c r="E306" s="236"/>
      <c r="F306" s="236"/>
      <c r="G306" s="236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</row>
    <row r="307" ht="14.25" customHeight="1">
      <c r="A307" s="235"/>
      <c r="B307" s="236"/>
      <c r="C307" s="236"/>
      <c r="D307" s="236"/>
      <c r="E307" s="236"/>
      <c r="F307" s="236"/>
      <c r="G307" s="236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</row>
    <row r="308" ht="14.25" customHeight="1">
      <c r="A308" s="235"/>
      <c r="B308" s="236"/>
      <c r="C308" s="236"/>
      <c r="D308" s="236"/>
      <c r="E308" s="236"/>
      <c r="F308" s="236"/>
      <c r="G308" s="236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</row>
    <row r="309" ht="14.25" customHeight="1">
      <c r="A309" s="235"/>
      <c r="B309" s="236"/>
      <c r="C309" s="236"/>
      <c r="D309" s="236"/>
      <c r="E309" s="236"/>
      <c r="F309" s="236"/>
      <c r="G309" s="236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</row>
    <row r="310" ht="14.25" customHeight="1">
      <c r="A310" s="235"/>
      <c r="B310" s="236"/>
      <c r="C310" s="236"/>
      <c r="D310" s="236"/>
      <c r="E310" s="236"/>
      <c r="F310" s="236"/>
      <c r="G310" s="236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</row>
    <row r="311" ht="14.25" customHeight="1">
      <c r="A311" s="235"/>
      <c r="B311" s="236"/>
      <c r="C311" s="236"/>
      <c r="D311" s="236"/>
      <c r="E311" s="236"/>
      <c r="F311" s="236"/>
      <c r="G311" s="236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</row>
    <row r="312" ht="14.25" customHeight="1">
      <c r="A312" s="235"/>
      <c r="B312" s="236"/>
      <c r="C312" s="236"/>
      <c r="D312" s="236"/>
      <c r="E312" s="236"/>
      <c r="F312" s="236"/>
      <c r="G312" s="236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</row>
    <row r="313" ht="14.25" customHeight="1">
      <c r="A313" s="235"/>
      <c r="B313" s="236"/>
      <c r="C313" s="236"/>
      <c r="D313" s="236"/>
      <c r="E313" s="236"/>
      <c r="F313" s="236"/>
      <c r="G313" s="236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</row>
    <row r="314" ht="14.25" customHeight="1">
      <c r="A314" s="235"/>
      <c r="B314" s="236"/>
      <c r="C314" s="236"/>
      <c r="D314" s="236"/>
      <c r="E314" s="236"/>
      <c r="F314" s="236"/>
      <c r="G314" s="236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</row>
    <row r="315" ht="14.25" customHeight="1">
      <c r="A315" s="235"/>
      <c r="B315" s="236"/>
      <c r="C315" s="236"/>
      <c r="D315" s="236"/>
      <c r="E315" s="236"/>
      <c r="F315" s="236"/>
      <c r="G315" s="236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</row>
    <row r="316" ht="14.25" customHeight="1">
      <c r="A316" s="235"/>
      <c r="B316" s="236"/>
      <c r="C316" s="236"/>
      <c r="D316" s="236"/>
      <c r="E316" s="236"/>
      <c r="F316" s="236"/>
      <c r="G316" s="236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</row>
    <row r="317" ht="14.25" customHeight="1">
      <c r="A317" s="235"/>
      <c r="B317" s="236"/>
      <c r="C317" s="236"/>
      <c r="D317" s="236"/>
      <c r="E317" s="236"/>
      <c r="F317" s="236"/>
      <c r="G317" s="236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</row>
    <row r="318" ht="14.25" customHeight="1">
      <c r="A318" s="235"/>
      <c r="B318" s="236"/>
      <c r="C318" s="236"/>
      <c r="D318" s="236"/>
      <c r="E318" s="236"/>
      <c r="F318" s="236"/>
      <c r="G318" s="236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</row>
    <row r="319" ht="14.25" customHeight="1">
      <c r="A319" s="235"/>
      <c r="B319" s="236"/>
      <c r="C319" s="236"/>
      <c r="D319" s="236"/>
      <c r="E319" s="236"/>
      <c r="F319" s="236"/>
      <c r="G319" s="236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</row>
    <row r="320" ht="14.25" customHeight="1">
      <c r="A320" s="235"/>
      <c r="B320" s="236"/>
      <c r="C320" s="236"/>
      <c r="D320" s="236"/>
      <c r="E320" s="236"/>
      <c r="F320" s="236"/>
      <c r="G320" s="236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</row>
    <row r="321" ht="14.25" customHeight="1">
      <c r="A321" s="235"/>
      <c r="B321" s="236"/>
      <c r="C321" s="236"/>
      <c r="D321" s="236"/>
      <c r="E321" s="236"/>
      <c r="F321" s="236"/>
      <c r="G321" s="236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</row>
    <row r="322" ht="14.25" customHeight="1">
      <c r="A322" s="235"/>
      <c r="B322" s="236"/>
      <c r="C322" s="236"/>
      <c r="D322" s="236"/>
      <c r="E322" s="236"/>
      <c r="F322" s="236"/>
      <c r="G322" s="236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</row>
    <row r="323" ht="14.25" customHeight="1">
      <c r="A323" s="235"/>
      <c r="B323" s="236"/>
      <c r="C323" s="236"/>
      <c r="D323" s="236"/>
      <c r="E323" s="236"/>
      <c r="F323" s="236"/>
      <c r="G323" s="236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</row>
    <row r="324" ht="14.25" customHeight="1">
      <c r="A324" s="235"/>
      <c r="B324" s="236"/>
      <c r="C324" s="236"/>
      <c r="D324" s="236"/>
      <c r="E324" s="236"/>
      <c r="F324" s="236"/>
      <c r="G324" s="236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</row>
    <row r="325" ht="14.25" customHeight="1">
      <c r="A325" s="235"/>
      <c r="B325" s="236"/>
      <c r="C325" s="236"/>
      <c r="D325" s="236"/>
      <c r="E325" s="236"/>
      <c r="F325" s="236"/>
      <c r="G325" s="236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</row>
    <row r="326" ht="14.25" customHeight="1">
      <c r="A326" s="235"/>
      <c r="B326" s="236"/>
      <c r="C326" s="236"/>
      <c r="D326" s="236"/>
      <c r="E326" s="236"/>
      <c r="F326" s="236"/>
      <c r="G326" s="236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</row>
    <row r="327" ht="14.25" customHeight="1">
      <c r="A327" s="235"/>
      <c r="B327" s="236"/>
      <c r="C327" s="236"/>
      <c r="D327" s="236"/>
      <c r="E327" s="236"/>
      <c r="F327" s="236"/>
      <c r="G327" s="236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</row>
    <row r="328" ht="14.25" customHeight="1">
      <c r="A328" s="235"/>
      <c r="B328" s="236"/>
      <c r="C328" s="236"/>
      <c r="D328" s="236"/>
      <c r="E328" s="236"/>
      <c r="F328" s="236"/>
      <c r="G328" s="236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</row>
    <row r="329" ht="14.25" customHeight="1">
      <c r="A329" s="235"/>
      <c r="B329" s="236"/>
      <c r="C329" s="236"/>
      <c r="D329" s="236"/>
      <c r="E329" s="236"/>
      <c r="F329" s="236"/>
      <c r="G329" s="236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</row>
    <row r="330" ht="14.25" customHeight="1">
      <c r="A330" s="235"/>
      <c r="B330" s="236"/>
      <c r="C330" s="236"/>
      <c r="D330" s="236"/>
      <c r="E330" s="236"/>
      <c r="F330" s="236"/>
      <c r="G330" s="236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</row>
    <row r="331" ht="14.25" customHeight="1">
      <c r="A331" s="235"/>
      <c r="B331" s="236"/>
      <c r="C331" s="236"/>
      <c r="D331" s="236"/>
      <c r="E331" s="236"/>
      <c r="F331" s="236"/>
      <c r="G331" s="236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</row>
    <row r="332" ht="14.25" customHeight="1">
      <c r="A332" s="235"/>
      <c r="B332" s="236"/>
      <c r="C332" s="236"/>
      <c r="D332" s="236"/>
      <c r="E332" s="236"/>
      <c r="F332" s="236"/>
      <c r="G332" s="236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</row>
    <row r="333" ht="14.25" customHeight="1">
      <c r="A333" s="235"/>
      <c r="B333" s="236"/>
      <c r="C333" s="236"/>
      <c r="D333" s="236"/>
      <c r="E333" s="236"/>
      <c r="F333" s="236"/>
      <c r="G333" s="236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</row>
    <row r="334" ht="14.25" customHeight="1">
      <c r="A334" s="235"/>
      <c r="B334" s="236"/>
      <c r="C334" s="236"/>
      <c r="D334" s="236"/>
      <c r="E334" s="236"/>
      <c r="F334" s="236"/>
      <c r="G334" s="236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</row>
    <row r="335" ht="14.25" customHeight="1">
      <c r="A335" s="235"/>
      <c r="B335" s="236"/>
      <c r="C335" s="236"/>
      <c r="D335" s="236"/>
      <c r="E335" s="236"/>
      <c r="F335" s="236"/>
      <c r="G335" s="236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</row>
    <row r="336" ht="14.25" customHeight="1">
      <c r="A336" s="235"/>
      <c r="B336" s="236"/>
      <c r="C336" s="236"/>
      <c r="D336" s="236"/>
      <c r="E336" s="236"/>
      <c r="F336" s="236"/>
      <c r="G336" s="236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</row>
    <row r="337" ht="14.25" customHeight="1">
      <c r="A337" s="235"/>
      <c r="B337" s="236"/>
      <c r="C337" s="236"/>
      <c r="D337" s="236"/>
      <c r="E337" s="236"/>
      <c r="F337" s="236"/>
      <c r="G337" s="236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</row>
    <row r="338" ht="14.25" customHeight="1">
      <c r="A338" s="235"/>
      <c r="B338" s="236"/>
      <c r="C338" s="236"/>
      <c r="D338" s="236"/>
      <c r="E338" s="236"/>
      <c r="F338" s="236"/>
      <c r="G338" s="236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</row>
    <row r="339" ht="14.25" customHeight="1">
      <c r="A339" s="235"/>
      <c r="B339" s="236"/>
      <c r="C339" s="236"/>
      <c r="D339" s="236"/>
      <c r="E339" s="236"/>
      <c r="F339" s="236"/>
      <c r="G339" s="236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</row>
    <row r="340" ht="14.25" customHeight="1">
      <c r="A340" s="235"/>
      <c r="B340" s="236"/>
      <c r="C340" s="236"/>
      <c r="D340" s="236"/>
      <c r="E340" s="236"/>
      <c r="F340" s="236"/>
      <c r="G340" s="236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</row>
    <row r="341" ht="14.25" customHeight="1">
      <c r="A341" s="235"/>
      <c r="B341" s="236"/>
      <c r="C341" s="236"/>
      <c r="D341" s="236"/>
      <c r="E341" s="236"/>
      <c r="F341" s="236"/>
      <c r="G341" s="236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</row>
    <row r="342" ht="14.25" customHeight="1">
      <c r="A342" s="235"/>
      <c r="B342" s="236"/>
      <c r="C342" s="236"/>
      <c r="D342" s="236"/>
      <c r="E342" s="236"/>
      <c r="F342" s="236"/>
      <c r="G342" s="236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</row>
    <row r="343" ht="14.25" customHeight="1">
      <c r="A343" s="235"/>
      <c r="B343" s="236"/>
      <c r="C343" s="236"/>
      <c r="D343" s="236"/>
      <c r="E343" s="236"/>
      <c r="F343" s="236"/>
      <c r="G343" s="236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</row>
    <row r="344" ht="14.25" customHeight="1">
      <c r="A344" s="235"/>
      <c r="B344" s="236"/>
      <c r="C344" s="236"/>
      <c r="D344" s="236"/>
      <c r="E344" s="236"/>
      <c r="F344" s="236"/>
      <c r="G344" s="236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</row>
    <row r="345" ht="14.25" customHeight="1">
      <c r="A345" s="235"/>
      <c r="B345" s="236"/>
      <c r="C345" s="236"/>
      <c r="D345" s="236"/>
      <c r="E345" s="236"/>
      <c r="F345" s="236"/>
      <c r="G345" s="236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</row>
    <row r="346" ht="14.25" customHeight="1">
      <c r="A346" s="235"/>
      <c r="B346" s="236"/>
      <c r="C346" s="236"/>
      <c r="D346" s="236"/>
      <c r="E346" s="236"/>
      <c r="F346" s="236"/>
      <c r="G346" s="236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</row>
    <row r="347" ht="14.25" customHeight="1">
      <c r="A347" s="235"/>
      <c r="B347" s="236"/>
      <c r="C347" s="236"/>
      <c r="D347" s="236"/>
      <c r="E347" s="236"/>
      <c r="F347" s="236"/>
      <c r="G347" s="236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</row>
    <row r="348" ht="14.25" customHeight="1">
      <c r="A348" s="235"/>
      <c r="B348" s="236"/>
      <c r="C348" s="236"/>
      <c r="D348" s="236"/>
      <c r="E348" s="236"/>
      <c r="F348" s="236"/>
      <c r="G348" s="236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</row>
    <row r="349" ht="14.25" customHeight="1">
      <c r="A349" s="235"/>
      <c r="B349" s="236"/>
      <c r="C349" s="236"/>
      <c r="D349" s="236"/>
      <c r="E349" s="236"/>
      <c r="F349" s="236"/>
      <c r="G349" s="236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</row>
    <row r="350" ht="14.25" customHeight="1">
      <c r="A350" s="235"/>
      <c r="B350" s="236"/>
      <c r="C350" s="236"/>
      <c r="D350" s="236"/>
      <c r="E350" s="236"/>
      <c r="F350" s="236"/>
      <c r="G350" s="236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</row>
    <row r="351" ht="14.25" customHeight="1">
      <c r="A351" s="235"/>
      <c r="B351" s="236"/>
      <c r="C351" s="236"/>
      <c r="D351" s="236"/>
      <c r="E351" s="236"/>
      <c r="F351" s="236"/>
      <c r="G351" s="236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</row>
    <row r="352" ht="14.25" customHeight="1">
      <c r="A352" s="235"/>
      <c r="B352" s="236"/>
      <c r="C352" s="236"/>
      <c r="D352" s="236"/>
      <c r="E352" s="236"/>
      <c r="F352" s="236"/>
      <c r="G352" s="236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</row>
    <row r="353" ht="14.25" customHeight="1">
      <c r="A353" s="235"/>
      <c r="B353" s="236"/>
      <c r="C353" s="236"/>
      <c r="D353" s="236"/>
      <c r="E353" s="236"/>
      <c r="F353" s="236"/>
      <c r="G353" s="236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</row>
    <row r="354" ht="14.25" customHeight="1">
      <c r="A354" s="235"/>
      <c r="B354" s="236"/>
      <c r="C354" s="236"/>
      <c r="D354" s="236"/>
      <c r="E354" s="236"/>
      <c r="F354" s="236"/>
      <c r="G354" s="236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</row>
    <row r="355" ht="14.25" customHeight="1">
      <c r="A355" s="235"/>
      <c r="B355" s="236"/>
      <c r="C355" s="236"/>
      <c r="D355" s="236"/>
      <c r="E355" s="236"/>
      <c r="F355" s="236"/>
      <c r="G355" s="236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</row>
    <row r="356" ht="14.25" customHeight="1">
      <c r="A356" s="235"/>
      <c r="B356" s="236"/>
      <c r="C356" s="236"/>
      <c r="D356" s="236"/>
      <c r="E356" s="236"/>
      <c r="F356" s="236"/>
      <c r="G356" s="236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</row>
    <row r="357" ht="14.25" customHeight="1">
      <c r="A357" s="235"/>
      <c r="B357" s="236"/>
      <c r="C357" s="236"/>
      <c r="D357" s="236"/>
      <c r="E357" s="236"/>
      <c r="F357" s="236"/>
      <c r="G357" s="236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</row>
    <row r="358" ht="14.25" customHeight="1">
      <c r="A358" s="235"/>
      <c r="B358" s="236"/>
      <c r="C358" s="236"/>
      <c r="D358" s="236"/>
      <c r="E358" s="236"/>
      <c r="F358" s="236"/>
      <c r="G358" s="236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</row>
    <row r="359" ht="14.25" customHeight="1">
      <c r="A359" s="235"/>
      <c r="B359" s="236"/>
      <c r="C359" s="236"/>
      <c r="D359" s="236"/>
      <c r="E359" s="236"/>
      <c r="F359" s="236"/>
      <c r="G359" s="236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</row>
    <row r="360" ht="14.25" customHeight="1">
      <c r="A360" s="235"/>
      <c r="B360" s="236"/>
      <c r="C360" s="236"/>
      <c r="D360" s="236"/>
      <c r="E360" s="236"/>
      <c r="F360" s="236"/>
      <c r="G360" s="236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</row>
    <row r="361" ht="14.25" customHeight="1">
      <c r="A361" s="235"/>
      <c r="B361" s="236"/>
      <c r="C361" s="236"/>
      <c r="D361" s="236"/>
      <c r="E361" s="236"/>
      <c r="F361" s="236"/>
      <c r="G361" s="236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</row>
    <row r="362" ht="14.25" customHeight="1">
      <c r="A362" s="235"/>
      <c r="B362" s="236"/>
      <c r="C362" s="236"/>
      <c r="D362" s="236"/>
      <c r="E362" s="236"/>
      <c r="F362" s="236"/>
      <c r="G362" s="236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</row>
    <row r="363" ht="14.25" customHeight="1">
      <c r="A363" s="235"/>
      <c r="B363" s="236"/>
      <c r="C363" s="236"/>
      <c r="D363" s="236"/>
      <c r="E363" s="236"/>
      <c r="F363" s="236"/>
      <c r="G363" s="236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</row>
    <row r="364" ht="14.25" customHeight="1">
      <c r="A364" s="235"/>
      <c r="B364" s="236"/>
      <c r="C364" s="236"/>
      <c r="D364" s="236"/>
      <c r="E364" s="236"/>
      <c r="F364" s="236"/>
      <c r="G364" s="236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</row>
    <row r="365" ht="14.25" customHeight="1">
      <c r="A365" s="235"/>
      <c r="B365" s="236"/>
      <c r="C365" s="236"/>
      <c r="D365" s="236"/>
      <c r="E365" s="236"/>
      <c r="F365" s="236"/>
      <c r="G365" s="236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</row>
    <row r="366" ht="14.25" customHeight="1">
      <c r="A366" s="235"/>
      <c r="B366" s="236"/>
      <c r="C366" s="236"/>
      <c r="D366" s="236"/>
      <c r="E366" s="236"/>
      <c r="F366" s="236"/>
      <c r="G366" s="236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</row>
    <row r="367" ht="14.25" customHeight="1">
      <c r="A367" s="235"/>
      <c r="B367" s="236"/>
      <c r="C367" s="236"/>
      <c r="D367" s="236"/>
      <c r="E367" s="236"/>
      <c r="F367" s="236"/>
      <c r="G367" s="236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</row>
    <row r="368" ht="14.25" customHeight="1">
      <c r="A368" s="235"/>
      <c r="B368" s="236"/>
      <c r="C368" s="236"/>
      <c r="D368" s="236"/>
      <c r="E368" s="236"/>
      <c r="F368" s="236"/>
      <c r="G368" s="236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</row>
    <row r="369" ht="14.25" customHeight="1">
      <c r="A369" s="235"/>
      <c r="B369" s="236"/>
      <c r="C369" s="236"/>
      <c r="D369" s="236"/>
      <c r="E369" s="236"/>
      <c r="F369" s="236"/>
      <c r="G369" s="236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</row>
    <row r="370" ht="14.25" customHeight="1">
      <c r="A370" s="235"/>
      <c r="B370" s="236"/>
      <c r="C370" s="236"/>
      <c r="D370" s="236"/>
      <c r="E370" s="236"/>
      <c r="F370" s="236"/>
      <c r="G370" s="236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</row>
    <row r="371" ht="14.25" customHeight="1">
      <c r="A371" s="235"/>
      <c r="B371" s="236"/>
      <c r="C371" s="236"/>
      <c r="D371" s="236"/>
      <c r="E371" s="236"/>
      <c r="F371" s="236"/>
      <c r="G371" s="236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</row>
    <row r="372" ht="14.25" customHeight="1">
      <c r="A372" s="235"/>
      <c r="B372" s="236"/>
      <c r="C372" s="236"/>
      <c r="D372" s="236"/>
      <c r="E372" s="236"/>
      <c r="F372" s="236"/>
      <c r="G372" s="236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</row>
    <row r="373" ht="14.25" customHeight="1">
      <c r="A373" s="235"/>
      <c r="B373" s="236"/>
      <c r="C373" s="236"/>
      <c r="D373" s="236"/>
      <c r="E373" s="236"/>
      <c r="F373" s="236"/>
      <c r="G373" s="236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</row>
    <row r="374" ht="14.25" customHeight="1">
      <c r="A374" s="235"/>
      <c r="B374" s="236"/>
      <c r="C374" s="236"/>
      <c r="D374" s="236"/>
      <c r="E374" s="236"/>
      <c r="F374" s="236"/>
      <c r="G374" s="236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</row>
    <row r="375" ht="14.25" customHeight="1">
      <c r="A375" s="235"/>
      <c r="B375" s="236"/>
      <c r="C375" s="236"/>
      <c r="D375" s="236"/>
      <c r="E375" s="236"/>
      <c r="F375" s="236"/>
      <c r="G375" s="236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</row>
    <row r="376" ht="14.25" customHeight="1">
      <c r="A376" s="235"/>
      <c r="B376" s="236"/>
      <c r="C376" s="236"/>
      <c r="D376" s="236"/>
      <c r="E376" s="236"/>
      <c r="F376" s="236"/>
      <c r="G376" s="236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</row>
    <row r="377" ht="14.25" customHeight="1">
      <c r="A377" s="235"/>
      <c r="B377" s="236"/>
      <c r="C377" s="236"/>
      <c r="D377" s="236"/>
      <c r="E377" s="236"/>
      <c r="F377" s="236"/>
      <c r="G377" s="236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</row>
    <row r="378" ht="14.25" customHeight="1">
      <c r="A378" s="235"/>
      <c r="B378" s="236"/>
      <c r="C378" s="236"/>
      <c r="D378" s="236"/>
      <c r="E378" s="236"/>
      <c r="F378" s="236"/>
      <c r="G378" s="236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</row>
    <row r="379" ht="14.25" customHeight="1">
      <c r="A379" s="235"/>
      <c r="B379" s="236"/>
      <c r="C379" s="236"/>
      <c r="D379" s="236"/>
      <c r="E379" s="236"/>
      <c r="F379" s="236"/>
      <c r="G379" s="236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</row>
    <row r="380" ht="14.25" customHeight="1">
      <c r="A380" s="235"/>
      <c r="B380" s="236"/>
      <c r="C380" s="236"/>
      <c r="D380" s="236"/>
      <c r="E380" s="236"/>
      <c r="F380" s="236"/>
      <c r="G380" s="236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</row>
    <row r="381" ht="14.25" customHeight="1">
      <c r="A381" s="235"/>
      <c r="B381" s="236"/>
      <c r="C381" s="236"/>
      <c r="D381" s="236"/>
      <c r="E381" s="236"/>
      <c r="F381" s="236"/>
      <c r="G381" s="236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</row>
    <row r="382" ht="14.25" customHeight="1">
      <c r="A382" s="235"/>
      <c r="B382" s="236"/>
      <c r="C382" s="236"/>
      <c r="D382" s="236"/>
      <c r="E382" s="236"/>
      <c r="F382" s="236"/>
      <c r="G382" s="236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</row>
    <row r="383" ht="14.25" customHeight="1">
      <c r="A383" s="235"/>
      <c r="B383" s="236"/>
      <c r="C383" s="236"/>
      <c r="D383" s="236"/>
      <c r="E383" s="236"/>
      <c r="F383" s="236"/>
      <c r="G383" s="236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</row>
    <row r="384" ht="14.25" customHeight="1">
      <c r="A384" s="235"/>
      <c r="B384" s="236"/>
      <c r="C384" s="236"/>
      <c r="D384" s="236"/>
      <c r="E384" s="236"/>
      <c r="F384" s="236"/>
      <c r="G384" s="236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</row>
    <row r="385" ht="14.25" customHeight="1">
      <c r="A385" s="235"/>
      <c r="B385" s="236"/>
      <c r="C385" s="236"/>
      <c r="D385" s="236"/>
      <c r="E385" s="236"/>
      <c r="F385" s="236"/>
      <c r="G385" s="236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</row>
    <row r="386" ht="14.25" customHeight="1">
      <c r="A386" s="235"/>
      <c r="B386" s="236"/>
      <c r="C386" s="236"/>
      <c r="D386" s="236"/>
      <c r="E386" s="236"/>
      <c r="F386" s="236"/>
      <c r="G386" s="236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</row>
    <row r="387" ht="14.25" customHeight="1">
      <c r="A387" s="235"/>
      <c r="B387" s="236"/>
      <c r="C387" s="236"/>
      <c r="D387" s="236"/>
      <c r="E387" s="236"/>
      <c r="F387" s="236"/>
      <c r="G387" s="236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</row>
    <row r="388" ht="14.25" customHeight="1">
      <c r="A388" s="235"/>
      <c r="B388" s="236"/>
      <c r="C388" s="236"/>
      <c r="D388" s="236"/>
      <c r="E388" s="236"/>
      <c r="F388" s="236"/>
      <c r="G388" s="236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</row>
    <row r="389" ht="14.25" customHeight="1">
      <c r="A389" s="235"/>
      <c r="B389" s="236"/>
      <c r="C389" s="236"/>
      <c r="D389" s="236"/>
      <c r="E389" s="236"/>
      <c r="F389" s="236"/>
      <c r="G389" s="236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</row>
    <row r="390" ht="14.25" customHeight="1">
      <c r="A390" s="235"/>
      <c r="B390" s="236"/>
      <c r="C390" s="236"/>
      <c r="D390" s="236"/>
      <c r="E390" s="236"/>
      <c r="F390" s="236"/>
      <c r="G390" s="236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</row>
    <row r="391" ht="14.25" customHeight="1">
      <c r="A391" s="235"/>
      <c r="B391" s="236"/>
      <c r="C391" s="236"/>
      <c r="D391" s="236"/>
      <c r="E391" s="236"/>
      <c r="F391" s="236"/>
      <c r="G391" s="236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</row>
    <row r="392" ht="14.25" customHeight="1">
      <c r="A392" s="235"/>
      <c r="B392" s="236"/>
      <c r="C392" s="236"/>
      <c r="D392" s="236"/>
      <c r="E392" s="236"/>
      <c r="F392" s="236"/>
      <c r="G392" s="236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</row>
    <row r="393" ht="14.25" customHeight="1">
      <c r="A393" s="235"/>
      <c r="B393" s="236"/>
      <c r="C393" s="236"/>
      <c r="D393" s="236"/>
      <c r="E393" s="236"/>
      <c r="F393" s="236"/>
      <c r="G393" s="236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</row>
    <row r="394" ht="14.25" customHeight="1">
      <c r="A394" s="235"/>
      <c r="B394" s="236"/>
      <c r="C394" s="236"/>
      <c r="D394" s="236"/>
      <c r="E394" s="236"/>
      <c r="F394" s="236"/>
      <c r="G394" s="236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</row>
    <row r="395" ht="14.25" customHeight="1">
      <c r="A395" s="235"/>
      <c r="B395" s="236"/>
      <c r="C395" s="236"/>
      <c r="D395" s="236"/>
      <c r="E395" s="236"/>
      <c r="F395" s="236"/>
      <c r="G395" s="236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</row>
    <row r="396" ht="14.25" customHeight="1">
      <c r="A396" s="235"/>
      <c r="B396" s="236"/>
      <c r="C396" s="236"/>
      <c r="D396" s="236"/>
      <c r="E396" s="236"/>
      <c r="F396" s="236"/>
      <c r="G396" s="236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</row>
    <row r="397" ht="14.25" customHeight="1">
      <c r="A397" s="235"/>
      <c r="B397" s="236"/>
      <c r="C397" s="236"/>
      <c r="D397" s="236"/>
      <c r="E397" s="236"/>
      <c r="F397" s="236"/>
      <c r="G397" s="236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</row>
    <row r="398" ht="14.25" customHeight="1">
      <c r="A398" s="235"/>
      <c r="B398" s="236"/>
      <c r="C398" s="236"/>
      <c r="D398" s="236"/>
      <c r="E398" s="236"/>
      <c r="F398" s="236"/>
      <c r="G398" s="236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</row>
    <row r="399" ht="14.25" customHeight="1">
      <c r="A399" s="235"/>
      <c r="B399" s="236"/>
      <c r="C399" s="236"/>
      <c r="D399" s="236"/>
      <c r="E399" s="236"/>
      <c r="F399" s="236"/>
      <c r="G399" s="236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</row>
    <row r="400" ht="14.25" customHeight="1">
      <c r="A400" s="235"/>
      <c r="B400" s="236"/>
      <c r="C400" s="236"/>
      <c r="D400" s="236"/>
      <c r="E400" s="236"/>
      <c r="F400" s="236"/>
      <c r="G400" s="236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</row>
    <row r="401" ht="14.25" customHeight="1">
      <c r="A401" s="235"/>
      <c r="B401" s="236"/>
      <c r="C401" s="236"/>
      <c r="D401" s="236"/>
      <c r="E401" s="236"/>
      <c r="F401" s="236"/>
      <c r="G401" s="236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</row>
    <row r="402" ht="14.25" customHeight="1">
      <c r="A402" s="235"/>
      <c r="B402" s="236"/>
      <c r="C402" s="236"/>
      <c r="D402" s="236"/>
      <c r="E402" s="236"/>
      <c r="F402" s="236"/>
      <c r="G402" s="236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</row>
    <row r="403" ht="14.25" customHeight="1">
      <c r="A403" s="235"/>
      <c r="B403" s="236"/>
      <c r="C403" s="236"/>
      <c r="D403" s="236"/>
      <c r="E403" s="236"/>
      <c r="F403" s="236"/>
      <c r="G403" s="236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</row>
    <row r="404" ht="14.25" customHeight="1">
      <c r="A404" s="235"/>
      <c r="B404" s="236"/>
      <c r="C404" s="236"/>
      <c r="D404" s="236"/>
      <c r="E404" s="236"/>
      <c r="F404" s="236"/>
      <c r="G404" s="236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</row>
    <row r="405" ht="14.25" customHeight="1">
      <c r="A405" s="235"/>
      <c r="B405" s="236"/>
      <c r="C405" s="236"/>
      <c r="D405" s="236"/>
      <c r="E405" s="236"/>
      <c r="F405" s="236"/>
      <c r="G405" s="236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</row>
    <row r="406" ht="14.25" customHeight="1">
      <c r="A406" s="235"/>
      <c r="B406" s="236"/>
      <c r="C406" s="236"/>
      <c r="D406" s="236"/>
      <c r="E406" s="236"/>
      <c r="F406" s="236"/>
      <c r="G406" s="236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</row>
    <row r="407" ht="14.25" customHeight="1">
      <c r="A407" s="235"/>
      <c r="B407" s="236"/>
      <c r="C407" s="236"/>
      <c r="D407" s="236"/>
      <c r="E407" s="236"/>
      <c r="F407" s="236"/>
      <c r="G407" s="236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</row>
    <row r="408" ht="14.25" customHeight="1">
      <c r="A408" s="235"/>
      <c r="B408" s="236"/>
      <c r="C408" s="236"/>
      <c r="D408" s="236"/>
      <c r="E408" s="236"/>
      <c r="F408" s="236"/>
      <c r="G408" s="236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</row>
    <row r="409" ht="14.25" customHeight="1">
      <c r="A409" s="235"/>
      <c r="B409" s="236"/>
      <c r="C409" s="236"/>
      <c r="D409" s="236"/>
      <c r="E409" s="236"/>
      <c r="F409" s="236"/>
      <c r="G409" s="236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</row>
    <row r="410" ht="14.25" customHeight="1">
      <c r="A410" s="235"/>
      <c r="B410" s="236"/>
      <c r="C410" s="236"/>
      <c r="D410" s="236"/>
      <c r="E410" s="236"/>
      <c r="F410" s="236"/>
      <c r="G410" s="236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</row>
    <row r="411" ht="14.25" customHeight="1">
      <c r="A411" s="235"/>
      <c r="B411" s="236"/>
      <c r="C411" s="236"/>
      <c r="D411" s="236"/>
      <c r="E411" s="236"/>
      <c r="F411" s="236"/>
      <c r="G411" s="236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</row>
    <row r="412" ht="14.25" customHeight="1">
      <c r="A412" s="235"/>
      <c r="B412" s="236"/>
      <c r="C412" s="236"/>
      <c r="D412" s="236"/>
      <c r="E412" s="236"/>
      <c r="F412" s="236"/>
      <c r="G412" s="236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</row>
    <row r="413" ht="14.25" customHeight="1">
      <c r="A413" s="235"/>
      <c r="B413" s="236"/>
      <c r="C413" s="236"/>
      <c r="D413" s="236"/>
      <c r="E413" s="236"/>
      <c r="F413" s="236"/>
      <c r="G413" s="236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</row>
    <row r="414" ht="14.25" customHeight="1">
      <c r="A414" s="235"/>
      <c r="B414" s="236"/>
      <c r="C414" s="236"/>
      <c r="D414" s="236"/>
      <c r="E414" s="236"/>
      <c r="F414" s="236"/>
      <c r="G414" s="236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</row>
    <row r="415" ht="14.25" customHeight="1">
      <c r="A415" s="235"/>
      <c r="B415" s="236"/>
      <c r="C415" s="236"/>
      <c r="D415" s="236"/>
      <c r="E415" s="236"/>
      <c r="F415" s="236"/>
      <c r="G415" s="236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</row>
    <row r="416" ht="14.25" customHeight="1">
      <c r="A416" s="235"/>
      <c r="B416" s="236"/>
      <c r="C416" s="236"/>
      <c r="D416" s="236"/>
      <c r="E416" s="236"/>
      <c r="F416" s="236"/>
      <c r="G416" s="236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</row>
    <row r="417" ht="14.25" customHeight="1">
      <c r="A417" s="235"/>
      <c r="B417" s="236"/>
      <c r="C417" s="236"/>
      <c r="D417" s="236"/>
      <c r="E417" s="236"/>
      <c r="F417" s="236"/>
      <c r="G417" s="236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</row>
    <row r="418" ht="14.25" customHeight="1">
      <c r="A418" s="235"/>
      <c r="B418" s="236"/>
      <c r="C418" s="236"/>
      <c r="D418" s="236"/>
      <c r="E418" s="236"/>
      <c r="F418" s="236"/>
      <c r="G418" s="236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</row>
    <row r="419" ht="14.25" customHeight="1">
      <c r="A419" s="235"/>
      <c r="B419" s="236"/>
      <c r="C419" s="236"/>
      <c r="D419" s="236"/>
      <c r="E419" s="236"/>
      <c r="F419" s="236"/>
      <c r="G419" s="236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</row>
    <row r="420" ht="14.25" customHeight="1">
      <c r="A420" s="235"/>
      <c r="B420" s="236"/>
      <c r="C420" s="236"/>
      <c r="D420" s="236"/>
      <c r="E420" s="236"/>
      <c r="F420" s="236"/>
      <c r="G420" s="236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</row>
    <row r="421" ht="14.25" customHeight="1">
      <c r="A421" s="235"/>
      <c r="B421" s="236"/>
      <c r="C421" s="236"/>
      <c r="D421" s="236"/>
      <c r="E421" s="236"/>
      <c r="F421" s="236"/>
      <c r="G421" s="236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</row>
    <row r="422" ht="14.25" customHeight="1">
      <c r="A422" s="235"/>
      <c r="B422" s="236"/>
      <c r="C422" s="236"/>
      <c r="D422" s="236"/>
      <c r="E422" s="236"/>
      <c r="F422" s="236"/>
      <c r="G422" s="236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</row>
    <row r="423" ht="14.25" customHeight="1">
      <c r="A423" s="235"/>
      <c r="B423" s="236"/>
      <c r="C423" s="236"/>
      <c r="D423" s="236"/>
      <c r="E423" s="236"/>
      <c r="F423" s="236"/>
      <c r="G423" s="236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</row>
    <row r="424" ht="14.25" customHeight="1">
      <c r="A424" s="235"/>
      <c r="B424" s="236"/>
      <c r="C424" s="236"/>
      <c r="D424" s="236"/>
      <c r="E424" s="236"/>
      <c r="F424" s="236"/>
      <c r="G424" s="236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</row>
    <row r="425" ht="14.25" customHeight="1">
      <c r="A425" s="235"/>
      <c r="B425" s="236"/>
      <c r="C425" s="236"/>
      <c r="D425" s="236"/>
      <c r="E425" s="236"/>
      <c r="F425" s="236"/>
      <c r="G425" s="236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</row>
    <row r="426" ht="14.25" customHeight="1">
      <c r="A426" s="235"/>
      <c r="B426" s="236"/>
      <c r="C426" s="236"/>
      <c r="D426" s="236"/>
      <c r="E426" s="236"/>
      <c r="F426" s="236"/>
      <c r="G426" s="236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</row>
    <row r="427" ht="14.25" customHeight="1">
      <c r="A427" s="235"/>
      <c r="B427" s="236"/>
      <c r="C427" s="236"/>
      <c r="D427" s="236"/>
      <c r="E427" s="236"/>
      <c r="F427" s="236"/>
      <c r="G427" s="236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</row>
    <row r="428" ht="14.25" customHeight="1">
      <c r="A428" s="235"/>
      <c r="B428" s="236"/>
      <c r="C428" s="236"/>
      <c r="D428" s="236"/>
      <c r="E428" s="236"/>
      <c r="F428" s="236"/>
      <c r="G428" s="236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</row>
    <row r="429" ht="14.25" customHeight="1">
      <c r="A429" s="235"/>
      <c r="B429" s="236"/>
      <c r="C429" s="236"/>
      <c r="D429" s="236"/>
      <c r="E429" s="236"/>
      <c r="F429" s="236"/>
      <c r="G429" s="236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</row>
    <row r="430" ht="14.25" customHeight="1">
      <c r="A430" s="235"/>
      <c r="B430" s="236"/>
      <c r="C430" s="236"/>
      <c r="D430" s="236"/>
      <c r="E430" s="236"/>
      <c r="F430" s="236"/>
      <c r="G430" s="236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</row>
    <row r="431" ht="14.25" customHeight="1">
      <c r="A431" s="235"/>
      <c r="B431" s="236"/>
      <c r="C431" s="236"/>
      <c r="D431" s="236"/>
      <c r="E431" s="236"/>
      <c r="F431" s="236"/>
      <c r="G431" s="236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</row>
    <row r="432" ht="14.25" customHeight="1">
      <c r="A432" s="235"/>
      <c r="B432" s="236"/>
      <c r="C432" s="236"/>
      <c r="D432" s="236"/>
      <c r="E432" s="236"/>
      <c r="F432" s="236"/>
      <c r="G432" s="236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</row>
    <row r="433" ht="14.25" customHeight="1">
      <c r="A433" s="235"/>
      <c r="B433" s="236"/>
      <c r="C433" s="236"/>
      <c r="D433" s="236"/>
      <c r="E433" s="236"/>
      <c r="F433" s="236"/>
      <c r="G433" s="236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</row>
    <row r="434" ht="14.25" customHeight="1">
      <c r="A434" s="235"/>
      <c r="B434" s="236"/>
      <c r="C434" s="236"/>
      <c r="D434" s="236"/>
      <c r="E434" s="236"/>
      <c r="F434" s="236"/>
      <c r="G434" s="236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</row>
    <row r="435" ht="14.25" customHeight="1">
      <c r="A435" s="235"/>
      <c r="B435" s="236"/>
      <c r="C435" s="236"/>
      <c r="D435" s="236"/>
      <c r="E435" s="236"/>
      <c r="F435" s="236"/>
      <c r="G435" s="236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</row>
    <row r="436" ht="14.25" customHeight="1">
      <c r="A436" s="235"/>
      <c r="B436" s="236"/>
      <c r="C436" s="236"/>
      <c r="D436" s="236"/>
      <c r="E436" s="236"/>
      <c r="F436" s="236"/>
      <c r="G436" s="236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</row>
    <row r="437" ht="14.25" customHeight="1">
      <c r="A437" s="235"/>
      <c r="B437" s="236"/>
      <c r="C437" s="236"/>
      <c r="D437" s="236"/>
      <c r="E437" s="236"/>
      <c r="F437" s="236"/>
      <c r="G437" s="236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</row>
    <row r="438" ht="14.25" customHeight="1">
      <c r="A438" s="235"/>
      <c r="B438" s="236"/>
      <c r="C438" s="236"/>
      <c r="D438" s="236"/>
      <c r="E438" s="236"/>
      <c r="F438" s="236"/>
      <c r="G438" s="236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</row>
    <row r="439" ht="14.25" customHeight="1">
      <c r="A439" s="235"/>
      <c r="B439" s="236"/>
      <c r="C439" s="236"/>
      <c r="D439" s="236"/>
      <c r="E439" s="236"/>
      <c r="F439" s="236"/>
      <c r="G439" s="236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</row>
    <row r="440" ht="14.25" customHeight="1">
      <c r="A440" s="235"/>
      <c r="B440" s="236"/>
      <c r="C440" s="236"/>
      <c r="D440" s="236"/>
      <c r="E440" s="236"/>
      <c r="F440" s="236"/>
      <c r="G440" s="236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</row>
    <row r="441" ht="14.25" customHeight="1">
      <c r="A441" s="235"/>
      <c r="B441" s="236"/>
      <c r="C441" s="236"/>
      <c r="D441" s="236"/>
      <c r="E441" s="236"/>
      <c r="F441" s="236"/>
      <c r="G441" s="236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</row>
    <row r="442" ht="14.25" customHeight="1">
      <c r="A442" s="235"/>
      <c r="B442" s="236"/>
      <c r="C442" s="236"/>
      <c r="D442" s="236"/>
      <c r="E442" s="236"/>
      <c r="F442" s="236"/>
      <c r="G442" s="236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</row>
    <row r="443" ht="14.25" customHeight="1">
      <c r="A443" s="235"/>
      <c r="B443" s="236"/>
      <c r="C443" s="236"/>
      <c r="D443" s="236"/>
      <c r="E443" s="236"/>
      <c r="F443" s="236"/>
      <c r="G443" s="236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</row>
    <row r="444" ht="14.25" customHeight="1">
      <c r="A444" s="235"/>
      <c r="B444" s="236"/>
      <c r="C444" s="236"/>
      <c r="D444" s="236"/>
      <c r="E444" s="236"/>
      <c r="F444" s="236"/>
      <c r="G444" s="236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</row>
    <row r="445" ht="14.25" customHeight="1">
      <c r="A445" s="235"/>
      <c r="B445" s="236"/>
      <c r="C445" s="236"/>
      <c r="D445" s="236"/>
      <c r="E445" s="236"/>
      <c r="F445" s="236"/>
      <c r="G445" s="236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</row>
    <row r="446" ht="14.25" customHeight="1">
      <c r="A446" s="235"/>
      <c r="B446" s="236"/>
      <c r="C446" s="236"/>
      <c r="D446" s="236"/>
      <c r="E446" s="236"/>
      <c r="F446" s="236"/>
      <c r="G446" s="236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</row>
    <row r="447" ht="14.25" customHeight="1">
      <c r="A447" s="235"/>
      <c r="B447" s="236"/>
      <c r="C447" s="236"/>
      <c r="D447" s="236"/>
      <c r="E447" s="236"/>
      <c r="F447" s="236"/>
      <c r="G447" s="236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</row>
    <row r="448" ht="14.25" customHeight="1">
      <c r="A448" s="235"/>
      <c r="B448" s="236"/>
      <c r="C448" s="236"/>
      <c r="D448" s="236"/>
      <c r="E448" s="236"/>
      <c r="F448" s="236"/>
      <c r="G448" s="236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</row>
    <row r="449" ht="14.25" customHeight="1">
      <c r="A449" s="235"/>
      <c r="B449" s="236"/>
      <c r="C449" s="236"/>
      <c r="D449" s="236"/>
      <c r="E449" s="236"/>
      <c r="F449" s="236"/>
      <c r="G449" s="236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</row>
    <row r="450" ht="14.25" customHeight="1">
      <c r="A450" s="235"/>
      <c r="B450" s="236"/>
      <c r="C450" s="236"/>
      <c r="D450" s="236"/>
      <c r="E450" s="236"/>
      <c r="F450" s="236"/>
      <c r="G450" s="236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</row>
    <row r="451" ht="14.25" customHeight="1">
      <c r="A451" s="235"/>
      <c r="B451" s="236"/>
      <c r="C451" s="236"/>
      <c r="D451" s="236"/>
      <c r="E451" s="236"/>
      <c r="F451" s="236"/>
      <c r="G451" s="236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</row>
    <row r="452" ht="14.25" customHeight="1">
      <c r="A452" s="235"/>
      <c r="B452" s="236"/>
      <c r="C452" s="236"/>
      <c r="D452" s="236"/>
      <c r="E452" s="236"/>
      <c r="F452" s="236"/>
      <c r="G452" s="236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</row>
    <row r="453" ht="14.25" customHeight="1">
      <c r="A453" s="235"/>
      <c r="B453" s="236"/>
      <c r="C453" s="236"/>
      <c r="D453" s="236"/>
      <c r="E453" s="236"/>
      <c r="F453" s="236"/>
      <c r="G453" s="236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</row>
    <row r="454" ht="14.25" customHeight="1">
      <c r="A454" s="235"/>
      <c r="B454" s="236"/>
      <c r="C454" s="236"/>
      <c r="D454" s="236"/>
      <c r="E454" s="236"/>
      <c r="F454" s="236"/>
      <c r="G454" s="236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</row>
    <row r="455" ht="14.25" customHeight="1">
      <c r="A455" s="235"/>
      <c r="B455" s="236"/>
      <c r="C455" s="236"/>
      <c r="D455" s="236"/>
      <c r="E455" s="236"/>
      <c r="F455" s="236"/>
      <c r="G455" s="236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</row>
    <row r="456" ht="14.25" customHeight="1">
      <c r="A456" s="235"/>
      <c r="B456" s="236"/>
      <c r="C456" s="236"/>
      <c r="D456" s="236"/>
      <c r="E456" s="236"/>
      <c r="F456" s="236"/>
      <c r="G456" s="236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</row>
    <row r="457" ht="14.25" customHeight="1">
      <c r="A457" s="235"/>
      <c r="B457" s="236"/>
      <c r="C457" s="236"/>
      <c r="D457" s="236"/>
      <c r="E457" s="236"/>
      <c r="F457" s="236"/>
      <c r="G457" s="236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</row>
    <row r="458" ht="14.25" customHeight="1">
      <c r="A458" s="235"/>
      <c r="B458" s="236"/>
      <c r="C458" s="236"/>
      <c r="D458" s="236"/>
      <c r="E458" s="236"/>
      <c r="F458" s="236"/>
      <c r="G458" s="236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</row>
    <row r="459" ht="14.25" customHeight="1">
      <c r="A459" s="235"/>
      <c r="B459" s="236"/>
      <c r="C459" s="236"/>
      <c r="D459" s="236"/>
      <c r="E459" s="236"/>
      <c r="F459" s="236"/>
      <c r="G459" s="236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</row>
    <row r="460" ht="14.25" customHeight="1">
      <c r="A460" s="235"/>
      <c r="B460" s="236"/>
      <c r="C460" s="236"/>
      <c r="D460" s="236"/>
      <c r="E460" s="236"/>
      <c r="F460" s="236"/>
      <c r="G460" s="236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</row>
    <row r="461" ht="14.25" customHeight="1">
      <c r="A461" s="235"/>
      <c r="B461" s="236"/>
      <c r="C461" s="236"/>
      <c r="D461" s="236"/>
      <c r="E461" s="236"/>
      <c r="F461" s="236"/>
      <c r="G461" s="236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</row>
    <row r="462" ht="14.25" customHeight="1">
      <c r="A462" s="235"/>
      <c r="B462" s="236"/>
      <c r="C462" s="236"/>
      <c r="D462" s="236"/>
      <c r="E462" s="236"/>
      <c r="F462" s="236"/>
      <c r="G462" s="236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</row>
    <row r="463" ht="14.25" customHeight="1">
      <c r="A463" s="235"/>
      <c r="B463" s="236"/>
      <c r="C463" s="236"/>
      <c r="D463" s="236"/>
      <c r="E463" s="236"/>
      <c r="F463" s="236"/>
      <c r="G463" s="236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</row>
    <row r="464" ht="14.25" customHeight="1">
      <c r="A464" s="235"/>
      <c r="B464" s="236"/>
      <c r="C464" s="236"/>
      <c r="D464" s="236"/>
      <c r="E464" s="236"/>
      <c r="F464" s="236"/>
      <c r="G464" s="236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</row>
    <row r="465" ht="14.25" customHeight="1">
      <c r="A465" s="235"/>
      <c r="B465" s="236"/>
      <c r="C465" s="236"/>
      <c r="D465" s="236"/>
      <c r="E465" s="236"/>
      <c r="F465" s="236"/>
      <c r="G465" s="236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</row>
    <row r="466" ht="14.25" customHeight="1">
      <c r="A466" s="235"/>
      <c r="B466" s="236"/>
      <c r="C466" s="236"/>
      <c r="D466" s="236"/>
      <c r="E466" s="236"/>
      <c r="F466" s="236"/>
      <c r="G466" s="236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</row>
    <row r="467" ht="14.25" customHeight="1">
      <c r="A467" s="235"/>
      <c r="B467" s="236"/>
      <c r="C467" s="236"/>
      <c r="D467" s="236"/>
      <c r="E467" s="236"/>
      <c r="F467" s="236"/>
      <c r="G467" s="236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</row>
    <row r="468" ht="14.25" customHeight="1">
      <c r="A468" s="235"/>
      <c r="B468" s="236"/>
      <c r="C468" s="236"/>
      <c r="D468" s="236"/>
      <c r="E468" s="236"/>
      <c r="F468" s="236"/>
      <c r="G468" s="236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</row>
    <row r="469" ht="14.25" customHeight="1">
      <c r="A469" s="235"/>
      <c r="B469" s="236"/>
      <c r="C469" s="236"/>
      <c r="D469" s="236"/>
      <c r="E469" s="236"/>
      <c r="F469" s="236"/>
      <c r="G469" s="236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</row>
    <row r="470" ht="14.25" customHeight="1">
      <c r="A470" s="235"/>
      <c r="B470" s="236"/>
      <c r="C470" s="236"/>
      <c r="D470" s="236"/>
      <c r="E470" s="236"/>
      <c r="F470" s="236"/>
      <c r="G470" s="236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</row>
    <row r="471" ht="14.25" customHeight="1">
      <c r="A471" s="235"/>
      <c r="B471" s="236"/>
      <c r="C471" s="236"/>
      <c r="D471" s="236"/>
      <c r="E471" s="236"/>
      <c r="F471" s="236"/>
      <c r="G471" s="236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</row>
    <row r="472" ht="14.25" customHeight="1">
      <c r="A472" s="235"/>
      <c r="B472" s="236"/>
      <c r="C472" s="236"/>
      <c r="D472" s="236"/>
      <c r="E472" s="236"/>
      <c r="F472" s="236"/>
      <c r="G472" s="236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</row>
    <row r="473" ht="14.25" customHeight="1">
      <c r="A473" s="235"/>
      <c r="B473" s="236"/>
      <c r="C473" s="236"/>
      <c r="D473" s="236"/>
      <c r="E473" s="236"/>
      <c r="F473" s="236"/>
      <c r="G473" s="236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</row>
    <row r="474" ht="14.25" customHeight="1">
      <c r="A474" s="235"/>
      <c r="B474" s="236"/>
      <c r="C474" s="236"/>
      <c r="D474" s="236"/>
      <c r="E474" s="236"/>
      <c r="F474" s="236"/>
      <c r="G474" s="236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</row>
    <row r="475" ht="14.25" customHeight="1">
      <c r="A475" s="235"/>
      <c r="B475" s="236"/>
      <c r="C475" s="236"/>
      <c r="D475" s="236"/>
      <c r="E475" s="236"/>
      <c r="F475" s="236"/>
      <c r="G475" s="236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</row>
    <row r="476" ht="14.25" customHeight="1">
      <c r="A476" s="235"/>
      <c r="B476" s="236"/>
      <c r="C476" s="236"/>
      <c r="D476" s="236"/>
      <c r="E476" s="236"/>
      <c r="F476" s="236"/>
      <c r="G476" s="236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</row>
    <row r="477" ht="14.25" customHeight="1">
      <c r="A477" s="235"/>
      <c r="B477" s="236"/>
      <c r="C477" s="236"/>
      <c r="D477" s="236"/>
      <c r="E477" s="236"/>
      <c r="F477" s="236"/>
      <c r="G477" s="236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</row>
    <row r="478" ht="14.25" customHeight="1">
      <c r="A478" s="235"/>
      <c r="B478" s="236"/>
      <c r="C478" s="236"/>
      <c r="D478" s="236"/>
      <c r="E478" s="236"/>
      <c r="F478" s="236"/>
      <c r="G478" s="236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</row>
    <row r="479" ht="14.25" customHeight="1">
      <c r="A479" s="235"/>
      <c r="B479" s="236"/>
      <c r="C479" s="236"/>
      <c r="D479" s="236"/>
      <c r="E479" s="236"/>
      <c r="F479" s="236"/>
      <c r="G479" s="236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</row>
    <row r="480" ht="14.25" customHeight="1">
      <c r="A480" s="235"/>
      <c r="B480" s="236"/>
      <c r="C480" s="236"/>
      <c r="D480" s="236"/>
      <c r="E480" s="236"/>
      <c r="F480" s="236"/>
      <c r="G480" s="236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</row>
    <row r="481" ht="14.25" customHeight="1">
      <c r="A481" s="235"/>
      <c r="B481" s="236"/>
      <c r="C481" s="236"/>
      <c r="D481" s="236"/>
      <c r="E481" s="236"/>
      <c r="F481" s="236"/>
      <c r="G481" s="236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</row>
    <row r="482" ht="14.25" customHeight="1">
      <c r="A482" s="235"/>
      <c r="B482" s="236"/>
      <c r="C482" s="236"/>
      <c r="D482" s="236"/>
      <c r="E482" s="236"/>
      <c r="F482" s="236"/>
      <c r="G482" s="236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</row>
    <row r="483" ht="14.25" customHeight="1">
      <c r="A483" s="235"/>
      <c r="B483" s="236"/>
      <c r="C483" s="236"/>
      <c r="D483" s="236"/>
      <c r="E483" s="236"/>
      <c r="F483" s="236"/>
      <c r="G483" s="236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</row>
    <row r="484" ht="14.25" customHeight="1">
      <c r="A484" s="235"/>
      <c r="B484" s="236"/>
      <c r="C484" s="236"/>
      <c r="D484" s="236"/>
      <c r="E484" s="236"/>
      <c r="F484" s="236"/>
      <c r="G484" s="236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</row>
    <row r="485" ht="14.25" customHeight="1">
      <c r="A485" s="235"/>
      <c r="B485" s="236"/>
      <c r="C485" s="236"/>
      <c r="D485" s="236"/>
      <c r="E485" s="236"/>
      <c r="F485" s="236"/>
      <c r="G485" s="236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</row>
    <row r="486" ht="14.25" customHeight="1">
      <c r="A486" s="235"/>
      <c r="B486" s="236"/>
      <c r="C486" s="236"/>
      <c r="D486" s="236"/>
      <c r="E486" s="236"/>
      <c r="F486" s="236"/>
      <c r="G486" s="236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</row>
    <row r="487" ht="14.25" customHeight="1">
      <c r="A487" s="235"/>
      <c r="B487" s="236"/>
      <c r="C487" s="236"/>
      <c r="D487" s="236"/>
      <c r="E487" s="236"/>
      <c r="F487" s="236"/>
      <c r="G487" s="236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</row>
    <row r="488" ht="14.25" customHeight="1">
      <c r="A488" s="235"/>
      <c r="B488" s="236"/>
      <c r="C488" s="236"/>
      <c r="D488" s="236"/>
      <c r="E488" s="236"/>
      <c r="F488" s="236"/>
      <c r="G488" s="236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</row>
    <row r="489" ht="14.25" customHeight="1">
      <c r="A489" s="235"/>
      <c r="B489" s="236"/>
      <c r="C489" s="236"/>
      <c r="D489" s="236"/>
      <c r="E489" s="236"/>
      <c r="F489" s="236"/>
      <c r="G489" s="236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</row>
    <row r="490" ht="14.25" customHeight="1">
      <c r="A490" s="235"/>
      <c r="B490" s="236"/>
      <c r="C490" s="236"/>
      <c r="D490" s="236"/>
      <c r="E490" s="236"/>
      <c r="F490" s="236"/>
      <c r="G490" s="236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</row>
    <row r="491" ht="14.25" customHeight="1">
      <c r="A491" s="235"/>
      <c r="B491" s="236"/>
      <c r="C491" s="236"/>
      <c r="D491" s="236"/>
      <c r="E491" s="236"/>
      <c r="F491" s="236"/>
      <c r="G491" s="236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</row>
    <row r="492" ht="14.25" customHeight="1">
      <c r="A492" s="235"/>
      <c r="B492" s="236"/>
      <c r="C492" s="236"/>
      <c r="D492" s="236"/>
      <c r="E492" s="236"/>
      <c r="F492" s="236"/>
      <c r="G492" s="236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</row>
    <row r="493" ht="14.25" customHeight="1">
      <c r="A493" s="235"/>
      <c r="B493" s="236"/>
      <c r="C493" s="236"/>
      <c r="D493" s="236"/>
      <c r="E493" s="236"/>
      <c r="F493" s="236"/>
      <c r="G493" s="236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</row>
    <row r="494" ht="14.25" customHeight="1">
      <c r="A494" s="235"/>
      <c r="B494" s="236"/>
      <c r="C494" s="236"/>
      <c r="D494" s="236"/>
      <c r="E494" s="236"/>
      <c r="F494" s="236"/>
      <c r="G494" s="236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</row>
    <row r="495" ht="14.25" customHeight="1">
      <c r="A495" s="235"/>
      <c r="B495" s="236"/>
      <c r="C495" s="236"/>
      <c r="D495" s="236"/>
      <c r="E495" s="236"/>
      <c r="F495" s="236"/>
      <c r="G495" s="236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</row>
    <row r="496" ht="14.25" customHeight="1">
      <c r="A496" s="235"/>
      <c r="B496" s="236"/>
      <c r="C496" s="236"/>
      <c r="D496" s="236"/>
      <c r="E496" s="236"/>
      <c r="F496" s="236"/>
      <c r="G496" s="236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</row>
    <row r="497" ht="14.25" customHeight="1">
      <c r="A497" s="235"/>
      <c r="B497" s="236"/>
      <c r="C497" s="236"/>
      <c r="D497" s="236"/>
      <c r="E497" s="236"/>
      <c r="F497" s="236"/>
      <c r="G497" s="236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</row>
    <row r="498" ht="14.25" customHeight="1">
      <c r="A498" s="235"/>
      <c r="B498" s="236"/>
      <c r="C498" s="236"/>
      <c r="D498" s="236"/>
      <c r="E498" s="236"/>
      <c r="F498" s="236"/>
      <c r="G498" s="236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</row>
    <row r="499" ht="14.25" customHeight="1">
      <c r="A499" s="235"/>
      <c r="B499" s="236"/>
      <c r="C499" s="236"/>
      <c r="D499" s="236"/>
      <c r="E499" s="236"/>
      <c r="F499" s="236"/>
      <c r="G499" s="236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</row>
    <row r="500" ht="14.25" customHeight="1">
      <c r="A500" s="235"/>
      <c r="B500" s="236"/>
      <c r="C500" s="236"/>
      <c r="D500" s="236"/>
      <c r="E500" s="236"/>
      <c r="F500" s="236"/>
      <c r="G500" s="236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</row>
    <row r="501" ht="14.25" customHeight="1">
      <c r="A501" s="235"/>
      <c r="B501" s="236"/>
      <c r="C501" s="236"/>
      <c r="D501" s="236"/>
      <c r="E501" s="236"/>
      <c r="F501" s="236"/>
      <c r="G501" s="236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</row>
    <row r="502" ht="14.25" customHeight="1">
      <c r="A502" s="235"/>
      <c r="B502" s="236"/>
      <c r="C502" s="236"/>
      <c r="D502" s="236"/>
      <c r="E502" s="236"/>
      <c r="F502" s="236"/>
      <c r="G502" s="236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</row>
    <row r="503" ht="14.25" customHeight="1">
      <c r="A503" s="235"/>
      <c r="B503" s="236"/>
      <c r="C503" s="236"/>
      <c r="D503" s="236"/>
      <c r="E503" s="236"/>
      <c r="F503" s="236"/>
      <c r="G503" s="236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</row>
    <row r="504" ht="14.25" customHeight="1">
      <c r="A504" s="235"/>
      <c r="B504" s="236"/>
      <c r="C504" s="236"/>
      <c r="D504" s="236"/>
      <c r="E504" s="236"/>
      <c r="F504" s="236"/>
      <c r="G504" s="236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</row>
    <row r="505" ht="14.25" customHeight="1">
      <c r="A505" s="235"/>
      <c r="B505" s="236"/>
      <c r="C505" s="236"/>
      <c r="D505" s="236"/>
      <c r="E505" s="236"/>
      <c r="F505" s="236"/>
      <c r="G505" s="236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</row>
    <row r="506" ht="14.25" customHeight="1">
      <c r="A506" s="235"/>
      <c r="B506" s="236"/>
      <c r="C506" s="236"/>
      <c r="D506" s="236"/>
      <c r="E506" s="236"/>
      <c r="F506" s="236"/>
      <c r="G506" s="236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</row>
    <row r="507" ht="14.25" customHeight="1">
      <c r="A507" s="235"/>
      <c r="B507" s="236"/>
      <c r="C507" s="236"/>
      <c r="D507" s="236"/>
      <c r="E507" s="236"/>
      <c r="F507" s="236"/>
      <c r="G507" s="236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</row>
    <row r="508" ht="14.25" customHeight="1">
      <c r="A508" s="235"/>
      <c r="B508" s="236"/>
      <c r="C508" s="236"/>
      <c r="D508" s="236"/>
      <c r="E508" s="236"/>
      <c r="F508" s="236"/>
      <c r="G508" s="236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</row>
    <row r="509" ht="14.25" customHeight="1">
      <c r="A509" s="235"/>
      <c r="B509" s="236"/>
      <c r="C509" s="236"/>
      <c r="D509" s="236"/>
      <c r="E509" s="236"/>
      <c r="F509" s="236"/>
      <c r="G509" s="236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</row>
    <row r="510" ht="14.25" customHeight="1">
      <c r="A510" s="235"/>
      <c r="B510" s="236"/>
      <c r="C510" s="236"/>
      <c r="D510" s="236"/>
      <c r="E510" s="236"/>
      <c r="F510" s="236"/>
      <c r="G510" s="236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</row>
    <row r="511" ht="14.25" customHeight="1">
      <c r="A511" s="235"/>
      <c r="B511" s="236"/>
      <c r="C511" s="236"/>
      <c r="D511" s="236"/>
      <c r="E511" s="236"/>
      <c r="F511" s="236"/>
      <c r="G511" s="236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</row>
    <row r="512" ht="14.25" customHeight="1">
      <c r="A512" s="235"/>
      <c r="B512" s="236"/>
      <c r="C512" s="236"/>
      <c r="D512" s="236"/>
      <c r="E512" s="236"/>
      <c r="F512" s="236"/>
      <c r="G512" s="236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</row>
    <row r="513" ht="14.25" customHeight="1">
      <c r="A513" s="235"/>
      <c r="B513" s="236"/>
      <c r="C513" s="236"/>
      <c r="D513" s="236"/>
      <c r="E513" s="236"/>
      <c r="F513" s="236"/>
      <c r="G513" s="236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</row>
    <row r="514" ht="14.25" customHeight="1">
      <c r="A514" s="235"/>
      <c r="B514" s="236"/>
      <c r="C514" s="236"/>
      <c r="D514" s="236"/>
      <c r="E514" s="236"/>
      <c r="F514" s="236"/>
      <c r="G514" s="236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</row>
    <row r="515" ht="14.25" customHeight="1">
      <c r="A515" s="235"/>
      <c r="B515" s="236"/>
      <c r="C515" s="236"/>
      <c r="D515" s="236"/>
      <c r="E515" s="236"/>
      <c r="F515" s="236"/>
      <c r="G515" s="236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</row>
    <row r="516" ht="14.25" customHeight="1">
      <c r="A516" s="235"/>
      <c r="B516" s="236"/>
      <c r="C516" s="236"/>
      <c r="D516" s="236"/>
      <c r="E516" s="236"/>
      <c r="F516" s="236"/>
      <c r="G516" s="236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</row>
    <row r="517" ht="14.25" customHeight="1">
      <c r="A517" s="235"/>
      <c r="B517" s="236"/>
      <c r="C517" s="236"/>
      <c r="D517" s="236"/>
      <c r="E517" s="236"/>
      <c r="F517" s="236"/>
      <c r="G517" s="236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</row>
    <row r="518" ht="14.25" customHeight="1">
      <c r="A518" s="235"/>
      <c r="B518" s="236"/>
      <c r="C518" s="236"/>
      <c r="D518" s="236"/>
      <c r="E518" s="236"/>
      <c r="F518" s="236"/>
      <c r="G518" s="236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</row>
    <row r="519" ht="14.25" customHeight="1">
      <c r="A519" s="235"/>
      <c r="B519" s="236"/>
      <c r="C519" s="236"/>
      <c r="D519" s="236"/>
      <c r="E519" s="236"/>
      <c r="F519" s="236"/>
      <c r="G519" s="236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</row>
    <row r="520" ht="14.25" customHeight="1">
      <c r="A520" s="235"/>
      <c r="B520" s="236"/>
      <c r="C520" s="236"/>
      <c r="D520" s="236"/>
      <c r="E520" s="236"/>
      <c r="F520" s="236"/>
      <c r="G520" s="236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</row>
    <row r="521" ht="14.25" customHeight="1">
      <c r="A521" s="235"/>
      <c r="B521" s="236"/>
      <c r="C521" s="236"/>
      <c r="D521" s="236"/>
      <c r="E521" s="236"/>
      <c r="F521" s="236"/>
      <c r="G521" s="236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</row>
    <row r="522" ht="14.25" customHeight="1">
      <c r="A522" s="235"/>
      <c r="B522" s="236"/>
      <c r="C522" s="236"/>
      <c r="D522" s="236"/>
      <c r="E522" s="236"/>
      <c r="F522" s="236"/>
      <c r="G522" s="236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</row>
    <row r="523" ht="14.25" customHeight="1">
      <c r="A523" s="235"/>
      <c r="B523" s="236"/>
      <c r="C523" s="236"/>
      <c r="D523" s="236"/>
      <c r="E523" s="236"/>
      <c r="F523" s="236"/>
      <c r="G523" s="236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</row>
    <row r="524" ht="14.25" customHeight="1">
      <c r="A524" s="235"/>
      <c r="B524" s="236"/>
      <c r="C524" s="236"/>
      <c r="D524" s="236"/>
      <c r="E524" s="236"/>
      <c r="F524" s="236"/>
      <c r="G524" s="236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</row>
    <row r="525" ht="14.25" customHeight="1">
      <c r="A525" s="235"/>
      <c r="B525" s="236"/>
      <c r="C525" s="236"/>
      <c r="D525" s="236"/>
      <c r="E525" s="236"/>
      <c r="F525" s="236"/>
      <c r="G525" s="236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</row>
    <row r="526" ht="14.25" customHeight="1">
      <c r="A526" s="235"/>
      <c r="B526" s="236"/>
      <c r="C526" s="236"/>
      <c r="D526" s="236"/>
      <c r="E526" s="236"/>
      <c r="F526" s="236"/>
      <c r="G526" s="236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</row>
    <row r="527" ht="14.25" customHeight="1">
      <c r="A527" s="235"/>
      <c r="B527" s="236"/>
      <c r="C527" s="236"/>
      <c r="D527" s="236"/>
      <c r="E527" s="236"/>
      <c r="F527" s="236"/>
      <c r="G527" s="236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</row>
    <row r="528" ht="14.25" customHeight="1">
      <c r="A528" s="235"/>
      <c r="B528" s="236"/>
      <c r="C528" s="236"/>
      <c r="D528" s="236"/>
      <c r="E528" s="236"/>
      <c r="F528" s="236"/>
      <c r="G528" s="236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</row>
    <row r="529" ht="14.25" customHeight="1">
      <c r="A529" s="235"/>
      <c r="B529" s="236"/>
      <c r="C529" s="236"/>
      <c r="D529" s="236"/>
      <c r="E529" s="236"/>
      <c r="F529" s="236"/>
      <c r="G529" s="236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</row>
    <row r="530" ht="14.25" customHeight="1">
      <c r="A530" s="235"/>
      <c r="B530" s="236"/>
      <c r="C530" s="236"/>
      <c r="D530" s="236"/>
      <c r="E530" s="236"/>
      <c r="F530" s="236"/>
      <c r="G530" s="236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</row>
    <row r="531" ht="14.25" customHeight="1">
      <c r="A531" s="235"/>
      <c r="B531" s="236"/>
      <c r="C531" s="236"/>
      <c r="D531" s="236"/>
      <c r="E531" s="236"/>
      <c r="F531" s="236"/>
      <c r="G531" s="236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</row>
    <row r="532" ht="14.25" customHeight="1">
      <c r="A532" s="235"/>
      <c r="B532" s="236"/>
      <c r="C532" s="236"/>
      <c r="D532" s="236"/>
      <c r="E532" s="236"/>
      <c r="F532" s="236"/>
      <c r="G532" s="236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</row>
    <row r="533" ht="14.25" customHeight="1">
      <c r="A533" s="235"/>
      <c r="B533" s="236"/>
      <c r="C533" s="236"/>
      <c r="D533" s="236"/>
      <c r="E533" s="236"/>
      <c r="F533" s="236"/>
      <c r="G533" s="236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</row>
    <row r="534" ht="14.25" customHeight="1">
      <c r="A534" s="235"/>
      <c r="B534" s="236"/>
      <c r="C534" s="236"/>
      <c r="D534" s="236"/>
      <c r="E534" s="236"/>
      <c r="F534" s="236"/>
      <c r="G534" s="236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</row>
    <row r="535" ht="14.25" customHeight="1">
      <c r="A535" s="235"/>
      <c r="B535" s="236"/>
      <c r="C535" s="236"/>
      <c r="D535" s="236"/>
      <c r="E535" s="236"/>
      <c r="F535" s="236"/>
      <c r="G535" s="236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</row>
    <row r="536" ht="14.25" customHeight="1">
      <c r="A536" s="235"/>
      <c r="B536" s="236"/>
      <c r="C536" s="236"/>
      <c r="D536" s="236"/>
      <c r="E536" s="236"/>
      <c r="F536" s="236"/>
      <c r="G536" s="236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</row>
    <row r="537" ht="14.25" customHeight="1">
      <c r="A537" s="235"/>
      <c r="B537" s="236"/>
      <c r="C537" s="236"/>
      <c r="D537" s="236"/>
      <c r="E537" s="236"/>
      <c r="F537" s="236"/>
      <c r="G537" s="236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</row>
    <row r="538" ht="14.25" customHeight="1">
      <c r="A538" s="235"/>
      <c r="B538" s="236"/>
      <c r="C538" s="236"/>
      <c r="D538" s="236"/>
      <c r="E538" s="236"/>
      <c r="F538" s="236"/>
      <c r="G538" s="236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</row>
    <row r="539" ht="14.25" customHeight="1">
      <c r="A539" s="235"/>
      <c r="B539" s="236"/>
      <c r="C539" s="236"/>
      <c r="D539" s="236"/>
      <c r="E539" s="236"/>
      <c r="F539" s="236"/>
      <c r="G539" s="236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</row>
    <row r="540" ht="14.25" customHeight="1">
      <c r="A540" s="235"/>
      <c r="B540" s="236"/>
      <c r="C540" s="236"/>
      <c r="D540" s="236"/>
      <c r="E540" s="236"/>
      <c r="F540" s="236"/>
      <c r="G540" s="236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</row>
    <row r="541" ht="14.25" customHeight="1">
      <c r="A541" s="235"/>
      <c r="B541" s="236"/>
      <c r="C541" s="236"/>
      <c r="D541" s="236"/>
      <c r="E541" s="236"/>
      <c r="F541" s="236"/>
      <c r="G541" s="236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</row>
    <row r="542" ht="14.25" customHeight="1">
      <c r="A542" s="235"/>
      <c r="B542" s="236"/>
      <c r="C542" s="236"/>
      <c r="D542" s="236"/>
      <c r="E542" s="236"/>
      <c r="F542" s="236"/>
      <c r="G542" s="236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</row>
    <row r="543" ht="14.25" customHeight="1">
      <c r="A543" s="235"/>
      <c r="B543" s="236"/>
      <c r="C543" s="236"/>
      <c r="D543" s="236"/>
      <c r="E543" s="236"/>
      <c r="F543" s="236"/>
      <c r="G543" s="236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</row>
    <row r="544" ht="14.25" customHeight="1">
      <c r="A544" s="235"/>
      <c r="B544" s="236"/>
      <c r="C544" s="236"/>
      <c r="D544" s="236"/>
      <c r="E544" s="236"/>
      <c r="F544" s="236"/>
      <c r="G544" s="236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</row>
    <row r="545" ht="14.25" customHeight="1">
      <c r="A545" s="235"/>
      <c r="B545" s="236"/>
      <c r="C545" s="236"/>
      <c r="D545" s="236"/>
      <c r="E545" s="236"/>
      <c r="F545" s="236"/>
      <c r="G545" s="236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</row>
    <row r="546" ht="14.25" customHeight="1">
      <c r="A546" s="235"/>
      <c r="B546" s="236"/>
      <c r="C546" s="236"/>
      <c r="D546" s="236"/>
      <c r="E546" s="236"/>
      <c r="F546" s="236"/>
      <c r="G546" s="236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</row>
    <row r="547" ht="14.25" customHeight="1">
      <c r="A547" s="235"/>
      <c r="B547" s="236"/>
      <c r="C547" s="236"/>
      <c r="D547" s="236"/>
      <c r="E547" s="236"/>
      <c r="F547" s="236"/>
      <c r="G547" s="236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</row>
    <row r="548" ht="14.25" customHeight="1">
      <c r="A548" s="235"/>
      <c r="B548" s="236"/>
      <c r="C548" s="236"/>
      <c r="D548" s="236"/>
      <c r="E548" s="236"/>
      <c r="F548" s="236"/>
      <c r="G548" s="236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</row>
    <row r="549" ht="14.25" customHeight="1">
      <c r="A549" s="235"/>
      <c r="B549" s="236"/>
      <c r="C549" s="236"/>
      <c r="D549" s="236"/>
      <c r="E549" s="236"/>
      <c r="F549" s="236"/>
      <c r="G549" s="236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</row>
    <row r="550" ht="14.25" customHeight="1">
      <c r="A550" s="235"/>
      <c r="B550" s="236"/>
      <c r="C550" s="236"/>
      <c r="D550" s="236"/>
      <c r="E550" s="236"/>
      <c r="F550" s="236"/>
      <c r="G550" s="236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</row>
    <row r="551" ht="14.25" customHeight="1">
      <c r="A551" s="235"/>
      <c r="B551" s="236"/>
      <c r="C551" s="236"/>
      <c r="D551" s="236"/>
      <c r="E551" s="236"/>
      <c r="F551" s="236"/>
      <c r="G551" s="236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</row>
    <row r="552" ht="14.25" customHeight="1">
      <c r="A552" s="235"/>
      <c r="B552" s="236"/>
      <c r="C552" s="236"/>
      <c r="D552" s="236"/>
      <c r="E552" s="236"/>
      <c r="F552" s="236"/>
      <c r="G552" s="236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</row>
    <row r="553" ht="14.25" customHeight="1">
      <c r="A553" s="235"/>
      <c r="B553" s="236"/>
      <c r="C553" s="236"/>
      <c r="D553" s="236"/>
      <c r="E553" s="236"/>
      <c r="F553" s="236"/>
      <c r="G553" s="236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</row>
    <row r="554" ht="14.25" customHeight="1">
      <c r="A554" s="235"/>
      <c r="B554" s="236"/>
      <c r="C554" s="236"/>
      <c r="D554" s="236"/>
      <c r="E554" s="236"/>
      <c r="F554" s="236"/>
      <c r="G554" s="236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</row>
    <row r="555" ht="14.25" customHeight="1">
      <c r="A555" s="235"/>
      <c r="B555" s="236"/>
      <c r="C555" s="236"/>
      <c r="D555" s="236"/>
      <c r="E555" s="236"/>
      <c r="F555" s="236"/>
      <c r="G555" s="236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</row>
    <row r="556" ht="14.25" customHeight="1">
      <c r="A556" s="235"/>
      <c r="B556" s="236"/>
      <c r="C556" s="236"/>
      <c r="D556" s="236"/>
      <c r="E556" s="236"/>
      <c r="F556" s="236"/>
      <c r="G556" s="236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</row>
    <row r="557" ht="14.25" customHeight="1">
      <c r="A557" s="235"/>
      <c r="B557" s="236"/>
      <c r="C557" s="236"/>
      <c r="D557" s="236"/>
      <c r="E557" s="236"/>
      <c r="F557" s="236"/>
      <c r="G557" s="236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</row>
    <row r="558" ht="14.25" customHeight="1">
      <c r="A558" s="235"/>
      <c r="B558" s="236"/>
      <c r="C558" s="236"/>
      <c r="D558" s="236"/>
      <c r="E558" s="236"/>
      <c r="F558" s="236"/>
      <c r="G558" s="236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</row>
    <row r="559" ht="14.25" customHeight="1">
      <c r="A559" s="235"/>
      <c r="B559" s="236"/>
      <c r="C559" s="236"/>
      <c r="D559" s="236"/>
      <c r="E559" s="236"/>
      <c r="F559" s="236"/>
      <c r="G559" s="236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</row>
    <row r="560" ht="14.25" customHeight="1">
      <c r="A560" s="235"/>
      <c r="B560" s="236"/>
      <c r="C560" s="236"/>
      <c r="D560" s="236"/>
      <c r="E560" s="236"/>
      <c r="F560" s="236"/>
      <c r="G560" s="236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</row>
    <row r="561" ht="14.25" customHeight="1">
      <c r="A561" s="235"/>
      <c r="B561" s="236"/>
      <c r="C561" s="236"/>
      <c r="D561" s="236"/>
      <c r="E561" s="236"/>
      <c r="F561" s="236"/>
      <c r="G561" s="236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</row>
    <row r="562" ht="14.25" customHeight="1">
      <c r="A562" s="235"/>
      <c r="B562" s="236"/>
      <c r="C562" s="236"/>
      <c r="D562" s="236"/>
      <c r="E562" s="236"/>
      <c r="F562" s="236"/>
      <c r="G562" s="236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</row>
    <row r="563" ht="14.25" customHeight="1">
      <c r="A563" s="235"/>
      <c r="B563" s="236"/>
      <c r="C563" s="236"/>
      <c r="D563" s="236"/>
      <c r="E563" s="236"/>
      <c r="F563" s="236"/>
      <c r="G563" s="236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</row>
    <row r="564" ht="14.25" customHeight="1">
      <c r="A564" s="235"/>
      <c r="B564" s="236"/>
      <c r="C564" s="236"/>
      <c r="D564" s="236"/>
      <c r="E564" s="236"/>
      <c r="F564" s="236"/>
      <c r="G564" s="236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</row>
    <row r="565" ht="14.25" customHeight="1">
      <c r="A565" s="235"/>
      <c r="B565" s="236"/>
      <c r="C565" s="236"/>
      <c r="D565" s="236"/>
      <c r="E565" s="236"/>
      <c r="F565" s="236"/>
      <c r="G565" s="236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</row>
    <row r="566" ht="14.25" customHeight="1">
      <c r="A566" s="235"/>
      <c r="B566" s="236"/>
      <c r="C566" s="236"/>
      <c r="D566" s="236"/>
      <c r="E566" s="236"/>
      <c r="F566" s="236"/>
      <c r="G566" s="236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</row>
    <row r="567" ht="14.25" customHeight="1">
      <c r="A567" s="235"/>
      <c r="B567" s="236"/>
      <c r="C567" s="236"/>
      <c r="D567" s="236"/>
      <c r="E567" s="236"/>
      <c r="F567" s="236"/>
      <c r="G567" s="236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</row>
    <row r="568" ht="14.25" customHeight="1">
      <c r="A568" s="235"/>
      <c r="B568" s="236"/>
      <c r="C568" s="236"/>
      <c r="D568" s="236"/>
      <c r="E568" s="236"/>
      <c r="F568" s="236"/>
      <c r="G568" s="236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</row>
    <row r="569" ht="14.25" customHeight="1">
      <c r="A569" s="235"/>
      <c r="B569" s="236"/>
      <c r="C569" s="236"/>
      <c r="D569" s="236"/>
      <c r="E569" s="236"/>
      <c r="F569" s="236"/>
      <c r="G569" s="236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</row>
    <row r="570" ht="14.25" customHeight="1">
      <c r="A570" s="235"/>
      <c r="B570" s="236"/>
      <c r="C570" s="236"/>
      <c r="D570" s="236"/>
      <c r="E570" s="236"/>
      <c r="F570" s="236"/>
      <c r="G570" s="236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</row>
    <row r="571" ht="14.25" customHeight="1">
      <c r="A571" s="235"/>
      <c r="B571" s="236"/>
      <c r="C571" s="236"/>
      <c r="D571" s="236"/>
      <c r="E571" s="236"/>
      <c r="F571" s="236"/>
      <c r="G571" s="236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</row>
    <row r="572" ht="14.25" customHeight="1">
      <c r="A572" s="235"/>
      <c r="B572" s="236"/>
      <c r="C572" s="236"/>
      <c r="D572" s="236"/>
      <c r="E572" s="236"/>
      <c r="F572" s="236"/>
      <c r="G572" s="236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</row>
    <row r="573" ht="14.25" customHeight="1">
      <c r="A573" s="235"/>
      <c r="B573" s="236"/>
      <c r="C573" s="236"/>
      <c r="D573" s="236"/>
      <c r="E573" s="236"/>
      <c r="F573" s="236"/>
      <c r="G573" s="236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</row>
    <row r="574" ht="14.25" customHeight="1">
      <c r="A574" s="235"/>
      <c r="B574" s="236"/>
      <c r="C574" s="236"/>
      <c r="D574" s="236"/>
      <c r="E574" s="236"/>
      <c r="F574" s="236"/>
      <c r="G574" s="236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</row>
    <row r="575" ht="14.25" customHeight="1">
      <c r="A575" s="235"/>
      <c r="B575" s="236"/>
      <c r="C575" s="236"/>
      <c r="D575" s="236"/>
      <c r="E575" s="236"/>
      <c r="F575" s="236"/>
      <c r="G575" s="236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</row>
    <row r="576" ht="14.25" customHeight="1">
      <c r="A576" s="235"/>
      <c r="B576" s="236"/>
      <c r="C576" s="236"/>
      <c r="D576" s="236"/>
      <c r="E576" s="236"/>
      <c r="F576" s="236"/>
      <c r="G576" s="236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</row>
    <row r="577" ht="14.25" customHeight="1">
      <c r="A577" s="235"/>
      <c r="B577" s="236"/>
      <c r="C577" s="236"/>
      <c r="D577" s="236"/>
      <c r="E577" s="236"/>
      <c r="F577" s="236"/>
      <c r="G577" s="236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</row>
    <row r="578" ht="14.25" customHeight="1">
      <c r="A578" s="235"/>
      <c r="B578" s="236"/>
      <c r="C578" s="236"/>
      <c r="D578" s="236"/>
      <c r="E578" s="236"/>
      <c r="F578" s="236"/>
      <c r="G578" s="236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</row>
    <row r="579" ht="14.25" customHeight="1">
      <c r="A579" s="235"/>
      <c r="B579" s="236"/>
      <c r="C579" s="236"/>
      <c r="D579" s="236"/>
      <c r="E579" s="236"/>
      <c r="F579" s="236"/>
      <c r="G579" s="236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</row>
    <row r="580" ht="14.25" customHeight="1">
      <c r="A580" s="235"/>
      <c r="B580" s="236"/>
      <c r="C580" s="236"/>
      <c r="D580" s="236"/>
      <c r="E580" s="236"/>
      <c r="F580" s="236"/>
      <c r="G580" s="236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</row>
    <row r="581" ht="14.25" customHeight="1">
      <c r="A581" s="235"/>
      <c r="B581" s="236"/>
      <c r="C581" s="236"/>
      <c r="D581" s="236"/>
      <c r="E581" s="236"/>
      <c r="F581" s="236"/>
      <c r="G581" s="236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</row>
    <row r="582" ht="14.25" customHeight="1">
      <c r="A582" s="235"/>
      <c r="B582" s="236"/>
      <c r="C582" s="236"/>
      <c r="D582" s="236"/>
      <c r="E582" s="236"/>
      <c r="F582" s="236"/>
      <c r="G582" s="236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</row>
    <row r="583" ht="14.25" customHeight="1">
      <c r="A583" s="235"/>
      <c r="B583" s="236"/>
      <c r="C583" s="236"/>
      <c r="D583" s="236"/>
      <c r="E583" s="236"/>
      <c r="F583" s="236"/>
      <c r="G583" s="236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</row>
    <row r="584" ht="14.25" customHeight="1">
      <c r="A584" s="235"/>
      <c r="B584" s="236"/>
      <c r="C584" s="236"/>
      <c r="D584" s="236"/>
      <c r="E584" s="236"/>
      <c r="F584" s="236"/>
      <c r="G584" s="236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</row>
    <row r="585" ht="14.25" customHeight="1">
      <c r="A585" s="235"/>
      <c r="B585" s="236"/>
      <c r="C585" s="236"/>
      <c r="D585" s="236"/>
      <c r="E585" s="236"/>
      <c r="F585" s="236"/>
      <c r="G585" s="236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</row>
    <row r="586" ht="14.25" customHeight="1">
      <c r="A586" s="235"/>
      <c r="B586" s="236"/>
      <c r="C586" s="236"/>
      <c r="D586" s="236"/>
      <c r="E586" s="236"/>
      <c r="F586" s="236"/>
      <c r="G586" s="236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</row>
    <row r="587" ht="14.25" customHeight="1">
      <c r="A587" s="235"/>
      <c r="B587" s="236"/>
      <c r="C587" s="236"/>
      <c r="D587" s="236"/>
      <c r="E587" s="236"/>
      <c r="F587" s="236"/>
      <c r="G587" s="236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</row>
    <row r="588" ht="14.25" customHeight="1">
      <c r="A588" s="235"/>
      <c r="B588" s="236"/>
      <c r="C588" s="236"/>
      <c r="D588" s="236"/>
      <c r="E588" s="236"/>
      <c r="F588" s="236"/>
      <c r="G588" s="236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</row>
    <row r="589" ht="14.25" customHeight="1">
      <c r="A589" s="235"/>
      <c r="B589" s="236"/>
      <c r="C589" s="236"/>
      <c r="D589" s="236"/>
      <c r="E589" s="236"/>
      <c r="F589" s="236"/>
      <c r="G589" s="236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</row>
    <row r="590" ht="14.25" customHeight="1">
      <c r="A590" s="235"/>
      <c r="B590" s="236"/>
      <c r="C590" s="236"/>
      <c r="D590" s="236"/>
      <c r="E590" s="236"/>
      <c r="F590" s="236"/>
      <c r="G590" s="236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</row>
    <row r="591" ht="14.25" customHeight="1">
      <c r="A591" s="235"/>
      <c r="B591" s="236"/>
      <c r="C591" s="236"/>
      <c r="D591" s="236"/>
      <c r="E591" s="236"/>
      <c r="F591" s="236"/>
      <c r="G591" s="236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</row>
    <row r="592" ht="14.25" customHeight="1">
      <c r="A592" s="235"/>
      <c r="B592" s="236"/>
      <c r="C592" s="236"/>
      <c r="D592" s="236"/>
      <c r="E592" s="236"/>
      <c r="F592" s="236"/>
      <c r="G592" s="236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</row>
    <row r="593" ht="14.25" customHeight="1">
      <c r="A593" s="235"/>
      <c r="B593" s="236"/>
      <c r="C593" s="236"/>
      <c r="D593" s="236"/>
      <c r="E593" s="236"/>
      <c r="F593" s="236"/>
      <c r="G593" s="236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</row>
    <row r="594" ht="14.25" customHeight="1">
      <c r="A594" s="235"/>
      <c r="B594" s="236"/>
      <c r="C594" s="236"/>
      <c r="D594" s="236"/>
      <c r="E594" s="236"/>
      <c r="F594" s="236"/>
      <c r="G594" s="236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</row>
    <row r="595" ht="14.25" customHeight="1">
      <c r="A595" s="235"/>
      <c r="B595" s="236"/>
      <c r="C595" s="236"/>
      <c r="D595" s="236"/>
      <c r="E595" s="236"/>
      <c r="F595" s="236"/>
      <c r="G595" s="236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</row>
    <row r="596" ht="14.25" customHeight="1">
      <c r="A596" s="235"/>
      <c r="B596" s="236"/>
      <c r="C596" s="236"/>
      <c r="D596" s="236"/>
      <c r="E596" s="236"/>
      <c r="F596" s="236"/>
      <c r="G596" s="236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</row>
    <row r="597" ht="14.25" customHeight="1">
      <c r="A597" s="235"/>
      <c r="B597" s="236"/>
      <c r="C597" s="236"/>
      <c r="D597" s="236"/>
      <c r="E597" s="236"/>
      <c r="F597" s="236"/>
      <c r="G597" s="236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</row>
    <row r="598" ht="14.25" customHeight="1">
      <c r="A598" s="235"/>
      <c r="B598" s="236"/>
      <c r="C598" s="236"/>
      <c r="D598" s="236"/>
      <c r="E598" s="236"/>
      <c r="F598" s="236"/>
      <c r="G598" s="236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</row>
    <row r="599" ht="14.25" customHeight="1">
      <c r="A599" s="235"/>
      <c r="B599" s="236"/>
      <c r="C599" s="236"/>
      <c r="D599" s="236"/>
      <c r="E599" s="236"/>
      <c r="F599" s="236"/>
      <c r="G599" s="236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</row>
    <row r="600" ht="14.25" customHeight="1">
      <c r="A600" s="235"/>
      <c r="B600" s="236"/>
      <c r="C600" s="236"/>
      <c r="D600" s="236"/>
      <c r="E600" s="236"/>
      <c r="F600" s="236"/>
      <c r="G600" s="236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</row>
    <row r="601" ht="14.25" customHeight="1">
      <c r="A601" s="235"/>
      <c r="B601" s="236"/>
      <c r="C601" s="236"/>
      <c r="D601" s="236"/>
      <c r="E601" s="236"/>
      <c r="F601" s="236"/>
      <c r="G601" s="236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</row>
    <row r="602" ht="14.25" customHeight="1">
      <c r="A602" s="235"/>
      <c r="B602" s="236"/>
      <c r="C602" s="236"/>
      <c r="D602" s="236"/>
      <c r="E602" s="236"/>
      <c r="F602" s="236"/>
      <c r="G602" s="236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</row>
    <row r="603" ht="14.25" customHeight="1">
      <c r="A603" s="235"/>
      <c r="B603" s="236"/>
      <c r="C603" s="236"/>
      <c r="D603" s="236"/>
      <c r="E603" s="236"/>
      <c r="F603" s="236"/>
      <c r="G603" s="236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</row>
    <row r="604" ht="14.25" customHeight="1">
      <c r="A604" s="235"/>
      <c r="B604" s="236"/>
      <c r="C604" s="236"/>
      <c r="D604" s="236"/>
      <c r="E604" s="236"/>
      <c r="F604" s="236"/>
      <c r="G604" s="236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</row>
    <row r="605" ht="14.25" customHeight="1">
      <c r="A605" s="235"/>
      <c r="B605" s="236"/>
      <c r="C605" s="236"/>
      <c r="D605" s="236"/>
      <c r="E605" s="236"/>
      <c r="F605" s="236"/>
      <c r="G605" s="236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</row>
    <row r="606" ht="14.25" customHeight="1">
      <c r="A606" s="235"/>
      <c r="B606" s="236"/>
      <c r="C606" s="236"/>
      <c r="D606" s="236"/>
      <c r="E606" s="236"/>
      <c r="F606" s="236"/>
      <c r="G606" s="236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</row>
    <row r="607" ht="14.25" customHeight="1">
      <c r="A607" s="235"/>
      <c r="B607" s="236"/>
      <c r="C607" s="236"/>
      <c r="D607" s="236"/>
      <c r="E607" s="236"/>
      <c r="F607" s="236"/>
      <c r="G607" s="236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</row>
    <row r="608" ht="14.25" customHeight="1">
      <c r="A608" s="235"/>
      <c r="B608" s="236"/>
      <c r="C608" s="236"/>
      <c r="D608" s="236"/>
      <c r="E608" s="236"/>
      <c r="F608" s="236"/>
      <c r="G608" s="236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</row>
    <row r="609" ht="14.25" customHeight="1">
      <c r="A609" s="235"/>
      <c r="B609" s="236"/>
      <c r="C609" s="236"/>
      <c r="D609" s="236"/>
      <c r="E609" s="236"/>
      <c r="F609" s="236"/>
      <c r="G609" s="236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</row>
    <row r="610" ht="14.25" customHeight="1">
      <c r="A610" s="235"/>
      <c r="B610" s="236"/>
      <c r="C610" s="236"/>
      <c r="D610" s="236"/>
      <c r="E610" s="236"/>
      <c r="F610" s="236"/>
      <c r="G610" s="236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</row>
    <row r="611" ht="14.25" customHeight="1">
      <c r="A611" s="235"/>
      <c r="B611" s="236"/>
      <c r="C611" s="236"/>
      <c r="D611" s="236"/>
      <c r="E611" s="236"/>
      <c r="F611" s="236"/>
      <c r="G611" s="236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</row>
    <row r="612" ht="14.25" customHeight="1">
      <c r="A612" s="235"/>
      <c r="B612" s="236"/>
      <c r="C612" s="236"/>
      <c r="D612" s="236"/>
      <c r="E612" s="236"/>
      <c r="F612" s="236"/>
      <c r="G612" s="236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</row>
    <row r="613" ht="14.25" customHeight="1">
      <c r="A613" s="235"/>
      <c r="B613" s="236"/>
      <c r="C613" s="236"/>
      <c r="D613" s="236"/>
      <c r="E613" s="236"/>
      <c r="F613" s="236"/>
      <c r="G613" s="236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</row>
    <row r="614" ht="14.25" customHeight="1">
      <c r="A614" s="235"/>
      <c r="B614" s="236"/>
      <c r="C614" s="236"/>
      <c r="D614" s="236"/>
      <c r="E614" s="236"/>
      <c r="F614" s="236"/>
      <c r="G614" s="236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</row>
    <row r="615" ht="14.25" customHeight="1">
      <c r="A615" s="235"/>
      <c r="B615" s="236"/>
      <c r="C615" s="236"/>
      <c r="D615" s="236"/>
      <c r="E615" s="236"/>
      <c r="F615" s="236"/>
      <c r="G615" s="236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</row>
    <row r="616" ht="14.25" customHeight="1">
      <c r="A616" s="235"/>
      <c r="B616" s="236"/>
      <c r="C616" s="236"/>
      <c r="D616" s="236"/>
      <c r="E616" s="236"/>
      <c r="F616" s="236"/>
      <c r="G616" s="236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</row>
    <row r="617" ht="14.25" customHeight="1">
      <c r="A617" s="235"/>
      <c r="B617" s="236"/>
      <c r="C617" s="236"/>
      <c r="D617" s="236"/>
      <c r="E617" s="236"/>
      <c r="F617" s="236"/>
      <c r="G617" s="236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</row>
    <row r="618" ht="14.25" customHeight="1">
      <c r="A618" s="235"/>
      <c r="B618" s="236"/>
      <c r="C618" s="236"/>
      <c r="D618" s="236"/>
      <c r="E618" s="236"/>
      <c r="F618" s="236"/>
      <c r="G618" s="236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</row>
    <row r="619" ht="14.25" customHeight="1">
      <c r="A619" s="235"/>
      <c r="B619" s="236"/>
      <c r="C619" s="236"/>
      <c r="D619" s="236"/>
      <c r="E619" s="236"/>
      <c r="F619" s="236"/>
      <c r="G619" s="236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</row>
    <row r="620" ht="14.25" customHeight="1">
      <c r="A620" s="235"/>
      <c r="B620" s="236"/>
      <c r="C620" s="236"/>
      <c r="D620" s="236"/>
      <c r="E620" s="236"/>
      <c r="F620" s="236"/>
      <c r="G620" s="236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</row>
    <row r="621" ht="14.25" customHeight="1">
      <c r="A621" s="235"/>
      <c r="B621" s="236"/>
      <c r="C621" s="236"/>
      <c r="D621" s="236"/>
      <c r="E621" s="236"/>
      <c r="F621" s="236"/>
      <c r="G621" s="236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</row>
    <row r="622" ht="14.25" customHeight="1">
      <c r="A622" s="235"/>
      <c r="B622" s="236"/>
      <c r="C622" s="236"/>
      <c r="D622" s="236"/>
      <c r="E622" s="236"/>
      <c r="F622" s="236"/>
      <c r="G622" s="236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</row>
    <row r="623" ht="14.25" customHeight="1">
      <c r="A623" s="235"/>
      <c r="B623" s="236"/>
      <c r="C623" s="236"/>
      <c r="D623" s="236"/>
      <c r="E623" s="236"/>
      <c r="F623" s="236"/>
      <c r="G623" s="236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</row>
    <row r="624" ht="14.25" customHeight="1">
      <c r="A624" s="235"/>
      <c r="B624" s="236"/>
      <c r="C624" s="236"/>
      <c r="D624" s="236"/>
      <c r="E624" s="236"/>
      <c r="F624" s="236"/>
      <c r="G624" s="236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</row>
    <row r="625" ht="14.25" customHeight="1">
      <c r="A625" s="235"/>
      <c r="B625" s="236"/>
      <c r="C625" s="236"/>
      <c r="D625" s="236"/>
      <c r="E625" s="236"/>
      <c r="F625" s="236"/>
      <c r="G625" s="236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</row>
    <row r="626" ht="14.25" customHeight="1">
      <c r="A626" s="235"/>
      <c r="B626" s="236"/>
      <c r="C626" s="236"/>
      <c r="D626" s="236"/>
      <c r="E626" s="236"/>
      <c r="F626" s="236"/>
      <c r="G626" s="236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</row>
    <row r="627" ht="14.25" customHeight="1">
      <c r="A627" s="235"/>
      <c r="B627" s="236"/>
      <c r="C627" s="236"/>
      <c r="D627" s="236"/>
      <c r="E627" s="236"/>
      <c r="F627" s="236"/>
      <c r="G627" s="236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</row>
    <row r="628" ht="14.25" customHeight="1">
      <c r="A628" s="235"/>
      <c r="B628" s="236"/>
      <c r="C628" s="236"/>
      <c r="D628" s="236"/>
      <c r="E628" s="236"/>
      <c r="F628" s="236"/>
      <c r="G628" s="236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</row>
    <row r="629" ht="14.25" customHeight="1">
      <c r="A629" s="235"/>
      <c r="B629" s="236"/>
      <c r="C629" s="236"/>
      <c r="D629" s="236"/>
      <c r="E629" s="236"/>
      <c r="F629" s="236"/>
      <c r="G629" s="236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</row>
    <row r="630" ht="14.25" customHeight="1">
      <c r="A630" s="235"/>
      <c r="B630" s="236"/>
      <c r="C630" s="236"/>
      <c r="D630" s="236"/>
      <c r="E630" s="236"/>
      <c r="F630" s="236"/>
      <c r="G630" s="236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</row>
    <row r="631" ht="14.25" customHeight="1">
      <c r="A631" s="235"/>
      <c r="B631" s="236"/>
      <c r="C631" s="236"/>
      <c r="D631" s="236"/>
      <c r="E631" s="236"/>
      <c r="F631" s="236"/>
      <c r="G631" s="236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</row>
    <row r="632" ht="14.25" customHeight="1">
      <c r="A632" s="235"/>
      <c r="B632" s="236"/>
      <c r="C632" s="236"/>
      <c r="D632" s="236"/>
      <c r="E632" s="236"/>
      <c r="F632" s="236"/>
      <c r="G632" s="236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</row>
    <row r="633" ht="14.25" customHeight="1">
      <c r="A633" s="235"/>
      <c r="B633" s="236"/>
      <c r="C633" s="236"/>
      <c r="D633" s="236"/>
      <c r="E633" s="236"/>
      <c r="F633" s="236"/>
      <c r="G633" s="236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</row>
    <row r="634" ht="14.25" customHeight="1">
      <c r="A634" s="235"/>
      <c r="B634" s="236"/>
      <c r="C634" s="236"/>
      <c r="D634" s="236"/>
      <c r="E634" s="236"/>
      <c r="F634" s="236"/>
      <c r="G634" s="236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</row>
    <row r="635" ht="14.25" customHeight="1">
      <c r="A635" s="235"/>
      <c r="B635" s="236"/>
      <c r="C635" s="236"/>
      <c r="D635" s="236"/>
      <c r="E635" s="236"/>
      <c r="F635" s="236"/>
      <c r="G635" s="236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</row>
    <row r="636" ht="14.25" customHeight="1">
      <c r="A636" s="235"/>
      <c r="B636" s="236"/>
      <c r="C636" s="236"/>
      <c r="D636" s="236"/>
      <c r="E636" s="236"/>
      <c r="F636" s="236"/>
      <c r="G636" s="236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</row>
    <row r="637" ht="14.25" customHeight="1">
      <c r="A637" s="235"/>
      <c r="B637" s="236"/>
      <c r="C637" s="236"/>
      <c r="D637" s="236"/>
      <c r="E637" s="236"/>
      <c r="F637" s="236"/>
      <c r="G637" s="236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</row>
    <row r="638" ht="14.25" customHeight="1">
      <c r="A638" s="235"/>
      <c r="B638" s="236"/>
      <c r="C638" s="236"/>
      <c r="D638" s="236"/>
      <c r="E638" s="236"/>
      <c r="F638" s="236"/>
      <c r="G638" s="236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</row>
    <row r="639" ht="14.25" customHeight="1">
      <c r="A639" s="235"/>
      <c r="B639" s="236"/>
      <c r="C639" s="236"/>
      <c r="D639" s="236"/>
      <c r="E639" s="236"/>
      <c r="F639" s="236"/>
      <c r="G639" s="236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</row>
    <row r="640" ht="14.25" customHeight="1">
      <c r="A640" s="235"/>
      <c r="B640" s="236"/>
      <c r="C640" s="236"/>
      <c r="D640" s="236"/>
      <c r="E640" s="236"/>
      <c r="F640" s="236"/>
      <c r="G640" s="236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</row>
    <row r="641" ht="14.25" customHeight="1">
      <c r="A641" s="235"/>
      <c r="B641" s="236"/>
      <c r="C641" s="236"/>
      <c r="D641" s="236"/>
      <c r="E641" s="236"/>
      <c r="F641" s="236"/>
      <c r="G641" s="236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</row>
    <row r="642" ht="14.25" customHeight="1">
      <c r="A642" s="235"/>
      <c r="B642" s="236"/>
      <c r="C642" s="236"/>
      <c r="D642" s="236"/>
      <c r="E642" s="236"/>
      <c r="F642" s="236"/>
      <c r="G642" s="236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</row>
    <row r="643" ht="14.25" customHeight="1">
      <c r="A643" s="235"/>
      <c r="B643" s="236"/>
      <c r="C643" s="236"/>
      <c r="D643" s="236"/>
      <c r="E643" s="236"/>
      <c r="F643" s="236"/>
      <c r="G643" s="236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</row>
    <row r="644" ht="14.25" customHeight="1">
      <c r="A644" s="235"/>
      <c r="B644" s="236"/>
      <c r="C644" s="236"/>
      <c r="D644" s="236"/>
      <c r="E644" s="236"/>
      <c r="F644" s="236"/>
      <c r="G644" s="236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</row>
    <row r="645" ht="14.25" customHeight="1">
      <c r="A645" s="235"/>
      <c r="B645" s="236"/>
      <c r="C645" s="236"/>
      <c r="D645" s="236"/>
      <c r="E645" s="236"/>
      <c r="F645" s="236"/>
      <c r="G645" s="236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</row>
    <row r="646" ht="14.25" customHeight="1">
      <c r="A646" s="235"/>
      <c r="B646" s="236"/>
      <c r="C646" s="236"/>
      <c r="D646" s="236"/>
      <c r="E646" s="236"/>
      <c r="F646" s="236"/>
      <c r="G646" s="236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</row>
    <row r="647" ht="14.25" customHeight="1">
      <c r="A647" s="235"/>
      <c r="B647" s="236"/>
      <c r="C647" s="236"/>
      <c r="D647" s="236"/>
      <c r="E647" s="236"/>
      <c r="F647" s="236"/>
      <c r="G647" s="236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</row>
    <row r="648" ht="14.25" customHeight="1">
      <c r="A648" s="235"/>
      <c r="B648" s="236"/>
      <c r="C648" s="236"/>
      <c r="D648" s="236"/>
      <c r="E648" s="236"/>
      <c r="F648" s="236"/>
      <c r="G648" s="236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</row>
    <row r="649" ht="14.25" customHeight="1">
      <c r="A649" s="235"/>
      <c r="B649" s="236"/>
      <c r="C649" s="236"/>
      <c r="D649" s="236"/>
      <c r="E649" s="236"/>
      <c r="F649" s="236"/>
      <c r="G649" s="236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</row>
    <row r="650" ht="14.25" customHeight="1">
      <c r="A650" s="235"/>
      <c r="B650" s="236"/>
      <c r="C650" s="236"/>
      <c r="D650" s="236"/>
      <c r="E650" s="236"/>
      <c r="F650" s="236"/>
      <c r="G650" s="236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</row>
    <row r="651" ht="14.25" customHeight="1">
      <c r="A651" s="235"/>
      <c r="B651" s="236"/>
      <c r="C651" s="236"/>
      <c r="D651" s="236"/>
      <c r="E651" s="236"/>
      <c r="F651" s="236"/>
      <c r="G651" s="236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</row>
    <row r="652" ht="14.25" customHeight="1">
      <c r="A652" s="235"/>
      <c r="B652" s="236"/>
      <c r="C652" s="236"/>
      <c r="D652" s="236"/>
      <c r="E652" s="236"/>
      <c r="F652" s="236"/>
      <c r="G652" s="236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</row>
    <row r="653" ht="14.25" customHeight="1">
      <c r="A653" s="235"/>
      <c r="B653" s="236"/>
      <c r="C653" s="236"/>
      <c r="D653" s="236"/>
      <c r="E653" s="236"/>
      <c r="F653" s="236"/>
      <c r="G653" s="236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</row>
    <row r="654" ht="14.25" customHeight="1">
      <c r="A654" s="235"/>
      <c r="B654" s="236"/>
      <c r="C654" s="236"/>
      <c r="D654" s="236"/>
      <c r="E654" s="236"/>
      <c r="F654" s="236"/>
      <c r="G654" s="236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</row>
    <row r="655" ht="14.25" customHeight="1">
      <c r="A655" s="235"/>
      <c r="B655" s="236"/>
      <c r="C655" s="236"/>
      <c r="D655" s="236"/>
      <c r="E655" s="236"/>
      <c r="F655" s="236"/>
      <c r="G655" s="236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</row>
    <row r="656" ht="14.25" customHeight="1">
      <c r="A656" s="235"/>
      <c r="B656" s="236"/>
      <c r="C656" s="236"/>
      <c r="D656" s="236"/>
      <c r="E656" s="236"/>
      <c r="F656" s="236"/>
      <c r="G656" s="236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</row>
    <row r="657" ht="14.25" customHeight="1">
      <c r="A657" s="235"/>
      <c r="B657" s="236"/>
      <c r="C657" s="236"/>
      <c r="D657" s="236"/>
      <c r="E657" s="236"/>
      <c r="F657" s="236"/>
      <c r="G657" s="236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</row>
    <row r="658" ht="14.25" customHeight="1">
      <c r="A658" s="235"/>
      <c r="B658" s="236"/>
      <c r="C658" s="236"/>
      <c r="D658" s="236"/>
      <c r="E658" s="236"/>
      <c r="F658" s="236"/>
      <c r="G658" s="236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</row>
    <row r="659" ht="14.25" customHeight="1">
      <c r="A659" s="235"/>
      <c r="B659" s="236"/>
      <c r="C659" s="236"/>
      <c r="D659" s="236"/>
      <c r="E659" s="236"/>
      <c r="F659" s="236"/>
      <c r="G659" s="236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</row>
    <row r="660" ht="14.25" customHeight="1">
      <c r="A660" s="235"/>
      <c r="B660" s="236"/>
      <c r="C660" s="236"/>
      <c r="D660" s="236"/>
      <c r="E660" s="236"/>
      <c r="F660" s="236"/>
      <c r="G660" s="236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</row>
    <row r="661" ht="14.25" customHeight="1">
      <c r="A661" s="235"/>
      <c r="B661" s="236"/>
      <c r="C661" s="236"/>
      <c r="D661" s="236"/>
      <c r="E661" s="236"/>
      <c r="F661" s="236"/>
      <c r="G661" s="236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</row>
    <row r="662" ht="14.25" customHeight="1">
      <c r="A662" s="235"/>
      <c r="B662" s="236"/>
      <c r="C662" s="236"/>
      <c r="D662" s="236"/>
      <c r="E662" s="236"/>
      <c r="F662" s="236"/>
      <c r="G662" s="236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</row>
    <row r="663" ht="14.25" customHeight="1">
      <c r="A663" s="235"/>
      <c r="B663" s="236"/>
      <c r="C663" s="236"/>
      <c r="D663" s="236"/>
      <c r="E663" s="236"/>
      <c r="F663" s="236"/>
      <c r="G663" s="236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</row>
    <row r="664" ht="14.25" customHeight="1">
      <c r="A664" s="235"/>
      <c r="B664" s="236"/>
      <c r="C664" s="236"/>
      <c r="D664" s="236"/>
      <c r="E664" s="236"/>
      <c r="F664" s="236"/>
      <c r="G664" s="236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</row>
    <row r="665" ht="14.25" customHeight="1">
      <c r="A665" s="235"/>
      <c r="B665" s="236"/>
      <c r="C665" s="236"/>
      <c r="D665" s="236"/>
      <c r="E665" s="236"/>
      <c r="F665" s="236"/>
      <c r="G665" s="236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</row>
    <row r="666" ht="14.25" customHeight="1">
      <c r="A666" s="235"/>
      <c r="B666" s="236"/>
      <c r="C666" s="236"/>
      <c r="D666" s="236"/>
      <c r="E666" s="236"/>
      <c r="F666" s="236"/>
      <c r="G666" s="236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</row>
    <row r="667" ht="14.25" customHeight="1">
      <c r="A667" s="235"/>
      <c r="B667" s="236"/>
      <c r="C667" s="236"/>
      <c r="D667" s="236"/>
      <c r="E667" s="236"/>
      <c r="F667" s="236"/>
      <c r="G667" s="236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</row>
    <row r="668" ht="14.25" customHeight="1">
      <c r="A668" s="235"/>
      <c r="B668" s="236"/>
      <c r="C668" s="236"/>
      <c r="D668" s="236"/>
      <c r="E668" s="236"/>
      <c r="F668" s="236"/>
      <c r="G668" s="236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</row>
    <row r="669" ht="14.25" customHeight="1">
      <c r="A669" s="235"/>
      <c r="B669" s="236"/>
      <c r="C669" s="236"/>
      <c r="D669" s="236"/>
      <c r="E669" s="236"/>
      <c r="F669" s="236"/>
      <c r="G669" s="236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</row>
    <row r="670" ht="14.25" customHeight="1">
      <c r="A670" s="235"/>
      <c r="B670" s="236"/>
      <c r="C670" s="236"/>
      <c r="D670" s="236"/>
      <c r="E670" s="236"/>
      <c r="F670" s="236"/>
      <c r="G670" s="236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</row>
    <row r="671" ht="14.25" customHeight="1">
      <c r="A671" s="235"/>
      <c r="B671" s="236"/>
      <c r="C671" s="236"/>
      <c r="D671" s="236"/>
      <c r="E671" s="236"/>
      <c r="F671" s="236"/>
      <c r="G671" s="236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</row>
    <row r="672" ht="14.25" customHeight="1">
      <c r="A672" s="235"/>
      <c r="B672" s="236"/>
      <c r="C672" s="236"/>
      <c r="D672" s="236"/>
      <c r="E672" s="236"/>
      <c r="F672" s="236"/>
      <c r="G672" s="236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</row>
    <row r="673" ht="14.25" customHeight="1">
      <c r="A673" s="235"/>
      <c r="B673" s="236"/>
      <c r="C673" s="236"/>
      <c r="D673" s="236"/>
      <c r="E673" s="236"/>
      <c r="F673" s="236"/>
      <c r="G673" s="236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</row>
    <row r="674" ht="14.25" customHeight="1">
      <c r="A674" s="235"/>
      <c r="B674" s="236"/>
      <c r="C674" s="236"/>
      <c r="D674" s="236"/>
      <c r="E674" s="236"/>
      <c r="F674" s="236"/>
      <c r="G674" s="236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</row>
    <row r="675" ht="14.25" customHeight="1">
      <c r="A675" s="235"/>
      <c r="B675" s="236"/>
      <c r="C675" s="236"/>
      <c r="D675" s="236"/>
      <c r="E675" s="236"/>
      <c r="F675" s="236"/>
      <c r="G675" s="236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</row>
    <row r="676" ht="14.25" customHeight="1">
      <c r="A676" s="235"/>
      <c r="B676" s="236"/>
      <c r="C676" s="236"/>
      <c r="D676" s="236"/>
      <c r="E676" s="236"/>
      <c r="F676" s="236"/>
      <c r="G676" s="236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</row>
    <row r="677" ht="14.25" customHeight="1">
      <c r="A677" s="235"/>
      <c r="B677" s="236"/>
      <c r="C677" s="236"/>
      <c r="D677" s="236"/>
      <c r="E677" s="236"/>
      <c r="F677" s="236"/>
      <c r="G677" s="236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</row>
    <row r="678" ht="14.25" customHeight="1">
      <c r="A678" s="235"/>
      <c r="B678" s="236"/>
      <c r="C678" s="236"/>
      <c r="D678" s="236"/>
      <c r="E678" s="236"/>
      <c r="F678" s="236"/>
      <c r="G678" s="236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</row>
    <row r="679" ht="14.25" customHeight="1">
      <c r="A679" s="235"/>
      <c r="B679" s="236"/>
      <c r="C679" s="236"/>
      <c r="D679" s="236"/>
      <c r="E679" s="236"/>
      <c r="F679" s="236"/>
      <c r="G679" s="236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</row>
    <row r="680" ht="14.25" customHeight="1">
      <c r="A680" s="235"/>
      <c r="B680" s="236"/>
      <c r="C680" s="236"/>
      <c r="D680" s="236"/>
      <c r="E680" s="236"/>
      <c r="F680" s="236"/>
      <c r="G680" s="236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</row>
    <row r="681" ht="14.25" customHeight="1">
      <c r="A681" s="235"/>
      <c r="B681" s="236"/>
      <c r="C681" s="236"/>
      <c r="D681" s="236"/>
      <c r="E681" s="236"/>
      <c r="F681" s="236"/>
      <c r="G681" s="236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</row>
    <row r="682" ht="14.25" customHeight="1">
      <c r="A682" s="235"/>
      <c r="B682" s="236"/>
      <c r="C682" s="236"/>
      <c r="D682" s="236"/>
      <c r="E682" s="236"/>
      <c r="F682" s="236"/>
      <c r="G682" s="236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</row>
    <row r="683" ht="14.25" customHeight="1">
      <c r="A683" s="235"/>
      <c r="B683" s="236"/>
      <c r="C683" s="236"/>
      <c r="D683" s="236"/>
      <c r="E683" s="236"/>
      <c r="F683" s="236"/>
      <c r="G683" s="236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</row>
    <row r="684" ht="14.25" customHeight="1">
      <c r="A684" s="235"/>
      <c r="B684" s="236"/>
      <c r="C684" s="236"/>
      <c r="D684" s="236"/>
      <c r="E684" s="236"/>
      <c r="F684" s="236"/>
      <c r="G684" s="236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</row>
    <row r="685" ht="14.25" customHeight="1">
      <c r="A685" s="235"/>
      <c r="B685" s="236"/>
      <c r="C685" s="236"/>
      <c r="D685" s="236"/>
      <c r="E685" s="236"/>
      <c r="F685" s="236"/>
      <c r="G685" s="236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</row>
    <row r="686" ht="14.25" customHeight="1">
      <c r="A686" s="235"/>
      <c r="B686" s="236"/>
      <c r="C686" s="236"/>
      <c r="D686" s="236"/>
      <c r="E686" s="236"/>
      <c r="F686" s="236"/>
      <c r="G686" s="236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</row>
    <row r="687" ht="14.25" customHeight="1">
      <c r="A687" s="235"/>
      <c r="B687" s="236"/>
      <c r="C687" s="236"/>
      <c r="D687" s="236"/>
      <c r="E687" s="236"/>
      <c r="F687" s="236"/>
      <c r="G687" s="236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</row>
    <row r="688" ht="14.25" customHeight="1">
      <c r="A688" s="235"/>
      <c r="B688" s="236"/>
      <c r="C688" s="236"/>
      <c r="D688" s="236"/>
      <c r="E688" s="236"/>
      <c r="F688" s="236"/>
      <c r="G688" s="236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</row>
    <row r="689" ht="14.25" customHeight="1">
      <c r="A689" s="235"/>
      <c r="B689" s="236"/>
      <c r="C689" s="236"/>
      <c r="D689" s="236"/>
      <c r="E689" s="236"/>
      <c r="F689" s="236"/>
      <c r="G689" s="236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</row>
    <row r="690" ht="14.25" customHeight="1">
      <c r="A690" s="235"/>
      <c r="B690" s="236"/>
      <c r="C690" s="236"/>
      <c r="D690" s="236"/>
      <c r="E690" s="236"/>
      <c r="F690" s="236"/>
      <c r="G690" s="236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</row>
    <row r="691" ht="14.25" customHeight="1">
      <c r="A691" s="235"/>
      <c r="B691" s="236"/>
      <c r="C691" s="236"/>
      <c r="D691" s="236"/>
      <c r="E691" s="236"/>
      <c r="F691" s="236"/>
      <c r="G691" s="236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</row>
    <row r="692" ht="14.25" customHeight="1">
      <c r="A692" s="235"/>
      <c r="B692" s="236"/>
      <c r="C692" s="236"/>
      <c r="D692" s="236"/>
      <c r="E692" s="236"/>
      <c r="F692" s="236"/>
      <c r="G692" s="236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</row>
    <row r="693" ht="14.25" customHeight="1">
      <c r="A693" s="235"/>
      <c r="B693" s="236"/>
      <c r="C693" s="236"/>
      <c r="D693" s="236"/>
      <c r="E693" s="236"/>
      <c r="F693" s="236"/>
      <c r="G693" s="236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</row>
    <row r="694" ht="14.25" customHeight="1">
      <c r="A694" s="235"/>
      <c r="B694" s="236"/>
      <c r="C694" s="236"/>
      <c r="D694" s="236"/>
      <c r="E694" s="236"/>
      <c r="F694" s="236"/>
      <c r="G694" s="236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</row>
    <row r="695" ht="14.25" customHeight="1">
      <c r="A695" s="235"/>
      <c r="B695" s="236"/>
      <c r="C695" s="236"/>
      <c r="D695" s="236"/>
      <c r="E695" s="236"/>
      <c r="F695" s="236"/>
      <c r="G695" s="236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</row>
    <row r="696" ht="14.25" customHeight="1">
      <c r="A696" s="235"/>
      <c r="B696" s="236"/>
      <c r="C696" s="236"/>
      <c r="D696" s="236"/>
      <c r="E696" s="236"/>
      <c r="F696" s="236"/>
      <c r="G696" s="236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</row>
    <row r="697" ht="14.25" customHeight="1">
      <c r="A697" s="235"/>
      <c r="B697" s="236"/>
      <c r="C697" s="236"/>
      <c r="D697" s="236"/>
      <c r="E697" s="236"/>
      <c r="F697" s="236"/>
      <c r="G697" s="236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</row>
    <row r="698" ht="14.25" customHeight="1">
      <c r="A698" s="235"/>
      <c r="B698" s="236"/>
      <c r="C698" s="236"/>
      <c r="D698" s="236"/>
      <c r="E698" s="236"/>
      <c r="F698" s="236"/>
      <c r="G698" s="236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</row>
    <row r="699" ht="14.25" customHeight="1">
      <c r="A699" s="235"/>
      <c r="B699" s="236"/>
      <c r="C699" s="236"/>
      <c r="D699" s="236"/>
      <c r="E699" s="236"/>
      <c r="F699" s="236"/>
      <c r="G699" s="236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</row>
    <row r="700" ht="14.25" customHeight="1">
      <c r="A700" s="235"/>
      <c r="B700" s="236"/>
      <c r="C700" s="236"/>
      <c r="D700" s="236"/>
      <c r="E700" s="236"/>
      <c r="F700" s="236"/>
      <c r="G700" s="236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</row>
    <row r="701" ht="14.25" customHeight="1">
      <c r="A701" s="235"/>
      <c r="B701" s="236"/>
      <c r="C701" s="236"/>
      <c r="D701" s="236"/>
      <c r="E701" s="236"/>
      <c r="F701" s="236"/>
      <c r="G701" s="236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</row>
    <row r="702" ht="14.25" customHeight="1">
      <c r="A702" s="235"/>
      <c r="B702" s="236"/>
      <c r="C702" s="236"/>
      <c r="D702" s="236"/>
      <c r="E702" s="236"/>
      <c r="F702" s="236"/>
      <c r="G702" s="236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</row>
    <row r="703" ht="14.25" customHeight="1">
      <c r="A703" s="235"/>
      <c r="B703" s="236"/>
      <c r="C703" s="236"/>
      <c r="D703" s="236"/>
      <c r="E703" s="236"/>
      <c r="F703" s="236"/>
      <c r="G703" s="236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</row>
    <row r="704" ht="14.25" customHeight="1">
      <c r="A704" s="235"/>
      <c r="B704" s="236"/>
      <c r="C704" s="236"/>
      <c r="D704" s="236"/>
      <c r="E704" s="236"/>
      <c r="F704" s="236"/>
      <c r="G704" s="236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</row>
    <row r="705" ht="14.25" customHeight="1">
      <c r="A705" s="235"/>
      <c r="B705" s="236"/>
      <c r="C705" s="236"/>
      <c r="D705" s="236"/>
      <c r="E705" s="236"/>
      <c r="F705" s="236"/>
      <c r="G705" s="236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</row>
    <row r="706" ht="14.25" customHeight="1">
      <c r="A706" s="235"/>
      <c r="B706" s="236"/>
      <c r="C706" s="236"/>
      <c r="D706" s="236"/>
      <c r="E706" s="236"/>
      <c r="F706" s="236"/>
      <c r="G706" s="236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</row>
    <row r="707" ht="14.25" customHeight="1">
      <c r="A707" s="235"/>
      <c r="B707" s="236"/>
      <c r="C707" s="236"/>
      <c r="D707" s="236"/>
      <c r="E707" s="236"/>
      <c r="F707" s="236"/>
      <c r="G707" s="236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</row>
    <row r="708" ht="14.25" customHeight="1">
      <c r="A708" s="235"/>
      <c r="B708" s="236"/>
      <c r="C708" s="236"/>
      <c r="D708" s="236"/>
      <c r="E708" s="236"/>
      <c r="F708" s="236"/>
      <c r="G708" s="236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</row>
    <row r="709" ht="14.25" customHeight="1">
      <c r="A709" s="235"/>
      <c r="B709" s="236"/>
      <c r="C709" s="236"/>
      <c r="D709" s="236"/>
      <c r="E709" s="236"/>
      <c r="F709" s="236"/>
      <c r="G709" s="236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</row>
    <row r="710" ht="14.25" customHeight="1">
      <c r="A710" s="235"/>
      <c r="B710" s="236"/>
      <c r="C710" s="236"/>
      <c r="D710" s="236"/>
      <c r="E710" s="236"/>
      <c r="F710" s="236"/>
      <c r="G710" s="236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</row>
    <row r="711" ht="14.25" customHeight="1">
      <c r="A711" s="235"/>
      <c r="B711" s="236"/>
      <c r="C711" s="236"/>
      <c r="D711" s="236"/>
      <c r="E711" s="236"/>
      <c r="F711" s="236"/>
      <c r="G711" s="236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</row>
    <row r="712" ht="14.25" customHeight="1">
      <c r="A712" s="235"/>
      <c r="B712" s="236"/>
      <c r="C712" s="236"/>
      <c r="D712" s="236"/>
      <c r="E712" s="236"/>
      <c r="F712" s="236"/>
      <c r="G712" s="236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</row>
    <row r="713" ht="14.25" customHeight="1">
      <c r="A713" s="235"/>
      <c r="B713" s="236"/>
      <c r="C713" s="236"/>
      <c r="D713" s="236"/>
      <c r="E713" s="236"/>
      <c r="F713" s="236"/>
      <c r="G713" s="236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</row>
    <row r="714" ht="14.25" customHeight="1">
      <c r="A714" s="235"/>
      <c r="B714" s="236"/>
      <c r="C714" s="236"/>
      <c r="D714" s="236"/>
      <c r="E714" s="236"/>
      <c r="F714" s="236"/>
      <c r="G714" s="236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</row>
    <row r="715" ht="14.25" customHeight="1">
      <c r="A715" s="235"/>
      <c r="B715" s="236"/>
      <c r="C715" s="236"/>
      <c r="D715" s="236"/>
      <c r="E715" s="236"/>
      <c r="F715" s="236"/>
      <c r="G715" s="236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</row>
    <row r="716" ht="14.25" customHeight="1">
      <c r="A716" s="235"/>
      <c r="B716" s="236"/>
      <c r="C716" s="236"/>
      <c r="D716" s="236"/>
      <c r="E716" s="236"/>
      <c r="F716" s="236"/>
      <c r="G716" s="236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</row>
    <row r="717" ht="14.25" customHeight="1">
      <c r="A717" s="235"/>
      <c r="B717" s="236"/>
      <c r="C717" s="236"/>
      <c r="D717" s="236"/>
      <c r="E717" s="236"/>
      <c r="F717" s="236"/>
      <c r="G717" s="236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</row>
    <row r="718" ht="14.25" customHeight="1">
      <c r="A718" s="235"/>
      <c r="B718" s="236"/>
      <c r="C718" s="236"/>
      <c r="D718" s="236"/>
      <c r="E718" s="236"/>
      <c r="F718" s="236"/>
      <c r="G718" s="236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</row>
    <row r="719" ht="14.25" customHeight="1">
      <c r="A719" s="235"/>
      <c r="B719" s="236"/>
      <c r="C719" s="236"/>
      <c r="D719" s="236"/>
      <c r="E719" s="236"/>
      <c r="F719" s="236"/>
      <c r="G719" s="236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</row>
    <row r="720" ht="14.25" customHeight="1">
      <c r="A720" s="235"/>
      <c r="B720" s="236"/>
      <c r="C720" s="236"/>
      <c r="D720" s="236"/>
      <c r="E720" s="236"/>
      <c r="F720" s="236"/>
      <c r="G720" s="236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</row>
    <row r="721" ht="14.25" customHeight="1">
      <c r="A721" s="235"/>
      <c r="B721" s="236"/>
      <c r="C721" s="236"/>
      <c r="D721" s="236"/>
      <c r="E721" s="236"/>
      <c r="F721" s="236"/>
      <c r="G721" s="236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</row>
    <row r="722" ht="14.25" customHeight="1">
      <c r="A722" s="235"/>
      <c r="B722" s="236"/>
      <c r="C722" s="236"/>
      <c r="D722" s="236"/>
      <c r="E722" s="236"/>
      <c r="F722" s="236"/>
      <c r="G722" s="236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</row>
    <row r="723" ht="14.25" customHeight="1">
      <c r="A723" s="235"/>
      <c r="B723" s="236"/>
      <c r="C723" s="236"/>
      <c r="D723" s="236"/>
      <c r="E723" s="236"/>
      <c r="F723" s="236"/>
      <c r="G723" s="236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</row>
    <row r="724" ht="14.25" customHeight="1">
      <c r="A724" s="235"/>
      <c r="B724" s="236"/>
      <c r="C724" s="236"/>
      <c r="D724" s="236"/>
      <c r="E724" s="236"/>
      <c r="F724" s="236"/>
      <c r="G724" s="236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</row>
    <row r="725" ht="14.25" customHeight="1">
      <c r="A725" s="235"/>
      <c r="B725" s="236"/>
      <c r="C725" s="236"/>
      <c r="D725" s="236"/>
      <c r="E725" s="236"/>
      <c r="F725" s="236"/>
      <c r="G725" s="236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</row>
    <row r="726" ht="14.25" customHeight="1">
      <c r="A726" s="235"/>
      <c r="B726" s="236"/>
      <c r="C726" s="236"/>
      <c r="D726" s="236"/>
      <c r="E726" s="236"/>
      <c r="F726" s="236"/>
      <c r="G726" s="236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</row>
    <row r="727" ht="14.25" customHeight="1">
      <c r="A727" s="235"/>
      <c r="B727" s="236"/>
      <c r="C727" s="236"/>
      <c r="D727" s="236"/>
      <c r="E727" s="236"/>
      <c r="F727" s="236"/>
      <c r="G727" s="236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</row>
    <row r="728" ht="14.25" customHeight="1">
      <c r="A728" s="235"/>
      <c r="B728" s="236"/>
      <c r="C728" s="236"/>
      <c r="D728" s="236"/>
      <c r="E728" s="236"/>
      <c r="F728" s="236"/>
      <c r="G728" s="236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</row>
    <row r="729" ht="14.25" customHeight="1">
      <c r="A729" s="235"/>
      <c r="B729" s="236"/>
      <c r="C729" s="236"/>
      <c r="D729" s="236"/>
      <c r="E729" s="236"/>
      <c r="F729" s="236"/>
      <c r="G729" s="236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</row>
    <row r="730" ht="14.25" customHeight="1">
      <c r="A730" s="235"/>
      <c r="B730" s="236"/>
      <c r="C730" s="236"/>
      <c r="D730" s="236"/>
      <c r="E730" s="236"/>
      <c r="F730" s="236"/>
      <c r="G730" s="236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</row>
    <row r="731" ht="14.25" customHeight="1">
      <c r="A731" s="235"/>
      <c r="B731" s="236"/>
      <c r="C731" s="236"/>
      <c r="D731" s="236"/>
      <c r="E731" s="236"/>
      <c r="F731" s="236"/>
      <c r="G731" s="236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</row>
    <row r="732" ht="14.25" customHeight="1">
      <c r="A732" s="235"/>
      <c r="B732" s="236"/>
      <c r="C732" s="236"/>
      <c r="D732" s="236"/>
      <c r="E732" s="236"/>
      <c r="F732" s="236"/>
      <c r="G732" s="236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</row>
    <row r="733" ht="14.25" customHeight="1">
      <c r="A733" s="235"/>
      <c r="B733" s="236"/>
      <c r="C733" s="236"/>
      <c r="D733" s="236"/>
      <c r="E733" s="236"/>
      <c r="F733" s="236"/>
      <c r="G733" s="236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</row>
    <row r="734" ht="14.25" customHeight="1">
      <c r="A734" s="235"/>
      <c r="B734" s="236"/>
      <c r="C734" s="236"/>
      <c r="D734" s="236"/>
      <c r="E734" s="236"/>
      <c r="F734" s="236"/>
      <c r="G734" s="236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</row>
    <row r="735" ht="14.25" customHeight="1">
      <c r="A735" s="235"/>
      <c r="B735" s="236"/>
      <c r="C735" s="236"/>
      <c r="D735" s="236"/>
      <c r="E735" s="236"/>
      <c r="F735" s="236"/>
      <c r="G735" s="236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</row>
    <row r="736" ht="14.25" customHeight="1">
      <c r="A736" s="235"/>
      <c r="B736" s="236"/>
      <c r="C736" s="236"/>
      <c r="D736" s="236"/>
      <c r="E736" s="236"/>
      <c r="F736" s="236"/>
      <c r="G736" s="236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</row>
    <row r="737" ht="14.25" customHeight="1">
      <c r="A737" s="235"/>
      <c r="B737" s="236"/>
      <c r="C737" s="236"/>
      <c r="D737" s="236"/>
      <c r="E737" s="236"/>
      <c r="F737" s="236"/>
      <c r="G737" s="236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</row>
    <row r="738" ht="14.25" customHeight="1">
      <c r="A738" s="235"/>
      <c r="B738" s="236"/>
      <c r="C738" s="236"/>
      <c r="D738" s="236"/>
      <c r="E738" s="236"/>
      <c r="F738" s="236"/>
      <c r="G738" s="236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</row>
    <row r="739" ht="14.25" customHeight="1">
      <c r="A739" s="235"/>
      <c r="B739" s="236"/>
      <c r="C739" s="236"/>
      <c r="D739" s="236"/>
      <c r="E739" s="236"/>
      <c r="F739" s="236"/>
      <c r="G739" s="236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</row>
    <row r="740" ht="14.25" customHeight="1">
      <c r="A740" s="235"/>
      <c r="B740" s="236"/>
      <c r="C740" s="236"/>
      <c r="D740" s="236"/>
      <c r="E740" s="236"/>
      <c r="F740" s="236"/>
      <c r="G740" s="236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</row>
    <row r="741" ht="14.25" customHeight="1">
      <c r="A741" s="235"/>
      <c r="B741" s="236"/>
      <c r="C741" s="236"/>
      <c r="D741" s="236"/>
      <c r="E741" s="236"/>
      <c r="F741" s="236"/>
      <c r="G741" s="236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</row>
    <row r="742" ht="14.25" customHeight="1">
      <c r="A742" s="235"/>
      <c r="B742" s="236"/>
      <c r="C742" s="236"/>
      <c r="D742" s="236"/>
      <c r="E742" s="236"/>
      <c r="F742" s="236"/>
      <c r="G742" s="236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</row>
    <row r="743" ht="14.25" customHeight="1">
      <c r="A743" s="235"/>
      <c r="B743" s="236"/>
      <c r="C743" s="236"/>
      <c r="D743" s="236"/>
      <c r="E743" s="236"/>
      <c r="F743" s="236"/>
      <c r="G743" s="236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</row>
    <row r="744" ht="14.25" customHeight="1">
      <c r="A744" s="235"/>
      <c r="B744" s="236"/>
      <c r="C744" s="236"/>
      <c r="D744" s="236"/>
      <c r="E744" s="236"/>
      <c r="F744" s="236"/>
      <c r="G744" s="236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</row>
    <row r="745" ht="14.25" customHeight="1">
      <c r="A745" s="235"/>
      <c r="B745" s="236"/>
      <c r="C745" s="236"/>
      <c r="D745" s="236"/>
      <c r="E745" s="236"/>
      <c r="F745" s="236"/>
      <c r="G745" s="236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</row>
    <row r="746" ht="14.25" customHeight="1">
      <c r="A746" s="235"/>
      <c r="B746" s="236"/>
      <c r="C746" s="236"/>
      <c r="D746" s="236"/>
      <c r="E746" s="236"/>
      <c r="F746" s="236"/>
      <c r="G746" s="236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</row>
    <row r="747" ht="14.25" customHeight="1">
      <c r="A747" s="235"/>
      <c r="B747" s="236"/>
      <c r="C747" s="236"/>
      <c r="D747" s="236"/>
      <c r="E747" s="236"/>
      <c r="F747" s="236"/>
      <c r="G747" s="236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</row>
    <row r="748" ht="14.25" customHeight="1">
      <c r="A748" s="235"/>
      <c r="B748" s="236"/>
      <c r="C748" s="236"/>
      <c r="D748" s="236"/>
      <c r="E748" s="236"/>
      <c r="F748" s="236"/>
      <c r="G748" s="236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</row>
    <row r="749" ht="14.25" customHeight="1">
      <c r="A749" s="235"/>
      <c r="B749" s="236"/>
      <c r="C749" s="236"/>
      <c r="D749" s="236"/>
      <c r="E749" s="236"/>
      <c r="F749" s="236"/>
      <c r="G749" s="236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</row>
    <row r="750" ht="14.25" customHeight="1">
      <c r="A750" s="235"/>
      <c r="B750" s="236"/>
      <c r="C750" s="236"/>
      <c r="D750" s="236"/>
      <c r="E750" s="236"/>
      <c r="F750" s="236"/>
      <c r="G750" s="236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</row>
    <row r="751" ht="14.25" customHeight="1">
      <c r="A751" s="235"/>
      <c r="B751" s="236"/>
      <c r="C751" s="236"/>
      <c r="D751" s="236"/>
      <c r="E751" s="236"/>
      <c r="F751" s="236"/>
      <c r="G751" s="236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</row>
    <row r="752" ht="14.25" customHeight="1">
      <c r="A752" s="235"/>
      <c r="B752" s="236"/>
      <c r="C752" s="236"/>
      <c r="D752" s="236"/>
      <c r="E752" s="236"/>
      <c r="F752" s="236"/>
      <c r="G752" s="236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</row>
    <row r="753" ht="14.25" customHeight="1">
      <c r="A753" s="235"/>
      <c r="B753" s="236"/>
      <c r="C753" s="236"/>
      <c r="D753" s="236"/>
      <c r="E753" s="236"/>
      <c r="F753" s="236"/>
      <c r="G753" s="236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</row>
    <row r="754" ht="14.25" customHeight="1">
      <c r="A754" s="235"/>
      <c r="B754" s="236"/>
      <c r="C754" s="236"/>
      <c r="D754" s="236"/>
      <c r="E754" s="236"/>
      <c r="F754" s="236"/>
      <c r="G754" s="236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</row>
    <row r="755" ht="14.25" customHeight="1">
      <c r="A755" s="235"/>
      <c r="B755" s="236"/>
      <c r="C755" s="236"/>
      <c r="D755" s="236"/>
      <c r="E755" s="236"/>
      <c r="F755" s="236"/>
      <c r="G755" s="236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</row>
    <row r="756" ht="14.25" customHeight="1">
      <c r="A756" s="235"/>
      <c r="B756" s="236"/>
      <c r="C756" s="236"/>
      <c r="D756" s="236"/>
      <c r="E756" s="236"/>
      <c r="F756" s="236"/>
      <c r="G756" s="236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</row>
    <row r="757" ht="14.25" customHeight="1">
      <c r="A757" s="235"/>
      <c r="B757" s="236"/>
      <c r="C757" s="236"/>
      <c r="D757" s="236"/>
      <c r="E757" s="236"/>
      <c r="F757" s="236"/>
      <c r="G757" s="236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</row>
    <row r="758" ht="14.25" customHeight="1">
      <c r="A758" s="235"/>
      <c r="B758" s="236"/>
      <c r="C758" s="236"/>
      <c r="D758" s="236"/>
      <c r="E758" s="236"/>
      <c r="F758" s="236"/>
      <c r="G758" s="236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</row>
    <row r="759" ht="14.25" customHeight="1">
      <c r="A759" s="235"/>
      <c r="B759" s="236"/>
      <c r="C759" s="236"/>
      <c r="D759" s="236"/>
      <c r="E759" s="236"/>
      <c r="F759" s="236"/>
      <c r="G759" s="236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</row>
    <row r="760" ht="14.25" customHeight="1">
      <c r="A760" s="235"/>
      <c r="B760" s="236"/>
      <c r="C760" s="236"/>
      <c r="D760" s="236"/>
      <c r="E760" s="236"/>
      <c r="F760" s="236"/>
      <c r="G760" s="236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</row>
    <row r="761" ht="14.25" customHeight="1">
      <c r="A761" s="235"/>
      <c r="B761" s="236"/>
      <c r="C761" s="236"/>
      <c r="D761" s="236"/>
      <c r="E761" s="236"/>
      <c r="F761" s="236"/>
      <c r="G761" s="236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</row>
    <row r="762" ht="14.25" customHeight="1">
      <c r="A762" s="235"/>
      <c r="B762" s="236"/>
      <c r="C762" s="236"/>
      <c r="D762" s="236"/>
      <c r="E762" s="236"/>
      <c r="F762" s="236"/>
      <c r="G762" s="236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</row>
    <row r="763" ht="14.25" customHeight="1">
      <c r="A763" s="235"/>
      <c r="B763" s="236"/>
      <c r="C763" s="236"/>
      <c r="D763" s="236"/>
      <c r="E763" s="236"/>
      <c r="F763" s="236"/>
      <c r="G763" s="236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</row>
    <row r="764" ht="14.25" customHeight="1">
      <c r="A764" s="235"/>
      <c r="B764" s="236"/>
      <c r="C764" s="236"/>
      <c r="D764" s="236"/>
      <c r="E764" s="236"/>
      <c r="F764" s="236"/>
      <c r="G764" s="236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</row>
    <row r="765" ht="14.25" customHeight="1">
      <c r="A765" s="235"/>
      <c r="B765" s="236"/>
      <c r="C765" s="236"/>
      <c r="D765" s="236"/>
      <c r="E765" s="236"/>
      <c r="F765" s="236"/>
      <c r="G765" s="236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</row>
    <row r="766" ht="14.25" customHeight="1">
      <c r="A766" s="235"/>
      <c r="B766" s="236"/>
      <c r="C766" s="236"/>
      <c r="D766" s="236"/>
      <c r="E766" s="236"/>
      <c r="F766" s="236"/>
      <c r="G766" s="236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</row>
    <row r="767" ht="14.25" customHeight="1">
      <c r="A767" s="235"/>
      <c r="B767" s="236"/>
      <c r="C767" s="236"/>
      <c r="D767" s="236"/>
      <c r="E767" s="236"/>
      <c r="F767" s="236"/>
      <c r="G767" s="236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</row>
    <row r="768" ht="14.25" customHeight="1">
      <c r="A768" s="235"/>
      <c r="B768" s="236"/>
      <c r="C768" s="236"/>
      <c r="D768" s="236"/>
      <c r="E768" s="236"/>
      <c r="F768" s="236"/>
      <c r="G768" s="236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</row>
    <row r="769" ht="14.25" customHeight="1">
      <c r="A769" s="235"/>
      <c r="B769" s="236"/>
      <c r="C769" s="236"/>
      <c r="D769" s="236"/>
      <c r="E769" s="236"/>
      <c r="F769" s="236"/>
      <c r="G769" s="236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</row>
    <row r="770" ht="14.25" customHeight="1">
      <c r="A770" s="235"/>
      <c r="B770" s="236"/>
      <c r="C770" s="236"/>
      <c r="D770" s="236"/>
      <c r="E770" s="236"/>
      <c r="F770" s="236"/>
      <c r="G770" s="236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</row>
    <row r="771" ht="14.25" customHeight="1">
      <c r="A771" s="235"/>
      <c r="B771" s="236"/>
      <c r="C771" s="236"/>
      <c r="D771" s="236"/>
      <c r="E771" s="236"/>
      <c r="F771" s="236"/>
      <c r="G771" s="236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</row>
    <row r="772" ht="14.25" customHeight="1">
      <c r="A772" s="235"/>
      <c r="B772" s="236"/>
      <c r="C772" s="236"/>
      <c r="D772" s="236"/>
      <c r="E772" s="236"/>
      <c r="F772" s="236"/>
      <c r="G772" s="236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</row>
    <row r="773" ht="14.25" customHeight="1">
      <c r="A773" s="235"/>
      <c r="B773" s="236"/>
      <c r="C773" s="236"/>
      <c r="D773" s="236"/>
      <c r="E773" s="236"/>
      <c r="F773" s="236"/>
      <c r="G773" s="236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</row>
    <row r="774" ht="14.25" customHeight="1">
      <c r="A774" s="235"/>
      <c r="B774" s="236"/>
      <c r="C774" s="236"/>
      <c r="D774" s="236"/>
      <c r="E774" s="236"/>
      <c r="F774" s="236"/>
      <c r="G774" s="236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</row>
    <row r="775" ht="14.25" customHeight="1">
      <c r="A775" s="235"/>
      <c r="B775" s="236"/>
      <c r="C775" s="236"/>
      <c r="D775" s="236"/>
      <c r="E775" s="236"/>
      <c r="F775" s="236"/>
      <c r="G775" s="236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</row>
    <row r="776" ht="14.25" customHeight="1">
      <c r="A776" s="235"/>
      <c r="B776" s="236"/>
      <c r="C776" s="236"/>
      <c r="D776" s="236"/>
      <c r="E776" s="236"/>
      <c r="F776" s="236"/>
      <c r="G776" s="236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</row>
    <row r="777" ht="14.25" customHeight="1">
      <c r="A777" s="235"/>
      <c r="B777" s="236"/>
      <c r="C777" s="236"/>
      <c r="D777" s="236"/>
      <c r="E777" s="236"/>
      <c r="F777" s="236"/>
      <c r="G777" s="236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</row>
    <row r="778" ht="14.25" customHeight="1">
      <c r="A778" s="235"/>
      <c r="B778" s="236"/>
      <c r="C778" s="236"/>
      <c r="D778" s="236"/>
      <c r="E778" s="236"/>
      <c r="F778" s="236"/>
      <c r="G778" s="236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</row>
    <row r="779" ht="14.25" customHeight="1">
      <c r="A779" s="235"/>
      <c r="B779" s="236"/>
      <c r="C779" s="236"/>
      <c r="D779" s="236"/>
      <c r="E779" s="236"/>
      <c r="F779" s="236"/>
      <c r="G779" s="236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</row>
    <row r="780" ht="14.25" customHeight="1">
      <c r="A780" s="235"/>
      <c r="B780" s="236"/>
      <c r="C780" s="236"/>
      <c r="D780" s="236"/>
      <c r="E780" s="236"/>
      <c r="F780" s="236"/>
      <c r="G780" s="236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</row>
    <row r="781" ht="14.25" customHeight="1">
      <c r="A781" s="235"/>
      <c r="B781" s="236"/>
      <c r="C781" s="236"/>
      <c r="D781" s="236"/>
      <c r="E781" s="236"/>
      <c r="F781" s="236"/>
      <c r="G781" s="236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</row>
    <row r="782" ht="14.25" customHeight="1">
      <c r="A782" s="235"/>
      <c r="B782" s="236"/>
      <c r="C782" s="236"/>
      <c r="D782" s="236"/>
      <c r="E782" s="236"/>
      <c r="F782" s="236"/>
      <c r="G782" s="236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</row>
    <row r="783" ht="14.25" customHeight="1">
      <c r="A783" s="235"/>
      <c r="B783" s="236"/>
      <c r="C783" s="236"/>
      <c r="D783" s="236"/>
      <c r="E783" s="236"/>
      <c r="F783" s="236"/>
      <c r="G783" s="236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</row>
    <row r="784" ht="14.25" customHeight="1">
      <c r="A784" s="235"/>
      <c r="B784" s="236"/>
      <c r="C784" s="236"/>
      <c r="D784" s="236"/>
      <c r="E784" s="236"/>
      <c r="F784" s="236"/>
      <c r="G784" s="236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</row>
    <row r="785" ht="14.25" customHeight="1">
      <c r="A785" s="235"/>
      <c r="B785" s="236"/>
      <c r="C785" s="236"/>
      <c r="D785" s="236"/>
      <c r="E785" s="236"/>
      <c r="F785" s="236"/>
      <c r="G785" s="236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</row>
    <row r="786" ht="14.25" customHeight="1">
      <c r="A786" s="235"/>
      <c r="B786" s="236"/>
      <c r="C786" s="236"/>
      <c r="D786" s="236"/>
      <c r="E786" s="236"/>
      <c r="F786" s="236"/>
      <c r="G786" s="236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</row>
    <row r="787" ht="14.25" customHeight="1">
      <c r="A787" s="235"/>
      <c r="B787" s="236"/>
      <c r="C787" s="236"/>
      <c r="D787" s="236"/>
      <c r="E787" s="236"/>
      <c r="F787" s="236"/>
      <c r="G787" s="236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</row>
    <row r="788" ht="14.25" customHeight="1">
      <c r="A788" s="235"/>
      <c r="B788" s="236"/>
      <c r="C788" s="236"/>
      <c r="D788" s="236"/>
      <c r="E788" s="236"/>
      <c r="F788" s="236"/>
      <c r="G788" s="236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</row>
    <row r="789" ht="14.25" customHeight="1">
      <c r="A789" s="235"/>
      <c r="B789" s="236"/>
      <c r="C789" s="236"/>
      <c r="D789" s="236"/>
      <c r="E789" s="236"/>
      <c r="F789" s="236"/>
      <c r="G789" s="236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</row>
    <row r="790" ht="14.25" customHeight="1">
      <c r="A790" s="235"/>
      <c r="B790" s="236"/>
      <c r="C790" s="236"/>
      <c r="D790" s="236"/>
      <c r="E790" s="236"/>
      <c r="F790" s="236"/>
      <c r="G790" s="236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</row>
    <row r="791" ht="14.25" customHeight="1">
      <c r="A791" s="235"/>
      <c r="B791" s="236"/>
      <c r="C791" s="236"/>
      <c r="D791" s="236"/>
      <c r="E791" s="236"/>
      <c r="F791" s="236"/>
      <c r="G791" s="236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</row>
    <row r="792" ht="14.25" customHeight="1">
      <c r="A792" s="235"/>
      <c r="B792" s="236"/>
      <c r="C792" s="236"/>
      <c r="D792" s="236"/>
      <c r="E792" s="236"/>
      <c r="F792" s="236"/>
      <c r="G792" s="236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</row>
    <row r="793" ht="14.25" customHeight="1">
      <c r="A793" s="235"/>
      <c r="B793" s="236"/>
      <c r="C793" s="236"/>
      <c r="D793" s="236"/>
      <c r="E793" s="236"/>
      <c r="F793" s="236"/>
      <c r="G793" s="236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</row>
    <row r="794" ht="14.25" customHeight="1">
      <c r="A794" s="235"/>
      <c r="B794" s="236"/>
      <c r="C794" s="236"/>
      <c r="D794" s="236"/>
      <c r="E794" s="236"/>
      <c r="F794" s="236"/>
      <c r="G794" s="236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</row>
    <row r="795" ht="14.25" customHeight="1">
      <c r="A795" s="235"/>
      <c r="B795" s="236"/>
      <c r="C795" s="236"/>
      <c r="D795" s="236"/>
      <c r="E795" s="236"/>
      <c r="F795" s="236"/>
      <c r="G795" s="236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</row>
    <row r="796" ht="14.25" customHeight="1">
      <c r="A796" s="235"/>
      <c r="B796" s="236"/>
      <c r="C796" s="236"/>
      <c r="D796" s="236"/>
      <c r="E796" s="236"/>
      <c r="F796" s="236"/>
      <c r="G796" s="236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</row>
    <row r="797" ht="14.25" customHeight="1">
      <c r="A797" s="235"/>
      <c r="B797" s="236"/>
      <c r="C797" s="236"/>
      <c r="D797" s="236"/>
      <c r="E797" s="236"/>
      <c r="F797" s="236"/>
      <c r="G797" s="236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</row>
    <row r="798" ht="14.25" customHeight="1">
      <c r="A798" s="235"/>
      <c r="B798" s="236"/>
      <c r="C798" s="236"/>
      <c r="D798" s="236"/>
      <c r="E798" s="236"/>
      <c r="F798" s="236"/>
      <c r="G798" s="236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</row>
    <row r="799" ht="14.25" customHeight="1">
      <c r="A799" s="235"/>
      <c r="B799" s="236"/>
      <c r="C799" s="236"/>
      <c r="D799" s="236"/>
      <c r="E799" s="236"/>
      <c r="F799" s="236"/>
      <c r="G799" s="236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</row>
    <row r="800" ht="14.25" customHeight="1">
      <c r="A800" s="235"/>
      <c r="B800" s="236"/>
      <c r="C800" s="236"/>
      <c r="D800" s="236"/>
      <c r="E800" s="236"/>
      <c r="F800" s="236"/>
      <c r="G800" s="236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</row>
    <row r="801" ht="14.25" customHeight="1">
      <c r="A801" s="235"/>
      <c r="B801" s="236"/>
      <c r="C801" s="236"/>
      <c r="D801" s="236"/>
      <c r="E801" s="236"/>
      <c r="F801" s="236"/>
      <c r="G801" s="236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</row>
    <row r="802" ht="14.25" customHeight="1">
      <c r="A802" s="235"/>
      <c r="B802" s="236"/>
      <c r="C802" s="236"/>
      <c r="D802" s="236"/>
      <c r="E802" s="236"/>
      <c r="F802" s="236"/>
      <c r="G802" s="236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</row>
    <row r="803" ht="14.25" customHeight="1">
      <c r="A803" s="235"/>
      <c r="B803" s="236"/>
      <c r="C803" s="236"/>
      <c r="D803" s="236"/>
      <c r="E803" s="236"/>
      <c r="F803" s="236"/>
      <c r="G803" s="236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</row>
    <row r="804" ht="14.25" customHeight="1">
      <c r="A804" s="235"/>
      <c r="B804" s="236"/>
      <c r="C804" s="236"/>
      <c r="D804" s="236"/>
      <c r="E804" s="236"/>
      <c r="F804" s="236"/>
      <c r="G804" s="236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</row>
    <row r="805" ht="14.25" customHeight="1">
      <c r="A805" s="235"/>
      <c r="B805" s="236"/>
      <c r="C805" s="236"/>
      <c r="D805" s="236"/>
      <c r="E805" s="236"/>
      <c r="F805" s="236"/>
      <c r="G805" s="236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</row>
    <row r="806" ht="14.25" customHeight="1">
      <c r="A806" s="235"/>
      <c r="B806" s="236"/>
      <c r="C806" s="236"/>
      <c r="D806" s="236"/>
      <c r="E806" s="236"/>
      <c r="F806" s="236"/>
      <c r="G806" s="236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</row>
    <row r="807" ht="14.25" customHeight="1">
      <c r="A807" s="235"/>
      <c r="B807" s="236"/>
      <c r="C807" s="236"/>
      <c r="D807" s="236"/>
      <c r="E807" s="236"/>
      <c r="F807" s="236"/>
      <c r="G807" s="236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</row>
    <row r="808" ht="14.25" customHeight="1">
      <c r="A808" s="235"/>
      <c r="B808" s="236"/>
      <c r="C808" s="236"/>
      <c r="D808" s="236"/>
      <c r="E808" s="236"/>
      <c r="F808" s="236"/>
      <c r="G808" s="236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</row>
    <row r="809" ht="14.25" customHeight="1">
      <c r="A809" s="235"/>
      <c r="B809" s="236"/>
      <c r="C809" s="236"/>
      <c r="D809" s="236"/>
      <c r="E809" s="236"/>
      <c r="F809" s="236"/>
      <c r="G809" s="236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</row>
    <row r="810" ht="14.25" customHeight="1">
      <c r="A810" s="235"/>
      <c r="B810" s="236"/>
      <c r="C810" s="236"/>
      <c r="D810" s="236"/>
      <c r="E810" s="236"/>
      <c r="F810" s="236"/>
      <c r="G810" s="236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</row>
    <row r="811" ht="14.25" customHeight="1">
      <c r="A811" s="235"/>
      <c r="B811" s="236"/>
      <c r="C811" s="236"/>
      <c r="D811" s="236"/>
      <c r="E811" s="236"/>
      <c r="F811" s="236"/>
      <c r="G811" s="236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</row>
    <row r="812" ht="14.25" customHeight="1">
      <c r="A812" s="235"/>
      <c r="B812" s="236"/>
      <c r="C812" s="236"/>
      <c r="D812" s="236"/>
      <c r="E812" s="236"/>
      <c r="F812" s="236"/>
      <c r="G812" s="236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</row>
    <row r="813" ht="14.25" customHeight="1">
      <c r="A813" s="235"/>
      <c r="B813" s="236"/>
      <c r="C813" s="236"/>
      <c r="D813" s="236"/>
      <c r="E813" s="236"/>
      <c r="F813" s="236"/>
      <c r="G813" s="236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</row>
    <row r="814" ht="14.25" customHeight="1">
      <c r="A814" s="235"/>
      <c r="B814" s="236"/>
      <c r="C814" s="236"/>
      <c r="D814" s="236"/>
      <c r="E814" s="236"/>
      <c r="F814" s="236"/>
      <c r="G814" s="236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</row>
    <row r="815" ht="14.25" customHeight="1">
      <c r="A815" s="235"/>
      <c r="B815" s="236"/>
      <c r="C815" s="236"/>
      <c r="D815" s="236"/>
      <c r="E815" s="236"/>
      <c r="F815" s="236"/>
      <c r="G815" s="236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</row>
    <row r="816" ht="14.25" customHeight="1">
      <c r="A816" s="235"/>
      <c r="B816" s="236"/>
      <c r="C816" s="236"/>
      <c r="D816" s="236"/>
      <c r="E816" s="236"/>
      <c r="F816" s="236"/>
      <c r="G816" s="236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</row>
    <row r="817" ht="14.25" customHeight="1">
      <c r="A817" s="235"/>
      <c r="B817" s="236"/>
      <c r="C817" s="236"/>
      <c r="D817" s="236"/>
      <c r="E817" s="236"/>
      <c r="F817" s="236"/>
      <c r="G817" s="236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</row>
    <row r="818" ht="14.25" customHeight="1">
      <c r="A818" s="235"/>
      <c r="B818" s="236"/>
      <c r="C818" s="236"/>
      <c r="D818" s="236"/>
      <c r="E818" s="236"/>
      <c r="F818" s="236"/>
      <c r="G818" s="236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</row>
    <row r="819" ht="14.25" customHeight="1">
      <c r="A819" s="235"/>
      <c r="B819" s="236"/>
      <c r="C819" s="236"/>
      <c r="D819" s="236"/>
      <c r="E819" s="236"/>
      <c r="F819" s="236"/>
      <c r="G819" s="236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</row>
    <row r="820" ht="14.25" customHeight="1">
      <c r="A820" s="235"/>
      <c r="B820" s="236"/>
      <c r="C820" s="236"/>
      <c r="D820" s="236"/>
      <c r="E820" s="236"/>
      <c r="F820" s="236"/>
      <c r="G820" s="236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</row>
    <row r="821" ht="14.25" customHeight="1">
      <c r="A821" s="235"/>
      <c r="B821" s="236"/>
      <c r="C821" s="236"/>
      <c r="D821" s="236"/>
      <c r="E821" s="236"/>
      <c r="F821" s="236"/>
      <c r="G821" s="236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</row>
    <row r="822" ht="14.25" customHeight="1">
      <c r="A822" s="235"/>
      <c r="B822" s="236"/>
      <c r="C822" s="236"/>
      <c r="D822" s="236"/>
      <c r="E822" s="236"/>
      <c r="F822" s="236"/>
      <c r="G822" s="236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</row>
    <row r="823" ht="14.25" customHeight="1">
      <c r="A823" s="235"/>
      <c r="B823" s="236"/>
      <c r="C823" s="236"/>
      <c r="D823" s="236"/>
      <c r="E823" s="236"/>
      <c r="F823" s="236"/>
      <c r="G823" s="236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</row>
    <row r="824" ht="14.25" customHeight="1">
      <c r="A824" s="235"/>
      <c r="B824" s="236"/>
      <c r="C824" s="236"/>
      <c r="D824" s="236"/>
      <c r="E824" s="236"/>
      <c r="F824" s="236"/>
      <c r="G824" s="236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</row>
    <row r="825" ht="14.25" customHeight="1">
      <c r="A825" s="235"/>
      <c r="B825" s="236"/>
      <c r="C825" s="236"/>
      <c r="D825" s="236"/>
      <c r="E825" s="236"/>
      <c r="F825" s="236"/>
      <c r="G825" s="236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</row>
    <row r="826" ht="14.25" customHeight="1">
      <c r="A826" s="235"/>
      <c r="B826" s="236"/>
      <c r="C826" s="236"/>
      <c r="D826" s="236"/>
      <c r="E826" s="236"/>
      <c r="F826" s="236"/>
      <c r="G826" s="236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</row>
    <row r="827" ht="14.25" customHeight="1">
      <c r="A827" s="235"/>
      <c r="B827" s="236"/>
      <c r="C827" s="236"/>
      <c r="D827" s="236"/>
      <c r="E827" s="236"/>
      <c r="F827" s="236"/>
      <c r="G827" s="236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</row>
    <row r="828" ht="14.25" customHeight="1">
      <c r="A828" s="235"/>
      <c r="B828" s="236"/>
      <c r="C828" s="236"/>
      <c r="D828" s="236"/>
      <c r="E828" s="236"/>
      <c r="F828" s="236"/>
      <c r="G828" s="236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</row>
    <row r="829" ht="14.25" customHeight="1">
      <c r="A829" s="235"/>
      <c r="B829" s="236"/>
      <c r="C829" s="236"/>
      <c r="D829" s="236"/>
      <c r="E829" s="236"/>
      <c r="F829" s="236"/>
      <c r="G829" s="236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</row>
    <row r="830" ht="14.25" customHeight="1">
      <c r="A830" s="235"/>
      <c r="B830" s="236"/>
      <c r="C830" s="236"/>
      <c r="D830" s="236"/>
      <c r="E830" s="236"/>
      <c r="F830" s="236"/>
      <c r="G830" s="236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</row>
    <row r="831" ht="14.25" customHeight="1">
      <c r="A831" s="235"/>
      <c r="B831" s="236"/>
      <c r="C831" s="236"/>
      <c r="D831" s="236"/>
      <c r="E831" s="236"/>
      <c r="F831" s="236"/>
      <c r="G831" s="236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</row>
    <row r="832" ht="14.25" customHeight="1">
      <c r="A832" s="235"/>
      <c r="B832" s="236"/>
      <c r="C832" s="236"/>
      <c r="D832" s="236"/>
      <c r="E832" s="236"/>
      <c r="F832" s="236"/>
      <c r="G832" s="236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</row>
    <row r="833" ht="14.25" customHeight="1">
      <c r="A833" s="235"/>
      <c r="B833" s="236"/>
      <c r="C833" s="236"/>
      <c r="D833" s="236"/>
      <c r="E833" s="236"/>
      <c r="F833" s="236"/>
      <c r="G833" s="236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</row>
    <row r="834" ht="14.25" customHeight="1">
      <c r="A834" s="235"/>
      <c r="B834" s="236"/>
      <c r="C834" s="236"/>
      <c r="D834" s="236"/>
      <c r="E834" s="236"/>
      <c r="F834" s="236"/>
      <c r="G834" s="236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</row>
    <row r="835" ht="14.25" customHeight="1">
      <c r="A835" s="235"/>
      <c r="B835" s="236"/>
      <c r="C835" s="236"/>
      <c r="D835" s="236"/>
      <c r="E835" s="236"/>
      <c r="F835" s="236"/>
      <c r="G835" s="236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</row>
    <row r="836" ht="14.25" customHeight="1">
      <c r="A836" s="235"/>
      <c r="B836" s="236"/>
      <c r="C836" s="236"/>
      <c r="D836" s="236"/>
      <c r="E836" s="236"/>
      <c r="F836" s="236"/>
      <c r="G836" s="236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</row>
    <row r="837" ht="14.25" customHeight="1">
      <c r="A837" s="235"/>
      <c r="B837" s="236"/>
      <c r="C837" s="236"/>
      <c r="D837" s="236"/>
      <c r="E837" s="236"/>
      <c r="F837" s="236"/>
      <c r="G837" s="236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</row>
    <row r="838" ht="14.25" customHeight="1">
      <c r="A838" s="235"/>
      <c r="B838" s="236"/>
      <c r="C838" s="236"/>
      <c r="D838" s="236"/>
      <c r="E838" s="236"/>
      <c r="F838" s="236"/>
      <c r="G838" s="236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</row>
    <row r="839" ht="14.25" customHeight="1">
      <c r="A839" s="235"/>
      <c r="B839" s="236"/>
      <c r="C839" s="236"/>
      <c r="D839" s="236"/>
      <c r="E839" s="236"/>
      <c r="F839" s="236"/>
      <c r="G839" s="236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</row>
    <row r="840" ht="14.25" customHeight="1">
      <c r="A840" s="235"/>
      <c r="B840" s="236"/>
      <c r="C840" s="236"/>
      <c r="D840" s="236"/>
      <c r="E840" s="236"/>
      <c r="F840" s="236"/>
      <c r="G840" s="236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</row>
    <row r="841" ht="14.25" customHeight="1">
      <c r="A841" s="235"/>
      <c r="B841" s="236"/>
      <c r="C841" s="236"/>
      <c r="D841" s="236"/>
      <c r="E841" s="236"/>
      <c r="F841" s="236"/>
      <c r="G841" s="236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</row>
    <row r="842" ht="14.25" customHeight="1">
      <c r="A842" s="235"/>
      <c r="B842" s="236"/>
      <c r="C842" s="236"/>
      <c r="D842" s="236"/>
      <c r="E842" s="236"/>
      <c r="F842" s="236"/>
      <c r="G842" s="236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</row>
    <row r="843" ht="14.25" customHeight="1">
      <c r="A843" s="235"/>
      <c r="B843" s="236"/>
      <c r="C843" s="236"/>
      <c r="D843" s="236"/>
      <c r="E843" s="236"/>
      <c r="F843" s="236"/>
      <c r="G843" s="236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</row>
    <row r="844" ht="14.25" customHeight="1">
      <c r="A844" s="235"/>
      <c r="B844" s="236"/>
      <c r="C844" s="236"/>
      <c r="D844" s="236"/>
      <c r="E844" s="236"/>
      <c r="F844" s="236"/>
      <c r="G844" s="236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</row>
    <row r="845" ht="14.25" customHeight="1">
      <c r="A845" s="235"/>
      <c r="B845" s="236"/>
      <c r="C845" s="236"/>
      <c r="D845" s="236"/>
      <c r="E845" s="236"/>
      <c r="F845" s="236"/>
      <c r="G845" s="236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</row>
    <row r="846" ht="14.25" customHeight="1">
      <c r="A846" s="235"/>
      <c r="B846" s="236"/>
      <c r="C846" s="236"/>
      <c r="D846" s="236"/>
      <c r="E846" s="236"/>
      <c r="F846" s="236"/>
      <c r="G846" s="236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</row>
    <row r="847" ht="14.25" customHeight="1">
      <c r="A847" s="235"/>
      <c r="B847" s="236"/>
      <c r="C847" s="236"/>
      <c r="D847" s="236"/>
      <c r="E847" s="236"/>
      <c r="F847" s="236"/>
      <c r="G847" s="236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</row>
    <row r="848" ht="14.25" customHeight="1">
      <c r="A848" s="235"/>
      <c r="B848" s="236"/>
      <c r="C848" s="236"/>
      <c r="D848" s="236"/>
      <c r="E848" s="236"/>
      <c r="F848" s="236"/>
      <c r="G848" s="236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</row>
    <row r="849" ht="14.25" customHeight="1">
      <c r="A849" s="235"/>
      <c r="B849" s="236"/>
      <c r="C849" s="236"/>
      <c r="D849" s="236"/>
      <c r="E849" s="236"/>
      <c r="F849" s="236"/>
      <c r="G849" s="236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</row>
    <row r="850" ht="14.25" customHeight="1">
      <c r="A850" s="235"/>
      <c r="B850" s="236"/>
      <c r="C850" s="236"/>
      <c r="D850" s="236"/>
      <c r="E850" s="236"/>
      <c r="F850" s="236"/>
      <c r="G850" s="236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</row>
    <row r="851" ht="14.25" customHeight="1">
      <c r="A851" s="235"/>
      <c r="B851" s="236"/>
      <c r="C851" s="236"/>
      <c r="D851" s="236"/>
      <c r="E851" s="236"/>
      <c r="F851" s="236"/>
      <c r="G851" s="236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</row>
    <row r="852" ht="14.25" customHeight="1">
      <c r="A852" s="235"/>
      <c r="B852" s="236"/>
      <c r="C852" s="236"/>
      <c r="D852" s="236"/>
      <c r="E852" s="236"/>
      <c r="F852" s="236"/>
      <c r="G852" s="236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</row>
    <row r="853" ht="14.25" customHeight="1">
      <c r="A853" s="235"/>
      <c r="B853" s="236"/>
      <c r="C853" s="236"/>
      <c r="D853" s="236"/>
      <c r="E853" s="236"/>
      <c r="F853" s="236"/>
      <c r="G853" s="236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</row>
    <row r="854" ht="14.25" customHeight="1">
      <c r="A854" s="235"/>
      <c r="B854" s="236"/>
      <c r="C854" s="236"/>
      <c r="D854" s="236"/>
      <c r="E854" s="236"/>
      <c r="F854" s="236"/>
      <c r="G854" s="236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</row>
    <row r="855" ht="14.25" customHeight="1">
      <c r="A855" s="235"/>
      <c r="B855" s="236"/>
      <c r="C855" s="236"/>
      <c r="D855" s="236"/>
      <c r="E855" s="236"/>
      <c r="F855" s="236"/>
      <c r="G855" s="236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</row>
    <row r="856" ht="14.25" customHeight="1">
      <c r="A856" s="235"/>
      <c r="B856" s="236"/>
      <c r="C856" s="236"/>
      <c r="D856" s="236"/>
      <c r="E856" s="236"/>
      <c r="F856" s="236"/>
      <c r="G856" s="236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</row>
    <row r="857" ht="14.25" customHeight="1">
      <c r="A857" s="235"/>
      <c r="B857" s="236"/>
      <c r="C857" s="236"/>
      <c r="D857" s="236"/>
      <c r="E857" s="236"/>
      <c r="F857" s="236"/>
      <c r="G857" s="236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</row>
    <row r="858" ht="14.25" customHeight="1">
      <c r="A858" s="235"/>
      <c r="B858" s="236"/>
      <c r="C858" s="236"/>
      <c r="D858" s="236"/>
      <c r="E858" s="236"/>
      <c r="F858" s="236"/>
      <c r="G858" s="236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</row>
    <row r="859" ht="14.25" customHeight="1">
      <c r="A859" s="235"/>
      <c r="B859" s="236"/>
      <c r="C859" s="236"/>
      <c r="D859" s="236"/>
      <c r="E859" s="236"/>
      <c r="F859" s="236"/>
      <c r="G859" s="236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</row>
    <row r="860" ht="14.25" customHeight="1">
      <c r="A860" s="235"/>
      <c r="B860" s="236"/>
      <c r="C860" s="236"/>
      <c r="D860" s="236"/>
      <c r="E860" s="236"/>
      <c r="F860" s="236"/>
      <c r="G860" s="236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</row>
    <row r="861" ht="14.25" customHeight="1">
      <c r="A861" s="235"/>
      <c r="B861" s="236"/>
      <c r="C861" s="236"/>
      <c r="D861" s="236"/>
      <c r="E861" s="236"/>
      <c r="F861" s="236"/>
      <c r="G861" s="236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</row>
    <row r="862" ht="14.25" customHeight="1">
      <c r="A862" s="235"/>
      <c r="B862" s="236"/>
      <c r="C862" s="236"/>
      <c r="D862" s="236"/>
      <c r="E862" s="236"/>
      <c r="F862" s="236"/>
      <c r="G862" s="236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</row>
    <row r="863" ht="14.25" customHeight="1">
      <c r="A863" s="235"/>
      <c r="B863" s="236"/>
      <c r="C863" s="236"/>
      <c r="D863" s="236"/>
      <c r="E863" s="236"/>
      <c r="F863" s="236"/>
      <c r="G863" s="236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</row>
    <row r="864" ht="14.25" customHeight="1">
      <c r="A864" s="235"/>
      <c r="B864" s="236"/>
      <c r="C864" s="236"/>
      <c r="D864" s="236"/>
      <c r="E864" s="236"/>
      <c r="F864" s="236"/>
      <c r="G864" s="236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</row>
    <row r="865" ht="14.25" customHeight="1">
      <c r="A865" s="235"/>
      <c r="B865" s="236"/>
      <c r="C865" s="236"/>
      <c r="D865" s="236"/>
      <c r="E865" s="236"/>
      <c r="F865" s="236"/>
      <c r="G865" s="236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</row>
    <row r="866" ht="14.25" customHeight="1">
      <c r="A866" s="235"/>
      <c r="B866" s="236"/>
      <c r="C866" s="236"/>
      <c r="D866" s="236"/>
      <c r="E866" s="236"/>
      <c r="F866" s="236"/>
      <c r="G866" s="236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</row>
    <row r="867" ht="14.25" customHeight="1">
      <c r="A867" s="235"/>
      <c r="B867" s="236"/>
      <c r="C867" s="236"/>
      <c r="D867" s="236"/>
      <c r="E867" s="236"/>
      <c r="F867" s="236"/>
      <c r="G867" s="236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</row>
    <row r="868" ht="14.25" customHeight="1">
      <c r="A868" s="235"/>
      <c r="B868" s="236"/>
      <c r="C868" s="236"/>
      <c r="D868" s="236"/>
      <c r="E868" s="236"/>
      <c r="F868" s="236"/>
      <c r="G868" s="236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</row>
    <row r="869" ht="14.25" customHeight="1">
      <c r="A869" s="235"/>
      <c r="B869" s="236"/>
      <c r="C869" s="236"/>
      <c r="D869" s="236"/>
      <c r="E869" s="236"/>
      <c r="F869" s="236"/>
      <c r="G869" s="236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</row>
    <row r="870" ht="14.25" customHeight="1">
      <c r="A870" s="235"/>
      <c r="B870" s="236"/>
      <c r="C870" s="236"/>
      <c r="D870" s="236"/>
      <c r="E870" s="236"/>
      <c r="F870" s="236"/>
      <c r="G870" s="236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</row>
    <row r="871" ht="14.25" customHeight="1">
      <c r="A871" s="235"/>
      <c r="B871" s="236"/>
      <c r="C871" s="236"/>
      <c r="D871" s="236"/>
      <c r="E871" s="236"/>
      <c r="F871" s="236"/>
      <c r="G871" s="236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</row>
    <row r="872" ht="14.25" customHeight="1">
      <c r="A872" s="235"/>
      <c r="B872" s="236"/>
      <c r="C872" s="236"/>
      <c r="D872" s="236"/>
      <c r="E872" s="236"/>
      <c r="F872" s="236"/>
      <c r="G872" s="236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</row>
    <row r="873" ht="14.25" customHeight="1">
      <c r="A873" s="235"/>
      <c r="B873" s="236"/>
      <c r="C873" s="236"/>
      <c r="D873" s="236"/>
      <c r="E873" s="236"/>
      <c r="F873" s="236"/>
      <c r="G873" s="236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</row>
    <row r="874" ht="14.25" customHeight="1">
      <c r="A874" s="235"/>
      <c r="B874" s="236"/>
      <c r="C874" s="236"/>
      <c r="D874" s="236"/>
      <c r="E874" s="236"/>
      <c r="F874" s="236"/>
      <c r="G874" s="236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</row>
    <row r="875" ht="14.25" customHeight="1">
      <c r="A875" s="235"/>
      <c r="B875" s="236"/>
      <c r="C875" s="236"/>
      <c r="D875" s="236"/>
      <c r="E875" s="236"/>
      <c r="F875" s="236"/>
      <c r="G875" s="236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</row>
    <row r="876" ht="14.25" customHeight="1">
      <c r="A876" s="235"/>
      <c r="B876" s="236"/>
      <c r="C876" s="236"/>
      <c r="D876" s="236"/>
      <c r="E876" s="236"/>
      <c r="F876" s="236"/>
      <c r="G876" s="236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</row>
    <row r="877" ht="14.25" customHeight="1">
      <c r="A877" s="235"/>
      <c r="B877" s="236"/>
      <c r="C877" s="236"/>
      <c r="D877" s="236"/>
      <c r="E877" s="236"/>
      <c r="F877" s="236"/>
      <c r="G877" s="236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</row>
    <row r="878" ht="14.25" customHeight="1">
      <c r="A878" s="235"/>
      <c r="B878" s="236"/>
      <c r="C878" s="236"/>
      <c r="D878" s="236"/>
      <c r="E878" s="236"/>
      <c r="F878" s="236"/>
      <c r="G878" s="236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</row>
    <row r="879" ht="14.25" customHeight="1">
      <c r="A879" s="235"/>
      <c r="B879" s="236"/>
      <c r="C879" s="236"/>
      <c r="D879" s="236"/>
      <c r="E879" s="236"/>
      <c r="F879" s="236"/>
      <c r="G879" s="236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</row>
    <row r="880" ht="14.25" customHeight="1">
      <c r="A880" s="235"/>
      <c r="B880" s="236"/>
      <c r="C880" s="236"/>
      <c r="D880" s="236"/>
      <c r="E880" s="236"/>
      <c r="F880" s="236"/>
      <c r="G880" s="236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</row>
    <row r="881" ht="14.25" customHeight="1">
      <c r="A881" s="235"/>
      <c r="B881" s="236"/>
      <c r="C881" s="236"/>
      <c r="D881" s="236"/>
      <c r="E881" s="236"/>
      <c r="F881" s="236"/>
      <c r="G881" s="236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</row>
    <row r="882" ht="14.25" customHeight="1">
      <c r="A882" s="235"/>
      <c r="B882" s="236"/>
      <c r="C882" s="236"/>
      <c r="D882" s="236"/>
      <c r="E882" s="236"/>
      <c r="F882" s="236"/>
      <c r="G882" s="236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</row>
    <row r="883" ht="14.25" customHeight="1">
      <c r="A883" s="235"/>
      <c r="B883" s="236"/>
      <c r="C883" s="236"/>
      <c r="D883" s="236"/>
      <c r="E883" s="236"/>
      <c r="F883" s="236"/>
      <c r="G883" s="236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</row>
    <row r="884" ht="14.25" customHeight="1">
      <c r="A884" s="235"/>
      <c r="B884" s="236"/>
      <c r="C884" s="236"/>
      <c r="D884" s="236"/>
      <c r="E884" s="236"/>
      <c r="F884" s="236"/>
      <c r="G884" s="236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</row>
    <row r="885" ht="14.25" customHeight="1">
      <c r="A885" s="235"/>
      <c r="B885" s="236"/>
      <c r="C885" s="236"/>
      <c r="D885" s="236"/>
      <c r="E885" s="236"/>
      <c r="F885" s="236"/>
      <c r="G885" s="236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</row>
    <row r="886" ht="14.25" customHeight="1">
      <c r="A886" s="235"/>
      <c r="B886" s="236"/>
      <c r="C886" s="236"/>
      <c r="D886" s="236"/>
      <c r="E886" s="236"/>
      <c r="F886" s="236"/>
      <c r="G886" s="236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</row>
    <row r="887" ht="14.25" customHeight="1">
      <c r="A887" s="235"/>
      <c r="B887" s="236"/>
      <c r="C887" s="236"/>
      <c r="D887" s="236"/>
      <c r="E887" s="236"/>
      <c r="F887" s="236"/>
      <c r="G887" s="236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</row>
    <row r="888" ht="14.25" customHeight="1">
      <c r="A888" s="235"/>
      <c r="B888" s="236"/>
      <c r="C888" s="236"/>
      <c r="D888" s="236"/>
      <c r="E888" s="236"/>
      <c r="F888" s="236"/>
      <c r="G888" s="236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</row>
    <row r="889" ht="14.25" customHeight="1">
      <c r="A889" s="235"/>
      <c r="B889" s="236"/>
      <c r="C889" s="236"/>
      <c r="D889" s="236"/>
      <c r="E889" s="236"/>
      <c r="F889" s="236"/>
      <c r="G889" s="236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</row>
    <row r="890" ht="14.25" customHeight="1">
      <c r="A890" s="235"/>
      <c r="B890" s="236"/>
      <c r="C890" s="236"/>
      <c r="D890" s="236"/>
      <c r="E890" s="236"/>
      <c r="F890" s="236"/>
      <c r="G890" s="236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</row>
    <row r="891" ht="14.25" customHeight="1">
      <c r="A891" s="235"/>
      <c r="B891" s="236"/>
      <c r="C891" s="236"/>
      <c r="D891" s="236"/>
      <c r="E891" s="236"/>
      <c r="F891" s="236"/>
      <c r="G891" s="236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</row>
    <row r="892" ht="14.25" customHeight="1">
      <c r="A892" s="235"/>
      <c r="B892" s="236"/>
      <c r="C892" s="236"/>
      <c r="D892" s="236"/>
      <c r="E892" s="236"/>
      <c r="F892" s="236"/>
      <c r="G892" s="236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</row>
    <row r="893" ht="14.25" customHeight="1">
      <c r="A893" s="235"/>
      <c r="B893" s="236"/>
      <c r="C893" s="236"/>
      <c r="D893" s="236"/>
      <c r="E893" s="236"/>
      <c r="F893" s="236"/>
      <c r="G893" s="236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</row>
    <row r="894" ht="14.25" customHeight="1">
      <c r="A894" s="235"/>
      <c r="B894" s="236"/>
      <c r="C894" s="236"/>
      <c r="D894" s="236"/>
      <c r="E894" s="236"/>
      <c r="F894" s="236"/>
      <c r="G894" s="236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</row>
    <row r="895" ht="14.25" customHeight="1">
      <c r="A895" s="235"/>
      <c r="B895" s="236"/>
      <c r="C895" s="236"/>
      <c r="D895" s="236"/>
      <c r="E895" s="236"/>
      <c r="F895" s="236"/>
      <c r="G895" s="236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</row>
    <row r="896" ht="14.25" customHeight="1">
      <c r="A896" s="235"/>
      <c r="B896" s="236"/>
      <c r="C896" s="236"/>
      <c r="D896" s="236"/>
      <c r="E896" s="236"/>
      <c r="F896" s="236"/>
      <c r="G896" s="236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</row>
    <row r="897" ht="14.25" customHeight="1">
      <c r="A897" s="235"/>
      <c r="B897" s="236"/>
      <c r="C897" s="236"/>
      <c r="D897" s="236"/>
      <c r="E897" s="236"/>
      <c r="F897" s="236"/>
      <c r="G897" s="236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</row>
    <row r="898" ht="14.25" customHeight="1">
      <c r="A898" s="235"/>
      <c r="B898" s="236"/>
      <c r="C898" s="236"/>
      <c r="D898" s="236"/>
      <c r="E898" s="236"/>
      <c r="F898" s="236"/>
      <c r="G898" s="236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</row>
    <row r="899" ht="14.25" customHeight="1">
      <c r="A899" s="235"/>
      <c r="B899" s="236"/>
      <c r="C899" s="236"/>
      <c r="D899" s="236"/>
      <c r="E899" s="236"/>
      <c r="F899" s="236"/>
      <c r="G899" s="236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</row>
    <row r="900" ht="14.25" customHeight="1">
      <c r="A900" s="235"/>
      <c r="B900" s="236"/>
      <c r="C900" s="236"/>
      <c r="D900" s="236"/>
      <c r="E900" s="236"/>
      <c r="F900" s="236"/>
      <c r="G900" s="236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</row>
    <row r="901" ht="14.25" customHeight="1">
      <c r="A901" s="235"/>
      <c r="B901" s="236"/>
      <c r="C901" s="236"/>
      <c r="D901" s="236"/>
      <c r="E901" s="236"/>
      <c r="F901" s="236"/>
      <c r="G901" s="236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</row>
    <row r="902" ht="14.25" customHeight="1">
      <c r="A902" s="235"/>
      <c r="B902" s="236"/>
      <c r="C902" s="236"/>
      <c r="D902" s="236"/>
      <c r="E902" s="236"/>
      <c r="F902" s="236"/>
      <c r="G902" s="236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</row>
    <row r="903" ht="14.25" customHeight="1">
      <c r="A903" s="235"/>
      <c r="B903" s="236"/>
      <c r="C903" s="236"/>
      <c r="D903" s="236"/>
      <c r="E903" s="236"/>
      <c r="F903" s="236"/>
      <c r="G903" s="236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</row>
    <row r="904" ht="14.25" customHeight="1">
      <c r="A904" s="235"/>
      <c r="B904" s="236"/>
      <c r="C904" s="236"/>
      <c r="D904" s="236"/>
      <c r="E904" s="236"/>
      <c r="F904" s="236"/>
      <c r="G904" s="236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</row>
    <row r="905" ht="14.25" customHeight="1">
      <c r="A905" s="235"/>
      <c r="B905" s="236"/>
      <c r="C905" s="236"/>
      <c r="D905" s="236"/>
      <c r="E905" s="236"/>
      <c r="F905" s="236"/>
      <c r="G905" s="236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</row>
    <row r="906" ht="14.25" customHeight="1">
      <c r="A906" s="235"/>
      <c r="B906" s="236"/>
      <c r="C906" s="236"/>
      <c r="D906" s="236"/>
      <c r="E906" s="236"/>
      <c r="F906" s="236"/>
      <c r="G906" s="236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</row>
    <row r="907" ht="14.25" customHeight="1">
      <c r="A907" s="235"/>
      <c r="B907" s="236"/>
      <c r="C907" s="236"/>
      <c r="D907" s="236"/>
      <c r="E907" s="236"/>
      <c r="F907" s="236"/>
      <c r="G907" s="236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</row>
    <row r="908" ht="14.25" customHeight="1">
      <c r="A908" s="235"/>
      <c r="B908" s="236"/>
      <c r="C908" s="236"/>
      <c r="D908" s="236"/>
      <c r="E908" s="236"/>
      <c r="F908" s="236"/>
      <c r="G908" s="236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</row>
    <row r="909" ht="14.25" customHeight="1">
      <c r="A909" s="235"/>
      <c r="B909" s="236"/>
      <c r="C909" s="236"/>
      <c r="D909" s="236"/>
      <c r="E909" s="236"/>
      <c r="F909" s="236"/>
      <c r="G909" s="236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</row>
    <row r="910" ht="14.25" customHeight="1">
      <c r="A910" s="235"/>
      <c r="B910" s="236"/>
      <c r="C910" s="236"/>
      <c r="D910" s="236"/>
      <c r="E910" s="236"/>
      <c r="F910" s="236"/>
      <c r="G910" s="236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</row>
    <row r="911" ht="14.25" customHeight="1">
      <c r="A911" s="235"/>
      <c r="B911" s="236"/>
      <c r="C911" s="236"/>
      <c r="D911" s="236"/>
      <c r="E911" s="236"/>
      <c r="F911" s="236"/>
      <c r="G911" s="236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</row>
    <row r="912" ht="14.25" customHeight="1">
      <c r="A912" s="235"/>
      <c r="B912" s="236"/>
      <c r="C912" s="236"/>
      <c r="D912" s="236"/>
      <c r="E912" s="236"/>
      <c r="F912" s="236"/>
      <c r="G912" s="236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</row>
    <row r="913" ht="14.25" customHeight="1">
      <c r="A913" s="235"/>
      <c r="B913" s="236"/>
      <c r="C913" s="236"/>
      <c r="D913" s="236"/>
      <c r="E913" s="236"/>
      <c r="F913" s="236"/>
      <c r="G913" s="236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</row>
    <row r="914" ht="14.25" customHeight="1">
      <c r="A914" s="235"/>
      <c r="B914" s="236"/>
      <c r="C914" s="236"/>
      <c r="D914" s="236"/>
      <c r="E914" s="236"/>
      <c r="F914" s="236"/>
      <c r="G914" s="236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</row>
    <row r="915" ht="14.25" customHeight="1">
      <c r="A915" s="235"/>
      <c r="B915" s="236"/>
      <c r="C915" s="236"/>
      <c r="D915" s="236"/>
      <c r="E915" s="236"/>
      <c r="F915" s="236"/>
      <c r="G915" s="236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</row>
    <row r="916" ht="14.25" customHeight="1">
      <c r="A916" s="235"/>
      <c r="B916" s="236"/>
      <c r="C916" s="236"/>
      <c r="D916" s="236"/>
      <c r="E916" s="236"/>
      <c r="F916" s="236"/>
      <c r="G916" s="236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</row>
    <row r="917" ht="14.25" customHeight="1">
      <c r="A917" s="235"/>
      <c r="B917" s="236"/>
      <c r="C917" s="236"/>
      <c r="D917" s="236"/>
      <c r="E917" s="236"/>
      <c r="F917" s="236"/>
      <c r="G917" s="236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</row>
    <row r="918" ht="14.25" customHeight="1">
      <c r="A918" s="235"/>
      <c r="B918" s="236"/>
      <c r="C918" s="236"/>
      <c r="D918" s="236"/>
      <c r="E918" s="236"/>
      <c r="F918" s="236"/>
      <c r="G918" s="236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</row>
    <row r="919" ht="14.25" customHeight="1">
      <c r="A919" s="235"/>
      <c r="B919" s="236"/>
      <c r="C919" s="236"/>
      <c r="D919" s="236"/>
      <c r="E919" s="236"/>
      <c r="F919" s="236"/>
      <c r="G919" s="236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</row>
    <row r="920" ht="14.25" customHeight="1">
      <c r="A920" s="235"/>
      <c r="B920" s="236"/>
      <c r="C920" s="236"/>
      <c r="D920" s="236"/>
      <c r="E920" s="236"/>
      <c r="F920" s="236"/>
      <c r="G920" s="236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</row>
    <row r="921" ht="14.25" customHeight="1">
      <c r="A921" s="235"/>
      <c r="B921" s="236"/>
      <c r="C921" s="236"/>
      <c r="D921" s="236"/>
      <c r="E921" s="236"/>
      <c r="F921" s="236"/>
      <c r="G921" s="236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</row>
    <row r="922" ht="14.25" customHeight="1">
      <c r="A922" s="235"/>
      <c r="B922" s="236"/>
      <c r="C922" s="236"/>
      <c r="D922" s="236"/>
      <c r="E922" s="236"/>
      <c r="F922" s="236"/>
      <c r="G922" s="236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</row>
    <row r="923" ht="14.25" customHeight="1">
      <c r="A923" s="235"/>
      <c r="B923" s="236"/>
      <c r="C923" s="236"/>
      <c r="D923" s="236"/>
      <c r="E923" s="236"/>
      <c r="F923" s="236"/>
      <c r="G923" s="236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</row>
    <row r="924" ht="14.25" customHeight="1">
      <c r="A924" s="235"/>
      <c r="B924" s="236"/>
      <c r="C924" s="236"/>
      <c r="D924" s="236"/>
      <c r="E924" s="236"/>
      <c r="F924" s="236"/>
      <c r="G924" s="236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</row>
    <row r="925" ht="14.25" customHeight="1">
      <c r="A925" s="235"/>
      <c r="B925" s="236"/>
      <c r="C925" s="236"/>
      <c r="D925" s="236"/>
      <c r="E925" s="236"/>
      <c r="F925" s="236"/>
      <c r="G925" s="236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</row>
    <row r="926" ht="14.25" customHeight="1">
      <c r="A926" s="235"/>
      <c r="B926" s="236"/>
      <c r="C926" s="236"/>
      <c r="D926" s="236"/>
      <c r="E926" s="236"/>
      <c r="F926" s="236"/>
      <c r="G926" s="236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</row>
    <row r="927" ht="14.25" customHeight="1">
      <c r="A927" s="235"/>
      <c r="B927" s="236"/>
      <c r="C927" s="236"/>
      <c r="D927" s="236"/>
      <c r="E927" s="236"/>
      <c r="F927" s="236"/>
      <c r="G927" s="236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</row>
    <row r="928" ht="14.25" customHeight="1">
      <c r="A928" s="235"/>
      <c r="B928" s="236"/>
      <c r="C928" s="236"/>
      <c r="D928" s="236"/>
      <c r="E928" s="236"/>
      <c r="F928" s="236"/>
      <c r="G928" s="236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</row>
    <row r="929" ht="14.25" customHeight="1">
      <c r="A929" s="235"/>
      <c r="B929" s="236"/>
      <c r="C929" s="236"/>
      <c r="D929" s="236"/>
      <c r="E929" s="236"/>
      <c r="F929" s="236"/>
      <c r="G929" s="236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</row>
    <row r="930" ht="14.25" customHeight="1">
      <c r="A930" s="235"/>
      <c r="B930" s="236"/>
      <c r="C930" s="236"/>
      <c r="D930" s="236"/>
      <c r="E930" s="236"/>
      <c r="F930" s="236"/>
      <c r="G930" s="236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</row>
    <row r="931" ht="14.25" customHeight="1">
      <c r="A931" s="235"/>
      <c r="B931" s="236"/>
      <c r="C931" s="236"/>
      <c r="D931" s="236"/>
      <c r="E931" s="236"/>
      <c r="F931" s="236"/>
      <c r="G931" s="236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</row>
    <row r="932" ht="14.25" customHeight="1">
      <c r="A932" s="235"/>
      <c r="B932" s="236"/>
      <c r="C932" s="236"/>
      <c r="D932" s="236"/>
      <c r="E932" s="236"/>
      <c r="F932" s="236"/>
      <c r="G932" s="236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</row>
    <row r="933" ht="14.25" customHeight="1">
      <c r="A933" s="235"/>
      <c r="B933" s="236"/>
      <c r="C933" s="236"/>
      <c r="D933" s="236"/>
      <c r="E933" s="236"/>
      <c r="F933" s="236"/>
      <c r="G933" s="236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</row>
    <row r="934" ht="14.25" customHeight="1">
      <c r="A934" s="235"/>
      <c r="B934" s="236"/>
      <c r="C934" s="236"/>
      <c r="D934" s="236"/>
      <c r="E934" s="236"/>
      <c r="F934" s="236"/>
      <c r="G934" s="236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</row>
    <row r="935" ht="14.25" customHeight="1">
      <c r="A935" s="235"/>
      <c r="B935" s="236"/>
      <c r="C935" s="236"/>
      <c r="D935" s="236"/>
      <c r="E935" s="236"/>
      <c r="F935" s="236"/>
      <c r="G935" s="236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</row>
    <row r="936" ht="14.25" customHeight="1">
      <c r="A936" s="235"/>
      <c r="B936" s="236"/>
      <c r="C936" s="236"/>
      <c r="D936" s="236"/>
      <c r="E936" s="236"/>
      <c r="F936" s="236"/>
      <c r="G936" s="236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</row>
    <row r="937" ht="14.25" customHeight="1">
      <c r="A937" s="235"/>
      <c r="B937" s="236"/>
      <c r="C937" s="236"/>
      <c r="D937" s="236"/>
      <c r="E937" s="236"/>
      <c r="F937" s="236"/>
      <c r="G937" s="236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</row>
    <row r="938" ht="14.25" customHeight="1">
      <c r="A938" s="235"/>
      <c r="B938" s="236"/>
      <c r="C938" s="236"/>
      <c r="D938" s="236"/>
      <c r="E938" s="236"/>
      <c r="F938" s="236"/>
      <c r="G938" s="236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</row>
    <row r="939" ht="14.25" customHeight="1">
      <c r="A939" s="235"/>
      <c r="B939" s="236"/>
      <c r="C939" s="236"/>
      <c r="D939" s="236"/>
      <c r="E939" s="236"/>
      <c r="F939" s="236"/>
      <c r="G939" s="236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</row>
    <row r="940" ht="14.25" customHeight="1">
      <c r="A940" s="235"/>
      <c r="B940" s="236"/>
      <c r="C940" s="236"/>
      <c r="D940" s="236"/>
      <c r="E940" s="236"/>
      <c r="F940" s="236"/>
      <c r="G940" s="236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</row>
    <row r="941" ht="14.25" customHeight="1">
      <c r="A941" s="235"/>
      <c r="B941" s="236"/>
      <c r="C941" s="236"/>
      <c r="D941" s="236"/>
      <c r="E941" s="236"/>
      <c r="F941" s="236"/>
      <c r="G941" s="236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</row>
    <row r="942" ht="14.25" customHeight="1">
      <c r="A942" s="235"/>
      <c r="B942" s="236"/>
      <c r="C942" s="236"/>
      <c r="D942" s="236"/>
      <c r="E942" s="236"/>
      <c r="F942" s="236"/>
      <c r="G942" s="236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</row>
    <row r="943" ht="14.25" customHeight="1">
      <c r="A943" s="235"/>
      <c r="B943" s="236"/>
      <c r="C943" s="236"/>
      <c r="D943" s="236"/>
      <c r="E943" s="236"/>
      <c r="F943" s="236"/>
      <c r="G943" s="236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</row>
    <row r="944" ht="14.25" customHeight="1">
      <c r="A944" s="235"/>
      <c r="B944" s="236"/>
      <c r="C944" s="236"/>
      <c r="D944" s="236"/>
      <c r="E944" s="236"/>
      <c r="F944" s="236"/>
      <c r="G944" s="236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</row>
    <row r="945" ht="14.25" customHeight="1">
      <c r="A945" s="235"/>
      <c r="B945" s="236"/>
      <c r="C945" s="236"/>
      <c r="D945" s="236"/>
      <c r="E945" s="236"/>
      <c r="F945" s="236"/>
      <c r="G945" s="236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</row>
    <row r="946" ht="14.25" customHeight="1">
      <c r="A946" s="235"/>
      <c r="B946" s="236"/>
      <c r="C946" s="236"/>
      <c r="D946" s="236"/>
      <c r="E946" s="236"/>
      <c r="F946" s="236"/>
      <c r="G946" s="236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</row>
    <row r="947" ht="14.25" customHeight="1">
      <c r="A947" s="235"/>
      <c r="B947" s="236"/>
      <c r="C947" s="236"/>
      <c r="D947" s="236"/>
      <c r="E947" s="236"/>
      <c r="F947" s="236"/>
      <c r="G947" s="236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</row>
    <row r="948" ht="14.25" customHeight="1">
      <c r="A948" s="235"/>
      <c r="B948" s="236"/>
      <c r="C948" s="236"/>
      <c r="D948" s="236"/>
      <c r="E948" s="236"/>
      <c r="F948" s="236"/>
      <c r="G948" s="236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</row>
    <row r="949" ht="14.25" customHeight="1">
      <c r="A949" s="235"/>
      <c r="B949" s="236"/>
      <c r="C949" s="236"/>
      <c r="D949" s="236"/>
      <c r="E949" s="236"/>
      <c r="F949" s="236"/>
      <c r="G949" s="236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</row>
    <row r="950" ht="14.25" customHeight="1">
      <c r="A950" s="235"/>
      <c r="B950" s="236"/>
      <c r="C950" s="236"/>
      <c r="D950" s="236"/>
      <c r="E950" s="236"/>
      <c r="F950" s="236"/>
      <c r="G950" s="236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</row>
    <row r="951" ht="14.25" customHeight="1">
      <c r="A951" s="235"/>
      <c r="B951" s="236"/>
      <c r="C951" s="236"/>
      <c r="D951" s="236"/>
      <c r="E951" s="236"/>
      <c r="F951" s="236"/>
      <c r="G951" s="236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</row>
    <row r="952" ht="14.25" customHeight="1">
      <c r="A952" s="235"/>
      <c r="B952" s="236"/>
      <c r="C952" s="236"/>
      <c r="D952" s="236"/>
      <c r="E952" s="236"/>
      <c r="F952" s="236"/>
      <c r="G952" s="236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</row>
    <row r="953" ht="14.25" customHeight="1">
      <c r="A953" s="235"/>
      <c r="B953" s="236"/>
      <c r="C953" s="236"/>
      <c r="D953" s="236"/>
      <c r="E953" s="236"/>
      <c r="F953" s="236"/>
      <c r="G953" s="236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</row>
    <row r="954" ht="14.25" customHeight="1">
      <c r="A954" s="235"/>
      <c r="B954" s="236"/>
      <c r="C954" s="236"/>
      <c r="D954" s="236"/>
      <c r="E954" s="236"/>
      <c r="F954" s="236"/>
      <c r="G954" s="236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</row>
    <row r="955" ht="14.25" customHeight="1">
      <c r="A955" s="235"/>
      <c r="B955" s="236"/>
      <c r="C955" s="236"/>
      <c r="D955" s="236"/>
      <c r="E955" s="236"/>
      <c r="F955" s="236"/>
      <c r="G955" s="236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</row>
    <row r="956" ht="14.25" customHeight="1">
      <c r="A956" s="235"/>
      <c r="B956" s="236"/>
      <c r="C956" s="236"/>
      <c r="D956" s="236"/>
      <c r="E956" s="236"/>
      <c r="F956" s="236"/>
      <c r="G956" s="236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</row>
    <row r="957" ht="14.25" customHeight="1">
      <c r="A957" s="235"/>
      <c r="B957" s="236"/>
      <c r="C957" s="236"/>
      <c r="D957" s="236"/>
      <c r="E957" s="236"/>
      <c r="F957" s="236"/>
      <c r="G957" s="236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</row>
    <row r="958" ht="14.25" customHeight="1">
      <c r="A958" s="235"/>
      <c r="B958" s="236"/>
      <c r="C958" s="236"/>
      <c r="D958" s="236"/>
      <c r="E958" s="236"/>
      <c r="F958" s="236"/>
      <c r="G958" s="236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</row>
    <row r="959" ht="14.25" customHeight="1">
      <c r="A959" s="235"/>
      <c r="B959" s="236"/>
      <c r="C959" s="236"/>
      <c r="D959" s="236"/>
      <c r="E959" s="236"/>
      <c r="F959" s="236"/>
      <c r="G959" s="236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</row>
    <row r="960" ht="14.25" customHeight="1">
      <c r="A960" s="235"/>
      <c r="B960" s="236"/>
      <c r="C960" s="236"/>
      <c r="D960" s="236"/>
      <c r="E960" s="236"/>
      <c r="F960" s="236"/>
      <c r="G960" s="236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</row>
    <row r="961" ht="14.25" customHeight="1">
      <c r="A961" s="235"/>
      <c r="B961" s="236"/>
      <c r="C961" s="236"/>
      <c r="D961" s="236"/>
      <c r="E961" s="236"/>
      <c r="F961" s="236"/>
      <c r="G961" s="236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</row>
    <row r="962" ht="14.25" customHeight="1">
      <c r="A962" s="235"/>
      <c r="B962" s="236"/>
      <c r="C962" s="236"/>
      <c r="D962" s="236"/>
      <c r="E962" s="236"/>
      <c r="F962" s="236"/>
      <c r="G962" s="236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</row>
    <row r="963" ht="14.25" customHeight="1">
      <c r="A963" s="235"/>
      <c r="B963" s="236"/>
      <c r="C963" s="236"/>
      <c r="D963" s="236"/>
      <c r="E963" s="236"/>
      <c r="F963" s="236"/>
      <c r="G963" s="236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</row>
    <row r="964" ht="14.25" customHeight="1">
      <c r="A964" s="235"/>
      <c r="B964" s="236"/>
      <c r="C964" s="236"/>
      <c r="D964" s="236"/>
      <c r="E964" s="236"/>
      <c r="F964" s="236"/>
      <c r="G964" s="236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</row>
    <row r="965" ht="14.25" customHeight="1">
      <c r="A965" s="235"/>
      <c r="B965" s="236"/>
      <c r="C965" s="236"/>
      <c r="D965" s="236"/>
      <c r="E965" s="236"/>
      <c r="F965" s="236"/>
      <c r="G965" s="236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</row>
    <row r="966" ht="14.25" customHeight="1">
      <c r="A966" s="235"/>
      <c r="B966" s="236"/>
      <c r="C966" s="236"/>
      <c r="D966" s="236"/>
      <c r="E966" s="236"/>
      <c r="F966" s="236"/>
      <c r="G966" s="236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</row>
    <row r="967" ht="14.25" customHeight="1">
      <c r="A967" s="235"/>
      <c r="B967" s="236"/>
      <c r="C967" s="236"/>
      <c r="D967" s="236"/>
      <c r="E967" s="236"/>
      <c r="F967" s="236"/>
      <c r="G967" s="236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</row>
    <row r="968" ht="14.25" customHeight="1">
      <c r="A968" s="235"/>
      <c r="B968" s="236"/>
      <c r="C968" s="236"/>
      <c r="D968" s="236"/>
      <c r="E968" s="236"/>
      <c r="F968" s="236"/>
      <c r="G968" s="236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  <c r="W968" s="235"/>
      <c r="X968" s="235"/>
      <c r="Y968" s="235"/>
      <c r="Z968" s="235"/>
    </row>
    <row r="969" ht="14.25" customHeight="1">
      <c r="A969" s="235"/>
      <c r="B969" s="236"/>
      <c r="C969" s="236"/>
      <c r="D969" s="236"/>
      <c r="E969" s="236"/>
      <c r="F969" s="236"/>
      <c r="G969" s="236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  <c r="W969" s="235"/>
      <c r="X969" s="235"/>
      <c r="Y969" s="235"/>
      <c r="Z969" s="235"/>
    </row>
    <row r="970" ht="14.25" customHeight="1">
      <c r="A970" s="235"/>
      <c r="B970" s="236"/>
      <c r="C970" s="236"/>
      <c r="D970" s="236"/>
      <c r="E970" s="236"/>
      <c r="F970" s="236"/>
      <c r="G970" s="236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  <c r="W970" s="235"/>
      <c r="X970" s="235"/>
      <c r="Y970" s="235"/>
      <c r="Z970" s="235"/>
    </row>
    <row r="971" ht="14.25" customHeight="1">
      <c r="A971" s="235"/>
      <c r="B971" s="236"/>
      <c r="C971" s="236"/>
      <c r="D971" s="236"/>
      <c r="E971" s="236"/>
      <c r="F971" s="236"/>
      <c r="G971" s="236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  <c r="W971" s="235"/>
      <c r="X971" s="235"/>
      <c r="Y971" s="235"/>
      <c r="Z971" s="235"/>
    </row>
    <row r="972" ht="14.25" customHeight="1">
      <c r="A972" s="235"/>
      <c r="B972" s="236"/>
      <c r="C972" s="236"/>
      <c r="D972" s="236"/>
      <c r="E972" s="236"/>
      <c r="F972" s="236"/>
      <c r="G972" s="236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  <c r="W972" s="235"/>
      <c r="X972" s="235"/>
      <c r="Y972" s="235"/>
      <c r="Z972" s="235"/>
    </row>
    <row r="973" ht="14.25" customHeight="1">
      <c r="A973" s="235"/>
      <c r="B973" s="236"/>
      <c r="C973" s="236"/>
      <c r="D973" s="236"/>
      <c r="E973" s="236"/>
      <c r="F973" s="236"/>
      <c r="G973" s="236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</row>
    <row r="974" ht="14.25" customHeight="1">
      <c r="A974" s="235"/>
      <c r="B974" s="236"/>
      <c r="C974" s="236"/>
      <c r="D974" s="236"/>
      <c r="E974" s="236"/>
      <c r="F974" s="236"/>
      <c r="G974" s="236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</row>
    <row r="975" ht="14.25" customHeight="1">
      <c r="A975" s="235"/>
      <c r="B975" s="236"/>
      <c r="C975" s="236"/>
      <c r="D975" s="236"/>
      <c r="E975" s="236"/>
      <c r="F975" s="236"/>
      <c r="G975" s="236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</row>
    <row r="976" ht="14.25" customHeight="1">
      <c r="A976" s="235"/>
      <c r="B976" s="236"/>
      <c r="C976" s="236"/>
      <c r="D976" s="236"/>
      <c r="E976" s="236"/>
      <c r="F976" s="236"/>
      <c r="G976" s="236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</row>
    <row r="977" ht="14.25" customHeight="1">
      <c r="A977" s="235"/>
      <c r="B977" s="236"/>
      <c r="C977" s="236"/>
      <c r="D977" s="236"/>
      <c r="E977" s="236"/>
      <c r="F977" s="236"/>
      <c r="G977" s="236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</row>
    <row r="978" ht="14.25" customHeight="1">
      <c r="A978" s="235"/>
      <c r="B978" s="236"/>
      <c r="C978" s="236"/>
      <c r="D978" s="236"/>
      <c r="E978" s="236"/>
      <c r="F978" s="236"/>
      <c r="G978" s="236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</row>
    <row r="979" ht="14.25" customHeight="1">
      <c r="A979" s="235"/>
      <c r="B979" s="236"/>
      <c r="C979" s="236"/>
      <c r="D979" s="236"/>
      <c r="E979" s="236"/>
      <c r="F979" s="236"/>
      <c r="G979" s="236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</row>
    <row r="980" ht="14.25" customHeight="1">
      <c r="A980" s="235"/>
      <c r="B980" s="236"/>
      <c r="C980" s="236"/>
      <c r="D980" s="236"/>
      <c r="E980" s="236"/>
      <c r="F980" s="236"/>
      <c r="G980" s="236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</row>
    <row r="981" ht="14.25" customHeight="1">
      <c r="A981" s="235"/>
      <c r="B981" s="236"/>
      <c r="C981" s="236"/>
      <c r="D981" s="236"/>
      <c r="E981" s="236"/>
      <c r="F981" s="236"/>
      <c r="G981" s="236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</row>
    <row r="982" ht="14.25" customHeight="1">
      <c r="A982" s="235"/>
      <c r="B982" s="236"/>
      <c r="C982" s="236"/>
      <c r="D982" s="236"/>
      <c r="E982" s="236"/>
      <c r="F982" s="236"/>
      <c r="G982" s="236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  <c r="W982" s="235"/>
      <c r="X982" s="235"/>
      <c r="Y982" s="235"/>
      <c r="Z982" s="235"/>
    </row>
    <row r="983" ht="14.25" customHeight="1">
      <c r="A983" s="235"/>
      <c r="B983" s="236"/>
      <c r="C983" s="236"/>
      <c r="D983" s="236"/>
      <c r="E983" s="236"/>
      <c r="F983" s="236"/>
      <c r="G983" s="236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35"/>
      <c r="W983" s="235"/>
      <c r="X983" s="235"/>
      <c r="Y983" s="235"/>
      <c r="Z983" s="235"/>
    </row>
    <row r="984" ht="14.25" customHeight="1">
      <c r="A984" s="235"/>
      <c r="B984" s="236"/>
      <c r="C984" s="236"/>
      <c r="D984" s="236"/>
      <c r="E984" s="236"/>
      <c r="F984" s="236"/>
      <c r="G984" s="236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</row>
    <row r="985" ht="14.25" customHeight="1">
      <c r="A985" s="235"/>
      <c r="B985" s="236"/>
      <c r="C985" s="236"/>
      <c r="D985" s="236"/>
      <c r="E985" s="236"/>
      <c r="F985" s="236"/>
      <c r="G985" s="236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35"/>
      <c r="W985" s="235"/>
      <c r="X985" s="235"/>
      <c r="Y985" s="235"/>
      <c r="Z985" s="235"/>
    </row>
    <row r="986" ht="14.25" customHeight="1">
      <c r="A986" s="235"/>
      <c r="B986" s="236"/>
      <c r="C986" s="236"/>
      <c r="D986" s="236"/>
      <c r="E986" s="236"/>
      <c r="F986" s="236"/>
      <c r="G986" s="236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35"/>
      <c r="W986" s="235"/>
      <c r="X986" s="235"/>
      <c r="Y986" s="235"/>
      <c r="Z986" s="235"/>
    </row>
    <row r="987" ht="14.25" customHeight="1">
      <c r="A987" s="235"/>
      <c r="B987" s="236"/>
      <c r="C987" s="236"/>
      <c r="D987" s="236"/>
      <c r="E987" s="236"/>
      <c r="F987" s="236"/>
      <c r="G987" s="236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35"/>
      <c r="W987" s="235"/>
      <c r="X987" s="235"/>
      <c r="Y987" s="235"/>
      <c r="Z987" s="235"/>
    </row>
    <row r="988" ht="14.25" customHeight="1">
      <c r="A988" s="235"/>
      <c r="B988" s="236"/>
      <c r="C988" s="236"/>
      <c r="D988" s="236"/>
      <c r="E988" s="236"/>
      <c r="F988" s="236"/>
      <c r="G988" s="236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35"/>
      <c r="W988" s="235"/>
      <c r="X988" s="235"/>
      <c r="Y988" s="235"/>
      <c r="Z988" s="235"/>
    </row>
    <row r="989" ht="14.25" customHeight="1">
      <c r="A989" s="235"/>
      <c r="B989" s="236"/>
      <c r="C989" s="236"/>
      <c r="D989" s="236"/>
      <c r="E989" s="236"/>
      <c r="F989" s="236"/>
      <c r="G989" s="236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35"/>
      <c r="W989" s="235"/>
      <c r="X989" s="235"/>
      <c r="Y989" s="235"/>
      <c r="Z989" s="235"/>
    </row>
    <row r="990" ht="14.25" customHeight="1">
      <c r="A990" s="235"/>
      <c r="B990" s="236"/>
      <c r="C990" s="236"/>
      <c r="D990" s="236"/>
      <c r="E990" s="236"/>
      <c r="F990" s="236"/>
      <c r="G990" s="236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35"/>
      <c r="W990" s="235"/>
      <c r="X990" s="235"/>
      <c r="Y990" s="235"/>
      <c r="Z990" s="235"/>
    </row>
    <row r="991" ht="14.25" customHeight="1">
      <c r="A991" s="235"/>
      <c r="B991" s="236"/>
      <c r="C991" s="236"/>
      <c r="D991" s="236"/>
      <c r="E991" s="236"/>
      <c r="F991" s="236"/>
      <c r="G991" s="236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35"/>
      <c r="W991" s="235"/>
      <c r="X991" s="235"/>
      <c r="Y991" s="235"/>
      <c r="Z991" s="235"/>
    </row>
    <row r="992" ht="14.25" customHeight="1">
      <c r="A992" s="235"/>
      <c r="B992" s="236"/>
      <c r="C992" s="236"/>
      <c r="D992" s="236"/>
      <c r="E992" s="236"/>
      <c r="F992" s="236"/>
      <c r="G992" s="236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35"/>
      <c r="W992" s="235"/>
      <c r="X992" s="235"/>
      <c r="Y992" s="235"/>
      <c r="Z992" s="235"/>
    </row>
    <row r="993" ht="14.25" customHeight="1">
      <c r="A993" s="235"/>
      <c r="B993" s="236"/>
      <c r="C993" s="236"/>
      <c r="D993" s="236"/>
      <c r="E993" s="236"/>
      <c r="F993" s="236"/>
      <c r="G993" s="236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35"/>
      <c r="W993" s="235"/>
      <c r="X993" s="235"/>
      <c r="Y993" s="235"/>
      <c r="Z993" s="235"/>
    </row>
    <row r="994" ht="14.25" customHeight="1">
      <c r="A994" s="235"/>
      <c r="B994" s="236"/>
      <c r="C994" s="236"/>
      <c r="D994" s="236"/>
      <c r="E994" s="236"/>
      <c r="F994" s="236"/>
      <c r="G994" s="236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35"/>
      <c r="W994" s="235"/>
      <c r="X994" s="235"/>
      <c r="Y994" s="235"/>
      <c r="Z994" s="235"/>
    </row>
    <row r="995" ht="14.25" customHeight="1">
      <c r="A995" s="235"/>
      <c r="B995" s="236"/>
      <c r="C995" s="236"/>
      <c r="D995" s="236"/>
      <c r="E995" s="236"/>
      <c r="F995" s="236"/>
      <c r="G995" s="236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35"/>
      <c r="W995" s="235"/>
      <c r="X995" s="235"/>
      <c r="Y995" s="235"/>
      <c r="Z995" s="235"/>
    </row>
    <row r="996" ht="14.25" customHeight="1">
      <c r="A996" s="235"/>
      <c r="B996" s="236"/>
      <c r="C996" s="236"/>
      <c r="D996" s="236"/>
      <c r="E996" s="236"/>
      <c r="F996" s="236"/>
      <c r="G996" s="236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35"/>
      <c r="W996" s="235"/>
      <c r="X996" s="235"/>
      <c r="Y996" s="235"/>
      <c r="Z996" s="235"/>
    </row>
    <row r="997" ht="14.25" customHeight="1">
      <c r="A997" s="235"/>
      <c r="B997" s="236"/>
      <c r="C997" s="236"/>
      <c r="D997" s="236"/>
      <c r="E997" s="236"/>
      <c r="F997" s="236"/>
      <c r="G997" s="236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35"/>
      <c r="W997" s="235"/>
      <c r="X997" s="235"/>
      <c r="Y997" s="235"/>
      <c r="Z997" s="235"/>
    </row>
    <row r="998" ht="14.25" customHeight="1">
      <c r="A998" s="235"/>
      <c r="B998" s="236"/>
      <c r="C998" s="236"/>
      <c r="D998" s="236"/>
      <c r="E998" s="236"/>
      <c r="F998" s="236"/>
      <c r="G998" s="236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35"/>
      <c r="W998" s="235"/>
      <c r="X998" s="235"/>
      <c r="Y998" s="235"/>
      <c r="Z998" s="235"/>
    </row>
    <row r="999" ht="14.25" customHeight="1">
      <c r="A999" s="235"/>
      <c r="B999" s="236"/>
      <c r="C999" s="236"/>
      <c r="D999" s="236"/>
      <c r="E999" s="236"/>
      <c r="F999" s="236"/>
      <c r="G999" s="236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35"/>
      <c r="W999" s="235"/>
      <c r="X999" s="235"/>
      <c r="Y999" s="235"/>
      <c r="Z999" s="235"/>
    </row>
    <row r="1000" ht="14.25" customHeight="1">
      <c r="A1000" s="235"/>
      <c r="B1000" s="236"/>
      <c r="C1000" s="236"/>
      <c r="D1000" s="236"/>
      <c r="E1000" s="236"/>
      <c r="F1000" s="236"/>
      <c r="G1000" s="236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35"/>
      <c r="W1000" s="235"/>
      <c r="X1000" s="235"/>
      <c r="Y1000" s="235"/>
      <c r="Z1000" s="235"/>
    </row>
  </sheetData>
  <autoFilter ref="$B$3:$H$147"/>
  <dataValidations>
    <dataValidation type="list" allowBlank="1" showErrorMessage="1" sqref="G4:G126">
      <formula1>"AT MATURITY,SINKABLE,CALL/SINK"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9.43"/>
    <col customWidth="1" min="3" max="3" width="9.57"/>
    <col customWidth="1" min="4" max="4" width="15.71"/>
    <col customWidth="1" min="5" max="5" width="24.43"/>
    <col customWidth="1" min="6" max="6" width="16.14"/>
    <col customWidth="1" min="7" max="7" width="12.14"/>
    <col customWidth="1" min="8" max="8" width="15.57"/>
    <col customWidth="1" min="9" max="26" width="8.86"/>
  </cols>
  <sheetData>
    <row r="1" ht="12.0" customHeigh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12.0" customHeight="1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12.0" customHeight="1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ht="12.0" customHeight="1">
      <c r="A4" s="245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ht="12.0" customHeight="1">
      <c r="A5" s="245"/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ht="12.0" customHeight="1">
      <c r="A6" s="245"/>
      <c r="B6" s="245" t="s">
        <v>368</v>
      </c>
      <c r="C6" s="245" t="s">
        <v>369</v>
      </c>
      <c r="D6" s="245" t="s">
        <v>370</v>
      </c>
      <c r="E6" s="245" t="s">
        <v>58</v>
      </c>
      <c r="F6" s="245" t="s">
        <v>371</v>
      </c>
      <c r="G6" s="245" t="s">
        <v>23</v>
      </c>
      <c r="H6" s="245" t="s">
        <v>372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ht="12.0" customHeight="1">
      <c r="A7" s="245"/>
      <c r="B7" s="246">
        <v>44231.0</v>
      </c>
      <c r="C7" s="246">
        <v>44231.0</v>
      </c>
      <c r="D7" s="245" t="s">
        <v>373</v>
      </c>
      <c r="E7" s="245" t="s">
        <v>374</v>
      </c>
      <c r="F7" s="245" t="s">
        <v>375</v>
      </c>
      <c r="G7" s="245" t="s">
        <v>376</v>
      </c>
      <c r="H7" s="247">
        <v>8000000.0</v>
      </c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12.0" customHeight="1">
      <c r="A8" s="245"/>
      <c r="B8" s="246">
        <v>44257.0</v>
      </c>
      <c r="C8" s="246">
        <v>44257.0</v>
      </c>
      <c r="D8" s="245" t="s">
        <v>373</v>
      </c>
      <c r="E8" s="245" t="s">
        <v>374</v>
      </c>
      <c r="F8" s="245" t="s">
        <v>367</v>
      </c>
      <c r="G8" s="245" t="s">
        <v>377</v>
      </c>
      <c r="H8" s="247">
        <v>400000.0</v>
      </c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ht="12.0" customHeight="1">
      <c r="A9" s="245"/>
      <c r="B9" s="246">
        <v>44263.0</v>
      </c>
      <c r="C9" s="246">
        <v>44264.0</v>
      </c>
      <c r="D9" s="245" t="s">
        <v>373</v>
      </c>
      <c r="E9" s="245" t="s">
        <v>374</v>
      </c>
      <c r="F9" s="245" t="s">
        <v>378</v>
      </c>
      <c r="G9" s="245" t="s">
        <v>379</v>
      </c>
      <c r="H9" s="247">
        <v>1.0E7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ht="12.0" customHeight="1">
      <c r="A10" s="245"/>
      <c r="B10" s="246"/>
      <c r="C10" s="246"/>
      <c r="D10" s="245"/>
      <c r="E10" s="245"/>
      <c r="F10" s="245"/>
      <c r="G10" s="245"/>
      <c r="H10" s="247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2.0" customHeight="1">
      <c r="A11" s="245"/>
      <c r="B11" s="246"/>
      <c r="C11" s="246"/>
      <c r="D11" s="245"/>
      <c r="E11" s="245"/>
      <c r="F11" s="245"/>
      <c r="G11" s="245"/>
      <c r="H11" s="247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ht="12.0" customHeight="1">
      <c r="A12" s="245"/>
      <c r="B12" s="246"/>
      <c r="C12" s="246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ht="12.0" customHeight="1">
      <c r="A13" s="245"/>
      <c r="B13" s="246"/>
      <c r="C13" s="246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ht="12.0" customHeight="1">
      <c r="A14" s="245"/>
      <c r="B14" s="246"/>
      <c r="C14" s="246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ht="12.0" customHeight="1">
      <c r="A15" s="245"/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ht="12.0" customHeight="1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ht="12.0" customHeight="1">
      <c r="A17" s="245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ht="12.0" customHeight="1">
      <c r="A18" s="245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ht="12.0" customHeight="1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ht="12.0" customHeight="1">
      <c r="A20" s="245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ht="12.0" customHeight="1">
      <c r="A21" s="245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ht="12.0" customHeight="1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ht="12.0" customHeight="1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ht="12.0" customHeight="1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ht="12.0" customHeight="1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ht="12.0" customHeight="1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ht="12.0" customHeight="1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ht="12.0" customHeight="1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ht="12.0" customHeight="1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ht="12.0" customHeight="1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ht="12.0" customHeight="1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ht="12.0" customHeight="1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ht="12.0" customHeight="1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ht="12.0" customHeight="1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ht="12.0" customHeight="1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ht="12.0" customHeight="1">
      <c r="A36" s="24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ht="12.0" customHeight="1">
      <c r="A37" s="245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ht="12.0" customHeight="1">
      <c r="A38" s="245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ht="12.0" customHeight="1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ht="12.0" customHeight="1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ht="12.0" customHeight="1">
      <c r="A41" s="245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ht="12.0" customHeight="1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ht="12.0" customHeight="1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ht="12.0" customHeight="1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ht="12.0" customHeight="1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ht="12.0" customHeight="1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ht="12.0" customHeight="1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ht="12.0" customHeight="1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ht="12.0" customHeight="1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ht="12.0" customHeight="1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ht="12.0" customHeight="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ht="12.0" customHeight="1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ht="12.0" customHeight="1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ht="12.0" customHeight="1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ht="12.0" customHeight="1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ht="12.0" customHeight="1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ht="12.0" customHeight="1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ht="12.0" customHeight="1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ht="12.0" customHeight="1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ht="12.0" customHeight="1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ht="12.0" customHeight="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ht="12.0" customHeight="1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ht="12.0" customHeight="1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ht="12.0" customHeight="1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ht="12.0" customHeight="1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ht="12.0" customHeight="1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ht="12.0" customHeight="1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ht="12.0" customHeight="1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ht="12.0" customHeight="1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ht="12.0" customHeight="1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ht="12.0" customHeight="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ht="12.0" customHeight="1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ht="12.0" customHeight="1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ht="12.0" customHeight="1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ht="12.0" customHeight="1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ht="12.0" customHeight="1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ht="12.0" customHeight="1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ht="12.0" customHeight="1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ht="12.0" customHeight="1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ht="12.0" customHeight="1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ht="12.0" customHeight="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ht="12.0" customHeight="1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ht="12.0" customHeight="1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ht="12.0" customHeight="1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ht="12.0" customHeight="1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ht="12.0" customHeight="1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ht="12.0" customHeight="1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ht="12.0" customHeight="1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ht="12.0" customHeight="1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ht="12.0" customHeight="1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ht="12.0" customHeight="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ht="12.0" customHeight="1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ht="12.0" customHeight="1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ht="12.0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ht="12.0" customHeight="1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ht="12.0" customHeight="1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ht="12.0" customHeight="1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ht="12.0" customHeight="1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ht="12.0" customHeight="1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ht="12.0" customHeight="1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ht="12.0" customHeight="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ht="12.0" customHeight="1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ht="12.0" customHeight="1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ht="12.0" customHeight="1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ht="12.0" customHeight="1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ht="12.0" customHeight="1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ht="12.0" customHeight="1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ht="12.0" customHeight="1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ht="12.0" customHeight="1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ht="12.0" customHeight="1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ht="12.0" customHeight="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ht="12.0" customHeight="1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ht="12.0" customHeight="1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ht="12.0" customHeight="1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ht="12.0" customHeight="1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ht="12.0" customHeight="1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ht="12.0" customHeight="1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ht="12.0" customHeight="1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ht="12.0" customHeight="1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ht="12.0" customHeight="1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ht="12.0" customHeight="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ht="12.0" customHeight="1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ht="12.0" customHeight="1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ht="12.0" customHeight="1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ht="12.0" customHeight="1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ht="12.0" customHeight="1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ht="12.0" customHeight="1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ht="12.0" customHeight="1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ht="12.0" customHeight="1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ht="12.0" customHeight="1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ht="12.0" customHeight="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ht="12.0" customHeight="1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ht="12.0" customHeight="1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ht="12.0" customHeight="1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ht="12.0" customHeight="1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ht="12.0" customHeight="1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ht="12.0" customHeight="1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ht="12.0" customHeight="1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ht="12.0" customHeight="1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ht="12.0" customHeight="1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ht="12.0" customHeight="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ht="12.0" customHeight="1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ht="12.0" customHeight="1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ht="12.0" customHeight="1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ht="12.0" customHeight="1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ht="12.0" customHeight="1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ht="12.0" customHeight="1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ht="12.0" customHeight="1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ht="12.0" customHeight="1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ht="12.0" customHeight="1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ht="12.0" customHeight="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ht="12.0" customHeight="1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ht="12.0" customHeight="1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ht="12.0" customHeight="1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ht="12.0" customHeight="1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ht="12.0" customHeight="1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ht="12.0" customHeight="1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ht="12.0" customHeight="1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ht="12.0" customHeight="1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ht="12.0" customHeight="1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ht="12.0" customHeight="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ht="12.0" customHeight="1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ht="12.0" customHeight="1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ht="12.0" customHeight="1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ht="12.0" customHeight="1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ht="12.0" customHeight="1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ht="12.0" customHeight="1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ht="12.0" customHeight="1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ht="12.0" customHeight="1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ht="12.0" customHeight="1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ht="12.0" customHeight="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ht="12.0" customHeight="1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ht="12.0" customHeight="1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ht="12.0" customHeight="1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ht="12.0" customHeight="1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ht="12.0" customHeight="1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ht="12.0" customHeight="1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ht="12.0" customHeight="1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ht="12.0" customHeight="1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ht="12.0" customHeight="1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ht="12.0" customHeight="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ht="12.0" customHeight="1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ht="12.0" customHeight="1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ht="12.0" customHeight="1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ht="12.0" customHeight="1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ht="12.0" customHeight="1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ht="12.0" customHeight="1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ht="12.0" customHeight="1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ht="12.0" customHeight="1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ht="12.0" customHeight="1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ht="12.0" customHeight="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ht="12.0" customHeight="1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ht="12.0" customHeight="1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ht="12.0" customHeight="1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ht="12.0" customHeight="1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ht="12.0" customHeight="1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ht="12.0" customHeight="1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ht="12.0" customHeight="1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ht="12.0" customHeight="1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ht="12.0" customHeight="1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ht="12.0" customHeight="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ht="12.0" customHeight="1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ht="12.0" customHeight="1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ht="12.0" customHeight="1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ht="12.0" customHeight="1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ht="12.0" customHeight="1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ht="12.0" customHeight="1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ht="12.0" customHeight="1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ht="12.0" customHeight="1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ht="12.0" customHeight="1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ht="12.0" customHeight="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ht="12.0" customHeight="1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ht="12.0" customHeight="1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ht="12.0" customHeight="1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ht="12.0" customHeight="1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ht="12.0" customHeight="1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ht="12.0" customHeight="1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ht="12.0" customHeight="1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ht="12.0" customHeight="1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ht="12.0" customHeight="1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ht="12.0" customHeight="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ht="12.0" customHeight="1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ht="12.0" customHeight="1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ht="12.0" customHeight="1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ht="12.0" customHeight="1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ht="12.0" customHeight="1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ht="12.0" customHeight="1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ht="12.0" customHeight="1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ht="12.0" customHeight="1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ht="12.0" customHeight="1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ht="12.0" customHeight="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ht="12.0" customHeight="1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ht="12.0" customHeight="1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ht="12.0" customHeight="1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ht="12.0" customHeight="1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ht="12.0" customHeight="1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ht="12.0" customHeight="1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ht="12.0" customHeight="1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ht="12.0" customHeight="1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ht="12.0" customHeight="1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ht="12.0" customHeight="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ht="12.0" customHeight="1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ht="12.0" customHeight="1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ht="12.0" customHeight="1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ht="12.0" customHeight="1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ht="12.0" customHeight="1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ht="12.0" customHeight="1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ht="12.0" customHeight="1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ht="12.0" customHeight="1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ht="12.0" customHeight="1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ht="12.0" customHeight="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ht="12.0" customHeight="1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ht="12.0" customHeight="1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ht="12.0" customHeight="1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ht="12.0" customHeight="1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ht="12.0" customHeight="1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ht="12.0" customHeight="1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ht="12.0" customHeight="1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ht="12.0" customHeight="1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ht="12.0" customHeight="1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ht="12.0" customHeight="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ht="12.0" customHeight="1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ht="12.0" customHeight="1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ht="12.0" customHeight="1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ht="12.0" customHeight="1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ht="12.0" customHeight="1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ht="12.0" customHeight="1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ht="12.0" customHeight="1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ht="12.0" customHeight="1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ht="12.0" customHeight="1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ht="12.0" customHeight="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ht="12.0" customHeight="1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ht="12.0" customHeight="1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ht="12.0" customHeight="1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ht="12.0" customHeight="1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ht="12.0" customHeight="1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ht="12.0" customHeight="1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ht="12.0" customHeight="1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ht="12.0" customHeight="1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ht="12.0" customHeight="1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ht="12.0" customHeight="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ht="12.0" customHeight="1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ht="12.0" customHeight="1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ht="12.0" customHeight="1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ht="12.0" customHeight="1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ht="12.0" customHeight="1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ht="12.0" customHeight="1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ht="12.0" customHeight="1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ht="12.0" customHeight="1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ht="12.0" customHeight="1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ht="12.0" customHeight="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ht="12.0" customHeight="1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ht="12.0" customHeight="1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ht="12.0" customHeight="1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ht="12.0" customHeight="1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ht="12.0" customHeight="1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ht="12.0" customHeight="1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ht="12.0" customHeight="1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ht="12.0" customHeight="1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ht="12.0" customHeight="1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ht="12.0" customHeight="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ht="12.0" customHeight="1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ht="12.0" customHeight="1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ht="12.0" customHeight="1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ht="12.0" customHeight="1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ht="12.0" customHeight="1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ht="12.0" customHeight="1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ht="12.0" customHeight="1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ht="12.0" customHeight="1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ht="12.0" customHeight="1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ht="12.0" customHeight="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ht="12.0" customHeight="1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ht="12.0" customHeight="1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ht="12.0" customHeight="1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ht="12.0" customHeight="1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ht="12.0" customHeight="1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ht="12.0" customHeight="1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ht="12.0" customHeight="1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ht="12.0" customHeight="1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ht="12.0" customHeight="1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ht="12.0" customHeight="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ht="12.0" customHeight="1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ht="12.0" customHeight="1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ht="12.0" customHeight="1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ht="12.0" customHeight="1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ht="12.0" customHeight="1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ht="12.0" customHeight="1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ht="12.0" customHeight="1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ht="12.0" customHeight="1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ht="12.0" customHeight="1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ht="12.0" customHeight="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ht="12.0" customHeight="1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ht="12.0" customHeight="1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ht="12.0" customHeight="1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ht="12.0" customHeight="1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ht="12.0" customHeight="1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ht="12.0" customHeight="1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ht="12.0" customHeight="1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ht="12.0" customHeight="1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ht="12.0" customHeight="1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ht="12.0" customHeight="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ht="12.0" customHeight="1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ht="12.0" customHeight="1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ht="12.0" customHeight="1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ht="12.0" customHeight="1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ht="12.0" customHeight="1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ht="12.0" customHeight="1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ht="12.0" customHeight="1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ht="12.0" customHeight="1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ht="12.0" customHeight="1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ht="12.0" customHeight="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ht="12.0" customHeight="1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ht="12.0" customHeight="1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ht="12.0" customHeight="1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ht="12.0" customHeight="1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ht="12.0" customHeight="1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ht="12.0" customHeight="1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ht="12.0" customHeight="1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ht="12.0" customHeight="1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ht="12.0" customHeight="1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ht="12.0" customHeight="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ht="12.0" customHeight="1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ht="12.0" customHeight="1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ht="12.0" customHeight="1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ht="12.0" customHeight="1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ht="12.0" customHeight="1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ht="12.0" customHeight="1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ht="12.0" customHeight="1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ht="12.0" customHeight="1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ht="12.0" customHeight="1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ht="12.0" customHeight="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ht="12.0" customHeight="1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ht="12.0" customHeight="1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ht="12.0" customHeight="1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ht="12.0" customHeight="1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ht="12.0" customHeight="1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ht="12.0" customHeight="1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ht="12.0" customHeight="1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ht="12.0" customHeight="1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ht="12.0" customHeight="1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ht="12.0" customHeight="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ht="12.0" customHeight="1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ht="12.0" customHeight="1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ht="12.0" customHeight="1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ht="12.0" customHeight="1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ht="12.0" customHeight="1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ht="12.0" customHeight="1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ht="12.0" customHeight="1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ht="12.0" customHeight="1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ht="12.0" customHeight="1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ht="12.0" customHeight="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ht="12.0" customHeight="1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ht="12.0" customHeight="1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ht="12.0" customHeight="1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ht="12.0" customHeight="1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ht="12.0" customHeight="1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ht="12.0" customHeight="1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ht="12.0" customHeight="1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ht="12.0" customHeight="1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ht="12.0" customHeight="1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ht="12.0" customHeight="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ht="12.0" customHeight="1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ht="12.0" customHeight="1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ht="12.0" customHeight="1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ht="12.0" customHeight="1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ht="12.0" customHeight="1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ht="12.0" customHeight="1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ht="12.0" customHeight="1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ht="12.0" customHeight="1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ht="12.0" customHeight="1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ht="12.0" customHeight="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ht="12.0" customHeight="1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ht="12.0" customHeight="1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ht="12.0" customHeight="1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ht="12.0" customHeight="1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ht="12.0" customHeight="1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ht="12.0" customHeight="1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ht="12.0" customHeight="1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ht="12.0" customHeight="1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ht="12.0" customHeight="1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ht="12.0" customHeight="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ht="12.0" customHeight="1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ht="12.0" customHeight="1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ht="12.0" customHeight="1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ht="12.0" customHeight="1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ht="12.0" customHeight="1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ht="12.0" customHeight="1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ht="12.0" customHeight="1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ht="12.0" customHeight="1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ht="12.0" customHeight="1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ht="12.0" customHeight="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ht="12.0" customHeight="1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ht="12.0" customHeight="1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ht="12.0" customHeight="1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ht="12.0" customHeight="1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ht="12.0" customHeight="1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ht="12.0" customHeight="1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ht="12.0" customHeight="1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ht="12.0" customHeight="1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ht="12.0" customHeight="1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ht="12.0" customHeight="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ht="12.0" customHeight="1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ht="12.0" customHeight="1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ht="12.0" customHeight="1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ht="12.0" customHeight="1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ht="12.0" customHeight="1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ht="12.0" customHeight="1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ht="12.0" customHeight="1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ht="12.0" customHeight="1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ht="12.0" customHeight="1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ht="12.0" customHeight="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ht="12.0" customHeight="1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ht="12.0" customHeight="1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ht="12.0" customHeight="1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ht="12.0" customHeight="1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ht="12.0" customHeight="1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ht="12.0" customHeight="1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ht="12.0" customHeight="1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ht="12.0" customHeight="1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ht="12.0" customHeight="1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ht="12.0" customHeight="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ht="12.0" customHeight="1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ht="12.0" customHeight="1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ht="12.0" customHeight="1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ht="12.0" customHeight="1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ht="12.0" customHeight="1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ht="12.0" customHeight="1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ht="12.0" customHeight="1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ht="12.0" customHeight="1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ht="12.0" customHeight="1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ht="12.0" customHeight="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ht="12.0" customHeight="1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ht="12.0" customHeight="1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ht="12.0" customHeight="1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ht="12.0" customHeight="1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ht="12.0" customHeight="1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ht="12.0" customHeight="1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ht="12.0" customHeight="1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ht="12.0" customHeight="1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ht="12.0" customHeight="1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ht="12.0" customHeight="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ht="12.0" customHeight="1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ht="12.0" customHeight="1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ht="12.0" customHeight="1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ht="12.0" customHeight="1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ht="12.0" customHeight="1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ht="12.0" customHeight="1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ht="12.0" customHeight="1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ht="12.0" customHeight="1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ht="12.0" customHeight="1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ht="12.0" customHeight="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ht="12.0" customHeight="1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ht="12.0" customHeight="1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ht="12.0" customHeight="1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ht="12.0" customHeight="1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ht="12.0" customHeight="1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ht="12.0" customHeight="1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ht="12.0" customHeight="1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ht="12.0" customHeight="1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ht="12.0" customHeight="1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ht="12.0" customHeight="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ht="12.0" customHeight="1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ht="12.0" customHeight="1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ht="12.0" customHeight="1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ht="12.0" customHeight="1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ht="12.0" customHeight="1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ht="12.0" customHeight="1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ht="12.0" customHeight="1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ht="12.0" customHeight="1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ht="12.0" customHeight="1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ht="12.0" customHeight="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ht="12.0" customHeight="1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ht="12.0" customHeight="1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ht="12.0" customHeight="1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ht="12.0" customHeight="1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ht="12.0" customHeight="1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ht="12.0" customHeight="1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ht="12.0" customHeight="1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ht="12.0" customHeight="1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ht="12.0" customHeight="1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ht="12.0" customHeight="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ht="12.0" customHeight="1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ht="12.0" customHeight="1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ht="12.0" customHeight="1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ht="12.0" customHeight="1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ht="12.0" customHeight="1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ht="12.0" customHeight="1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ht="12.0" customHeight="1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ht="12.0" customHeight="1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ht="12.0" customHeight="1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ht="12.0" customHeight="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ht="12.0" customHeight="1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ht="12.0" customHeight="1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ht="12.0" customHeight="1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ht="12.0" customHeight="1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ht="12.0" customHeight="1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ht="12.0" customHeight="1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ht="12.0" customHeight="1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ht="12.0" customHeight="1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ht="12.0" customHeight="1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ht="12.0" customHeight="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ht="12.0" customHeight="1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ht="12.0" customHeight="1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ht="12.0" customHeight="1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ht="12.0" customHeight="1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ht="12.0" customHeight="1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ht="12.0" customHeight="1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ht="12.0" customHeight="1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ht="12.0" customHeight="1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ht="12.0" customHeight="1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ht="12.0" customHeight="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ht="12.0" customHeight="1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ht="12.0" customHeight="1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ht="12.0" customHeight="1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ht="12.0" customHeight="1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ht="12.0" customHeight="1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ht="12.0" customHeight="1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ht="12.0" customHeight="1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ht="12.0" customHeight="1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ht="12.0" customHeight="1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ht="12.0" customHeight="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ht="12.0" customHeight="1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ht="12.0" customHeight="1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ht="12.0" customHeight="1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ht="12.0" customHeight="1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ht="12.0" customHeight="1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ht="12.0" customHeight="1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ht="12.0" customHeight="1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ht="12.0" customHeight="1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ht="12.0" customHeight="1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ht="12.0" customHeight="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ht="12.0" customHeight="1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ht="12.0" customHeight="1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ht="12.0" customHeight="1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ht="12.0" customHeight="1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ht="12.0" customHeight="1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ht="12.0" customHeight="1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ht="12.0" customHeight="1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ht="12.0" customHeight="1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ht="12.0" customHeight="1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ht="12.0" customHeight="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ht="12.0" customHeight="1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ht="12.0" customHeight="1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ht="12.0" customHeight="1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ht="12.0" customHeight="1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ht="12.0" customHeight="1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ht="12.0" customHeight="1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ht="12.0" customHeight="1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ht="12.0" customHeight="1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ht="12.0" customHeight="1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ht="12.0" customHeight="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ht="12.0" customHeight="1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ht="12.0" customHeight="1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ht="12.0" customHeight="1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ht="12.0" customHeight="1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ht="12.0" customHeight="1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ht="12.0" customHeight="1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ht="12.0" customHeight="1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ht="12.0" customHeight="1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ht="12.0" customHeight="1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ht="12.0" customHeight="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ht="12.0" customHeight="1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ht="12.0" customHeight="1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ht="12.0" customHeight="1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ht="12.0" customHeight="1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ht="12.0" customHeight="1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ht="12.0" customHeight="1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ht="12.0" customHeight="1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ht="12.0" customHeight="1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ht="12.0" customHeight="1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ht="12.0" customHeight="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ht="12.0" customHeight="1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ht="12.0" customHeight="1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ht="12.0" customHeight="1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ht="12.0" customHeight="1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ht="12.0" customHeight="1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ht="12.0" customHeight="1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ht="12.0" customHeight="1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ht="12.0" customHeight="1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ht="12.0" customHeight="1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ht="12.0" customHeight="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ht="12.0" customHeight="1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ht="12.0" customHeight="1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ht="12.0" customHeight="1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ht="12.0" customHeight="1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ht="12.0" customHeight="1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ht="12.0" customHeight="1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ht="12.0" customHeight="1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ht="12.0" customHeight="1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ht="12.0" customHeight="1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ht="12.0" customHeight="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ht="12.0" customHeight="1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ht="12.0" customHeight="1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ht="12.0" customHeight="1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ht="12.0" customHeight="1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ht="12.0" customHeight="1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ht="12.0" customHeight="1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ht="12.0" customHeight="1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ht="12.0" customHeight="1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ht="12.0" customHeight="1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ht="12.0" customHeight="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ht="12.0" customHeight="1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ht="12.0" customHeight="1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ht="12.0" customHeight="1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ht="12.0" customHeight="1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ht="12.0" customHeight="1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ht="12.0" customHeight="1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ht="12.0" customHeight="1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ht="12.0" customHeight="1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ht="12.0" customHeight="1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ht="12.0" customHeight="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ht="12.0" customHeight="1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ht="12.0" customHeight="1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ht="12.0" customHeight="1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ht="12.0" customHeight="1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ht="12.0" customHeight="1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ht="12.0" customHeight="1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ht="12.0" customHeight="1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ht="12.0" customHeight="1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ht="12.0" customHeight="1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ht="12.0" customHeight="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ht="12.0" customHeight="1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ht="12.0" customHeight="1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ht="12.0" customHeight="1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ht="12.0" customHeight="1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ht="12.0" customHeight="1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ht="12.0" customHeight="1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ht="12.0" customHeight="1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ht="12.0" customHeight="1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ht="12.0" customHeight="1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ht="12.0" customHeight="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ht="12.0" customHeight="1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ht="12.0" customHeight="1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ht="12.0" customHeight="1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ht="12.0" customHeight="1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ht="12.0" customHeight="1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ht="12.0" customHeight="1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ht="12.0" customHeight="1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ht="12.0" customHeight="1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ht="12.0" customHeight="1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ht="12.0" customHeight="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ht="12.0" customHeight="1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ht="12.0" customHeight="1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ht="12.0" customHeight="1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ht="12.0" customHeight="1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ht="12.0" customHeight="1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ht="12.0" customHeight="1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ht="12.0" customHeight="1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ht="12.0" customHeight="1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ht="12.0" customHeight="1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ht="12.0" customHeight="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ht="12.0" customHeight="1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ht="12.0" customHeight="1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ht="12.0" customHeight="1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ht="12.0" customHeight="1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ht="12.0" customHeight="1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ht="12.0" customHeight="1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ht="12.0" customHeight="1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ht="12.0" customHeight="1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ht="12.0" customHeight="1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ht="12.0" customHeight="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ht="12.0" customHeight="1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ht="12.0" customHeight="1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ht="12.0" customHeight="1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ht="12.0" customHeight="1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ht="12.0" customHeight="1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ht="12.0" customHeight="1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ht="12.0" customHeight="1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ht="12.0" customHeight="1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ht="12.0" customHeight="1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ht="12.0" customHeight="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ht="12.0" customHeight="1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ht="12.0" customHeight="1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ht="12.0" customHeight="1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ht="12.0" customHeight="1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ht="12.0" customHeight="1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ht="12.0" customHeight="1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ht="12.0" customHeight="1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ht="12.0" customHeight="1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ht="12.0" customHeight="1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ht="12.0" customHeight="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ht="12.0" customHeight="1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ht="12.0" customHeight="1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ht="12.0" customHeight="1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ht="12.0" customHeight="1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ht="12.0" customHeight="1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ht="12.0" customHeight="1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ht="12.0" customHeight="1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ht="12.0" customHeight="1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ht="12.0" customHeight="1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ht="12.0" customHeight="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ht="12.0" customHeight="1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ht="12.0" customHeight="1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ht="12.0" customHeight="1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ht="12.0" customHeight="1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ht="12.0" customHeight="1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ht="12.0" customHeight="1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ht="12.0" customHeight="1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ht="12.0" customHeight="1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ht="12.0" customHeight="1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ht="12.0" customHeight="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ht="12.0" customHeight="1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ht="12.0" customHeight="1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ht="12.0" customHeight="1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ht="12.0" customHeight="1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ht="12.0" customHeight="1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ht="12.0" customHeight="1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ht="12.0" customHeight="1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ht="12.0" customHeight="1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ht="12.0" customHeight="1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ht="12.0" customHeight="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ht="12.0" customHeight="1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ht="12.0" customHeight="1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ht="12.0" customHeight="1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ht="12.0" customHeight="1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ht="12.0" customHeight="1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ht="12.0" customHeight="1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ht="12.0" customHeight="1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ht="12.0" customHeight="1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ht="12.0" customHeight="1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ht="12.0" customHeight="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ht="12.0" customHeight="1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ht="12.0" customHeight="1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ht="12.0" customHeight="1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ht="12.0" customHeight="1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ht="12.0" customHeight="1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ht="12.0" customHeight="1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ht="12.0" customHeight="1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ht="12.0" customHeight="1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ht="12.0" customHeight="1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ht="12.0" customHeight="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ht="12.0" customHeight="1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ht="12.0" customHeight="1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ht="12.0" customHeight="1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ht="12.0" customHeight="1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ht="12.0" customHeight="1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ht="12.0" customHeight="1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ht="12.0" customHeight="1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ht="12.0" customHeight="1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ht="12.0" customHeight="1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ht="12.0" customHeight="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ht="12.0" customHeight="1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ht="12.0" customHeight="1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ht="12.0" customHeight="1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ht="12.0" customHeight="1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ht="12.0" customHeight="1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ht="12.0" customHeight="1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ht="12.0" customHeight="1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ht="12.0" customHeight="1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ht="12.0" customHeight="1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ht="12.0" customHeight="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ht="12.0" customHeight="1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ht="12.0" customHeight="1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ht="12.0" customHeight="1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ht="12.0" customHeight="1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ht="12.0" customHeight="1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ht="12.0" customHeight="1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ht="12.0" customHeight="1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ht="12.0" customHeight="1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ht="12.0" customHeight="1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ht="12.0" customHeight="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ht="12.0" customHeight="1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ht="12.0" customHeight="1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ht="12.0" customHeight="1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ht="12.0" customHeight="1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ht="12.0" customHeight="1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ht="12.0" customHeight="1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ht="12.0" customHeight="1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ht="12.0" customHeight="1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ht="12.0" customHeight="1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ht="12.0" customHeight="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ht="12.0" customHeight="1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ht="12.0" customHeight="1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ht="12.0" customHeight="1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ht="12.0" customHeight="1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ht="12.0" customHeight="1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ht="12.0" customHeight="1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ht="12.0" customHeight="1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ht="12.0" customHeight="1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ht="12.0" customHeight="1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ht="12.0" customHeight="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ht="12.0" customHeight="1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ht="12.0" customHeight="1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ht="12.0" customHeight="1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ht="12.0" customHeight="1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ht="12.0" customHeight="1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ht="12.0" customHeight="1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ht="12.0" customHeight="1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ht="12.0" customHeight="1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ht="12.0" customHeight="1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ht="12.0" customHeight="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ht="12.0" customHeight="1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2.0" customHeight="1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ht="12.0" customHeight="1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ht="12.0" customHeight="1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ht="12.0" customHeight="1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ht="12.0" customHeight="1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ht="12.0" customHeight="1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ht="12.0" customHeight="1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ht="12.0" customHeight="1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ht="12.0" customHeight="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ht="12.0" customHeight="1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ht="12.0" customHeight="1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ht="12.0" customHeight="1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ht="12.0" customHeight="1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ht="12.0" customHeight="1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ht="12.0" customHeight="1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ht="12.0" customHeight="1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ht="12.0" customHeight="1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ht="12.0" customHeight="1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ht="12.0" customHeight="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ht="12.0" customHeight="1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ht="12.0" customHeight="1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ht="12.0" customHeight="1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ht="12.0" customHeight="1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ht="12.0" customHeight="1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ht="12.0" customHeight="1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ht="12.0" customHeight="1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ht="12.0" customHeight="1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ht="12.0" customHeight="1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ht="12.0" customHeight="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ht="12.0" customHeight="1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ht="12.0" customHeight="1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ht="12.0" customHeight="1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ht="12.0" customHeight="1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ht="12.0" customHeight="1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ht="12.0" customHeight="1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ht="12.0" customHeight="1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ht="12.0" customHeight="1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ht="12.0" customHeight="1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ht="12.0" customHeight="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ht="12.0" customHeight="1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ht="12.0" customHeight="1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ht="12.0" customHeight="1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ht="12.0" customHeight="1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ht="12.0" customHeight="1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ht="12.0" customHeight="1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ht="12.0" customHeight="1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ht="12.0" customHeight="1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ht="12.0" customHeight="1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ht="12.0" customHeight="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ht="12.0" customHeight="1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ht="12.0" customHeight="1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ht="12.0" customHeight="1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ht="12.0" customHeight="1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ht="12.0" customHeight="1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ht="12.0" customHeight="1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ht="12.0" customHeight="1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ht="12.0" customHeight="1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ht="12.0" customHeight="1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ht="12.0" customHeight="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ht="12.0" customHeight="1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ht="12.0" customHeight="1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ht="12.0" customHeight="1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ht="12.0" customHeight="1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ht="12.0" customHeight="1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ht="12.0" customHeight="1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ht="12.0" customHeight="1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ht="12.0" customHeight="1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ht="12.0" customHeight="1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ht="12.0" customHeight="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ht="12.0" customHeight="1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ht="12.0" customHeight="1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ht="12.0" customHeight="1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ht="12.0" customHeight="1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ht="12.0" customHeight="1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ht="12.0" customHeight="1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ht="12.0" customHeight="1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ht="12.0" customHeight="1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ht="12.0" customHeight="1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ht="12.0" customHeight="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ht="12.0" customHeight="1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ht="12.0" customHeight="1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ht="12.0" customHeight="1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ht="12.0" customHeight="1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ht="12.0" customHeight="1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ht="12.0" customHeight="1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ht="12.0" customHeight="1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ht="12.0" customHeight="1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ht="12.0" customHeight="1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ht="12.0" customHeight="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ht="12.0" customHeight="1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ht="12.0" customHeight="1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ht="12.0" customHeight="1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ht="12.0" customHeight="1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ht="12.0" customHeight="1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ht="12.0" customHeight="1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ht="12.0" customHeight="1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ht="12.0" customHeight="1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ht="12.0" customHeight="1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ht="12.0" customHeight="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ht="12.0" customHeight="1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ht="12.0" customHeight="1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ht="12.0" customHeight="1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ht="12.0" customHeight="1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ht="12.0" customHeight="1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ht="12.0" customHeight="1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ht="12.0" customHeight="1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ht="12.0" customHeight="1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ht="12.0" customHeight="1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ht="12.0" customHeight="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ht="12.0" customHeight="1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ht="12.0" customHeight="1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ht="12.0" customHeight="1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ht="12.0" customHeight="1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ht="12.0" customHeight="1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ht="12.0" customHeight="1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ht="12.0" customHeight="1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ht="12.0" customHeight="1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ht="12.0" customHeight="1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ht="12.0" customHeight="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ht="12.0" customHeight="1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ht="12.0" customHeight="1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ht="12.0" customHeight="1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ht="12.0" customHeight="1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ht="12.0" customHeight="1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ht="12.0" customHeight="1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ht="12.0" customHeight="1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ht="12.0" customHeight="1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ht="12.0" customHeight="1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ht="12.0" customHeight="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ht="12.0" customHeight="1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ht="12.0" customHeight="1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ht="12.0" customHeight="1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ht="12.0" customHeight="1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ht="12.0" customHeight="1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ht="12.0" customHeight="1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ht="12.0" customHeight="1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ht="12.0" customHeight="1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ht="12.0" customHeight="1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ht="12.0" customHeight="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ht="12.0" customHeight="1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ht="12.0" customHeight="1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ht="12.0" customHeight="1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ht="12.0" customHeight="1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ht="12.0" customHeight="1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ht="12.0" customHeight="1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ht="12.0" customHeight="1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ht="12.0" customHeight="1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ht="12.0" customHeight="1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ht="12.0" customHeight="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ht="12.0" customHeight="1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ht="12.0" customHeight="1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ht="12.0" customHeight="1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ht="12.0" customHeight="1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ht="12.0" customHeight="1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ht="12.0" customHeight="1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ht="12.0" customHeight="1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ht="12.0" customHeight="1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ht="12.0" customHeight="1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ht="12.0" customHeight="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ht="12.0" customHeight="1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ht="12.0" customHeight="1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ht="12.0" customHeight="1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ht="12.0" customHeight="1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ht="12.0" customHeight="1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ht="12.0" customHeight="1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ht="12.0" customHeight="1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ht="12.0" customHeight="1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ht="12.0" customHeight="1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4" width="36.43"/>
    <col customWidth="1" min="5" max="5" width="3.14"/>
    <col customWidth="1" min="6" max="7" width="10.0"/>
    <col customWidth="1" min="8" max="8" width="8.29"/>
    <col customWidth="1" min="9" max="9" width="12.57"/>
    <col customWidth="1" min="10" max="10" width="8.29"/>
    <col customWidth="1" min="11" max="11" width="15.71"/>
    <col customWidth="1" min="12" max="12" width="15.29"/>
    <col customWidth="1" min="13" max="15" width="12.71"/>
    <col customWidth="1" min="16" max="26" width="8.71"/>
  </cols>
  <sheetData>
    <row r="1" ht="14.25" customHeight="1">
      <c r="N1" s="180" t="s">
        <v>380</v>
      </c>
    </row>
    <row r="2" ht="14.25" customHeight="1">
      <c r="A2" s="249" t="s">
        <v>13</v>
      </c>
      <c r="B2" s="249" t="s">
        <v>381</v>
      </c>
      <c r="C2" s="249" t="s">
        <v>382</v>
      </c>
      <c r="D2" s="249" t="s">
        <v>383</v>
      </c>
      <c r="E2" s="249" t="s">
        <v>384</v>
      </c>
      <c r="F2" s="249" t="s">
        <v>368</v>
      </c>
      <c r="G2" s="249" t="s">
        <v>385</v>
      </c>
      <c r="H2" s="249" t="s">
        <v>386</v>
      </c>
      <c r="I2" s="249" t="s">
        <v>387</v>
      </c>
      <c r="J2" s="249"/>
      <c r="K2" s="249" t="s">
        <v>34</v>
      </c>
      <c r="L2" s="249" t="s">
        <v>388</v>
      </c>
      <c r="M2" s="249" t="s">
        <v>389</v>
      </c>
      <c r="N2" s="179" t="s">
        <v>390</v>
      </c>
      <c r="O2" s="179" t="s">
        <v>391</v>
      </c>
    </row>
    <row r="3" ht="14.25" customHeight="1">
      <c r="A3" s="180">
        <v>1.0</v>
      </c>
      <c r="B3" s="180" t="s">
        <v>392</v>
      </c>
      <c r="C3" s="180" t="s">
        <v>393</v>
      </c>
      <c r="D3" s="180" t="s">
        <v>394</v>
      </c>
      <c r="E3" s="180" t="s">
        <v>395</v>
      </c>
      <c r="F3" s="250">
        <v>43815.0</v>
      </c>
      <c r="G3" s="250">
        <v>43815.0</v>
      </c>
      <c r="H3" s="251">
        <v>0.165</v>
      </c>
      <c r="I3" s="250">
        <v>44448.0</v>
      </c>
      <c r="J3" s="180">
        <f t="shared" ref="J3:J27" si="1">I3-G3</f>
        <v>633</v>
      </c>
      <c r="K3" s="252">
        <v>1.0897534246575342E8</v>
      </c>
      <c r="L3" s="252">
        <v>1.401587113529743E8</v>
      </c>
      <c r="M3" s="180" t="s">
        <v>396</v>
      </c>
      <c r="N3" s="180" t="str">
        <f t="shared" ref="N3:N28" si="2">IF(I3&lt;=TODAY(),$N$2,$N$1)</f>
        <v>SELL</v>
      </c>
      <c r="O3" s="180">
        <f t="shared" ref="O3:O26" si="3">L3*100/K3</f>
        <v>128.6150685</v>
      </c>
      <c r="P3" s="180" t="str">
        <f t="shared" ref="P3:P28" si="4">PROPER(C3)</f>
        <v>Interkel Nig Ltd 1</v>
      </c>
    </row>
    <row r="4" ht="14.25" customHeight="1">
      <c r="A4" s="180">
        <f t="shared" ref="A4:A26" si="5">A3+1</f>
        <v>2</v>
      </c>
      <c r="B4" s="180" t="s">
        <v>397</v>
      </c>
      <c r="C4" s="180" t="s">
        <v>398</v>
      </c>
      <c r="D4" s="180" t="s">
        <v>399</v>
      </c>
      <c r="E4" s="180" t="s">
        <v>395</v>
      </c>
      <c r="F4" s="250">
        <v>43867.0</v>
      </c>
      <c r="G4" s="250">
        <v>43867.0</v>
      </c>
      <c r="H4" s="251">
        <v>0.16</v>
      </c>
      <c r="I4" s="250">
        <v>44448.0</v>
      </c>
      <c r="J4" s="180">
        <f t="shared" si="1"/>
        <v>581</v>
      </c>
      <c r="K4" s="252">
        <v>1.0E7</v>
      </c>
      <c r="L4" s="252">
        <v>1.2546849315068493E7</v>
      </c>
      <c r="M4" s="180" t="s">
        <v>396</v>
      </c>
      <c r="N4" s="180" t="str">
        <f t="shared" si="2"/>
        <v>SELL</v>
      </c>
      <c r="O4" s="180">
        <f t="shared" si="3"/>
        <v>125.4684932</v>
      </c>
      <c r="P4" s="180" t="str">
        <f t="shared" si="4"/>
        <v>Interkel Nig Ltd 2</v>
      </c>
    </row>
    <row r="5" ht="14.25" customHeight="1">
      <c r="A5" s="180">
        <f t="shared" si="5"/>
        <v>3</v>
      </c>
      <c r="B5" s="180" t="s">
        <v>400</v>
      </c>
      <c r="C5" s="180" t="s">
        <v>401</v>
      </c>
      <c r="D5" s="180" t="s">
        <v>402</v>
      </c>
      <c r="E5" s="180" t="s">
        <v>395</v>
      </c>
      <c r="F5" s="250">
        <v>44148.0</v>
      </c>
      <c r="G5" s="250">
        <v>44148.0</v>
      </c>
      <c r="H5" s="251">
        <v>0.11</v>
      </c>
      <c r="I5" s="250">
        <v>44248.0</v>
      </c>
      <c r="J5" s="180">
        <f t="shared" si="1"/>
        <v>100</v>
      </c>
      <c r="K5" s="252">
        <v>4.0E7</v>
      </c>
      <c r="L5" s="252">
        <v>4.120547945205479E7</v>
      </c>
      <c r="M5" s="180" t="s">
        <v>396</v>
      </c>
      <c r="N5" s="180" t="str">
        <f t="shared" si="2"/>
        <v>SELL</v>
      </c>
      <c r="O5" s="180">
        <f t="shared" si="3"/>
        <v>103.0136986</v>
      </c>
      <c r="P5" s="180" t="str">
        <f t="shared" si="4"/>
        <v>W H M S</v>
      </c>
    </row>
    <row r="6" ht="14.25" customHeight="1">
      <c r="A6" s="180">
        <f t="shared" si="5"/>
        <v>4</v>
      </c>
      <c r="B6" s="180" t="s">
        <v>403</v>
      </c>
      <c r="C6" s="180" t="s">
        <v>404</v>
      </c>
      <c r="D6" s="180" t="s">
        <v>405</v>
      </c>
      <c r="E6" s="180" t="s">
        <v>395</v>
      </c>
      <c r="F6" s="250">
        <v>44154.0</v>
      </c>
      <c r="G6" s="250">
        <v>44154.0</v>
      </c>
      <c r="H6" s="251">
        <v>0.12</v>
      </c>
      <c r="I6" s="250">
        <v>44200.0</v>
      </c>
      <c r="J6" s="180">
        <f t="shared" si="1"/>
        <v>46</v>
      </c>
      <c r="K6" s="252">
        <v>8000000.0</v>
      </c>
      <c r="L6" s="252">
        <v>8120986.301369863</v>
      </c>
      <c r="M6" s="180" t="s">
        <v>396</v>
      </c>
      <c r="N6" s="180" t="str">
        <f t="shared" si="2"/>
        <v>SELL</v>
      </c>
      <c r="O6" s="180">
        <f t="shared" si="3"/>
        <v>101.5123288</v>
      </c>
      <c r="P6" s="180" t="str">
        <f t="shared" si="4"/>
        <v>Cyril Izala</v>
      </c>
    </row>
    <row r="7" ht="14.25" customHeight="1">
      <c r="A7" s="180">
        <f t="shared" si="5"/>
        <v>5</v>
      </c>
      <c r="B7" s="180" t="s">
        <v>406</v>
      </c>
      <c r="C7" s="180" t="s">
        <v>404</v>
      </c>
      <c r="D7" s="180" t="s">
        <v>407</v>
      </c>
      <c r="E7" s="180" t="s">
        <v>395</v>
      </c>
      <c r="F7" s="250">
        <v>44165.0</v>
      </c>
      <c r="G7" s="250">
        <v>44165.0</v>
      </c>
      <c r="H7" s="251">
        <v>0.12</v>
      </c>
      <c r="I7" s="250">
        <v>44201.0</v>
      </c>
      <c r="J7" s="180">
        <f t="shared" si="1"/>
        <v>36</v>
      </c>
      <c r="K7" s="252">
        <v>5000000.0</v>
      </c>
      <c r="L7" s="252">
        <v>5059178.082191781</v>
      </c>
      <c r="M7" s="180" t="s">
        <v>396</v>
      </c>
      <c r="N7" s="180" t="str">
        <f t="shared" si="2"/>
        <v>SELL</v>
      </c>
      <c r="O7" s="180">
        <f t="shared" si="3"/>
        <v>101.1835616</v>
      </c>
      <c r="P7" s="180" t="str">
        <f t="shared" si="4"/>
        <v>Cyril Izala</v>
      </c>
    </row>
    <row r="8" ht="14.25" customHeight="1">
      <c r="A8" s="180">
        <f t="shared" si="5"/>
        <v>6</v>
      </c>
      <c r="B8" s="180" t="s">
        <v>408</v>
      </c>
      <c r="C8" s="180" t="s">
        <v>409</v>
      </c>
      <c r="D8" s="180" t="s">
        <v>410</v>
      </c>
      <c r="E8" s="180" t="s">
        <v>395</v>
      </c>
      <c r="F8" s="250">
        <v>44177.0</v>
      </c>
      <c r="G8" s="250">
        <v>44177.0</v>
      </c>
      <c r="H8" s="251">
        <v>0.1125</v>
      </c>
      <c r="I8" s="250">
        <v>44448.0</v>
      </c>
      <c r="J8" s="180">
        <f t="shared" si="1"/>
        <v>271</v>
      </c>
      <c r="K8" s="252">
        <v>2.0945E8</v>
      </c>
      <c r="L8" s="252">
        <v>2.269448133561644E8</v>
      </c>
      <c r="M8" s="180" t="s">
        <v>396</v>
      </c>
      <c r="N8" s="180" t="str">
        <f t="shared" si="2"/>
        <v>SELL</v>
      </c>
      <c r="O8" s="180">
        <f t="shared" si="3"/>
        <v>108.3527397</v>
      </c>
      <c r="P8" s="180" t="str">
        <f t="shared" si="4"/>
        <v>Kaizen Vp Pf</v>
      </c>
    </row>
    <row r="9" ht="14.25" customHeight="1">
      <c r="A9" s="180">
        <f t="shared" si="5"/>
        <v>7</v>
      </c>
      <c r="B9" s="180" t="s">
        <v>411</v>
      </c>
      <c r="C9" s="180" t="s">
        <v>404</v>
      </c>
      <c r="D9" s="180" t="s">
        <v>412</v>
      </c>
      <c r="E9" s="180" t="s">
        <v>395</v>
      </c>
      <c r="F9" s="250">
        <v>44179.0</v>
      </c>
      <c r="G9" s="250">
        <v>44179.0</v>
      </c>
      <c r="H9" s="251">
        <v>0.12</v>
      </c>
      <c r="I9" s="250">
        <v>44200.0</v>
      </c>
      <c r="J9" s="180">
        <f t="shared" si="1"/>
        <v>21</v>
      </c>
      <c r="K9" s="252">
        <v>4644000.0</v>
      </c>
      <c r="L9" s="252">
        <v>4676062.684931506</v>
      </c>
      <c r="M9" s="180" t="s">
        <v>396</v>
      </c>
      <c r="N9" s="180" t="str">
        <f t="shared" si="2"/>
        <v>SELL</v>
      </c>
      <c r="O9" s="180">
        <f t="shared" si="3"/>
        <v>100.690411</v>
      </c>
      <c r="P9" s="180" t="str">
        <f t="shared" si="4"/>
        <v>Cyril Izala</v>
      </c>
    </row>
    <row r="10" ht="14.25" customHeight="1">
      <c r="A10" s="180">
        <f t="shared" si="5"/>
        <v>8</v>
      </c>
      <c r="B10" s="180" t="s">
        <v>413</v>
      </c>
      <c r="C10" s="180" t="s">
        <v>414</v>
      </c>
      <c r="D10" s="180" t="s">
        <v>415</v>
      </c>
      <c r="E10" s="180" t="s">
        <v>395</v>
      </c>
      <c r="F10" s="250">
        <v>44187.0</v>
      </c>
      <c r="G10" s="250">
        <v>44187.0</v>
      </c>
      <c r="H10" s="251">
        <v>0.11</v>
      </c>
      <c r="I10" s="250">
        <v>44223.0</v>
      </c>
      <c r="J10" s="180">
        <f t="shared" si="1"/>
        <v>36</v>
      </c>
      <c r="K10" s="252">
        <v>1.5E7</v>
      </c>
      <c r="L10" s="252">
        <v>1.5162739726027397E7</v>
      </c>
      <c r="M10" s="180" t="s">
        <v>396</v>
      </c>
      <c r="N10" s="180" t="str">
        <f t="shared" si="2"/>
        <v>SELL</v>
      </c>
      <c r="O10" s="180">
        <f t="shared" si="3"/>
        <v>101.0849315</v>
      </c>
      <c r="P10" s="180" t="str">
        <f t="shared" si="4"/>
        <v>A Obatoyinbo</v>
      </c>
    </row>
    <row r="11" ht="14.25" customHeight="1">
      <c r="A11" s="180">
        <f t="shared" si="5"/>
        <v>9</v>
      </c>
      <c r="B11" s="180" t="s">
        <v>416</v>
      </c>
      <c r="C11" s="180" t="s">
        <v>404</v>
      </c>
      <c r="D11" s="180" t="s">
        <v>417</v>
      </c>
      <c r="E11" s="180" t="s">
        <v>395</v>
      </c>
      <c r="F11" s="250">
        <v>44202.0</v>
      </c>
      <c r="G11" s="250">
        <v>44202.0</v>
      </c>
      <c r="H11" s="251">
        <v>0.12</v>
      </c>
      <c r="I11" s="250">
        <v>44292.0</v>
      </c>
      <c r="J11" s="180">
        <f t="shared" si="1"/>
        <v>90</v>
      </c>
      <c r="K11" s="252">
        <v>7865672.8</v>
      </c>
      <c r="L11" s="252">
        <v>8098410.515726027</v>
      </c>
      <c r="M11" s="180" t="s">
        <v>396</v>
      </c>
      <c r="N11" s="180" t="str">
        <f t="shared" si="2"/>
        <v>SELL</v>
      </c>
      <c r="O11" s="180">
        <f t="shared" si="3"/>
        <v>102.9589041</v>
      </c>
      <c r="P11" s="180" t="str">
        <f t="shared" si="4"/>
        <v>Cyril Izala</v>
      </c>
    </row>
    <row r="12" ht="14.25" customHeight="1">
      <c r="A12" s="180">
        <f t="shared" si="5"/>
        <v>10</v>
      </c>
      <c r="B12" s="180" t="s">
        <v>418</v>
      </c>
      <c r="C12" s="180" t="s">
        <v>419</v>
      </c>
      <c r="D12" s="180" t="s">
        <v>420</v>
      </c>
      <c r="E12" s="180" t="s">
        <v>395</v>
      </c>
      <c r="F12" s="250">
        <v>44239.0</v>
      </c>
      <c r="G12" s="250">
        <v>44239.0</v>
      </c>
      <c r="H12" s="251">
        <v>0.14</v>
      </c>
      <c r="I12" s="250">
        <v>44377.0</v>
      </c>
      <c r="J12" s="180">
        <f t="shared" si="1"/>
        <v>138</v>
      </c>
      <c r="K12" s="252">
        <v>1.2E7</v>
      </c>
      <c r="L12" s="252">
        <v>1.263517808219178E7</v>
      </c>
      <c r="M12" s="180" t="s">
        <v>396</v>
      </c>
      <c r="N12" s="180" t="str">
        <f t="shared" si="2"/>
        <v>SELL</v>
      </c>
      <c r="O12" s="180">
        <f t="shared" si="3"/>
        <v>105.2931507</v>
      </c>
      <c r="P12" s="180" t="str">
        <f t="shared" si="4"/>
        <v>Ali Andrew</v>
      </c>
    </row>
    <row r="13" ht="14.25" customHeight="1">
      <c r="A13" s="180">
        <f t="shared" si="5"/>
        <v>11</v>
      </c>
      <c r="B13" s="180" t="s">
        <v>421</v>
      </c>
      <c r="C13" s="180" t="s">
        <v>422</v>
      </c>
      <c r="D13" s="180" t="s">
        <v>423</v>
      </c>
      <c r="E13" s="180" t="s">
        <v>395</v>
      </c>
      <c r="F13" s="250">
        <v>44244.0</v>
      </c>
      <c r="G13" s="250">
        <v>44244.0</v>
      </c>
      <c r="H13" s="251">
        <v>0.14</v>
      </c>
      <c r="I13" s="250">
        <v>44403.0</v>
      </c>
      <c r="J13" s="180">
        <f t="shared" si="1"/>
        <v>159</v>
      </c>
      <c r="K13" s="252">
        <v>3000000.0</v>
      </c>
      <c r="L13" s="252">
        <v>3182958.904109589</v>
      </c>
      <c r="M13" s="180" t="s">
        <v>396</v>
      </c>
      <c r="N13" s="180" t="str">
        <f t="shared" si="2"/>
        <v>SELL</v>
      </c>
      <c r="O13" s="180">
        <f t="shared" si="3"/>
        <v>106.0986301</v>
      </c>
      <c r="P13" s="180" t="str">
        <f t="shared" si="4"/>
        <v>Ine Kalio</v>
      </c>
    </row>
    <row r="14" ht="14.25" customHeight="1">
      <c r="A14" s="180">
        <f t="shared" si="5"/>
        <v>12</v>
      </c>
      <c r="B14" s="180" t="s">
        <v>424</v>
      </c>
      <c r="C14" s="180" t="s">
        <v>401</v>
      </c>
      <c r="D14" s="180" t="s">
        <v>425</v>
      </c>
      <c r="E14" s="180" t="s">
        <v>395</v>
      </c>
      <c r="F14" s="250">
        <v>44249.0</v>
      </c>
      <c r="G14" s="250">
        <v>44249.0</v>
      </c>
      <c r="H14" s="251">
        <v>0.11</v>
      </c>
      <c r="I14" s="250">
        <v>44252.0</v>
      </c>
      <c r="J14" s="180">
        <f t="shared" si="1"/>
        <v>3</v>
      </c>
      <c r="K14" s="252">
        <v>2.12054794520548E7</v>
      </c>
      <c r="L14" s="252">
        <v>2.1224651529367615E7</v>
      </c>
      <c r="M14" s="180" t="s">
        <v>396</v>
      </c>
      <c r="N14" s="180" t="str">
        <f t="shared" si="2"/>
        <v>SELL</v>
      </c>
      <c r="O14" s="180">
        <f t="shared" si="3"/>
        <v>100.090411</v>
      </c>
      <c r="P14" s="180" t="str">
        <f t="shared" si="4"/>
        <v>W H M S</v>
      </c>
    </row>
    <row r="15" ht="14.25" customHeight="1">
      <c r="A15" s="180">
        <f t="shared" si="5"/>
        <v>13</v>
      </c>
      <c r="B15" s="180" t="s">
        <v>426</v>
      </c>
      <c r="C15" s="180" t="s">
        <v>427</v>
      </c>
      <c r="D15" s="180" t="s">
        <v>428</v>
      </c>
      <c r="E15" s="180" t="s">
        <v>395</v>
      </c>
      <c r="F15" s="250">
        <v>44258.0</v>
      </c>
      <c r="G15" s="250">
        <v>44258.0</v>
      </c>
      <c r="H15" s="251">
        <v>0.1375</v>
      </c>
      <c r="I15" s="250">
        <v>44442.0</v>
      </c>
      <c r="J15" s="180">
        <f t="shared" si="1"/>
        <v>184</v>
      </c>
      <c r="K15" s="252">
        <v>7.0E8</v>
      </c>
      <c r="L15" s="252">
        <v>7.485205479452055E8</v>
      </c>
      <c r="M15" s="180" t="s">
        <v>396</v>
      </c>
      <c r="N15" s="180" t="str">
        <f t="shared" si="2"/>
        <v>SELL</v>
      </c>
      <c r="O15" s="180">
        <f t="shared" si="3"/>
        <v>106.9315068</v>
      </c>
      <c r="P15" s="180" t="str">
        <f t="shared" si="4"/>
        <v>One- Finance</v>
      </c>
    </row>
    <row r="16" ht="14.25" hidden="1" customHeight="1">
      <c r="A16" s="180">
        <f t="shared" si="5"/>
        <v>14</v>
      </c>
      <c r="B16" s="180" t="s">
        <v>429</v>
      </c>
      <c r="C16" s="180" t="s">
        <v>430</v>
      </c>
      <c r="D16" s="180" t="s">
        <v>431</v>
      </c>
      <c r="E16" s="180" t="s">
        <v>395</v>
      </c>
      <c r="F16" s="250">
        <v>44258.0</v>
      </c>
      <c r="G16" s="250">
        <v>44258.0</v>
      </c>
      <c r="H16" s="251">
        <v>0.145</v>
      </c>
      <c r="I16" s="250">
        <v>44623.0</v>
      </c>
      <c r="J16" s="180">
        <f t="shared" si="1"/>
        <v>365</v>
      </c>
      <c r="K16" s="252">
        <v>1.5E7</v>
      </c>
      <c r="L16" s="252">
        <v>1.7175E7</v>
      </c>
      <c r="M16" s="180" t="s">
        <v>396</v>
      </c>
      <c r="N16" s="180" t="str">
        <f t="shared" si="2"/>
        <v>SELL</v>
      </c>
      <c r="O16" s="180">
        <f t="shared" si="3"/>
        <v>114.5</v>
      </c>
      <c r="P16" s="180" t="str">
        <f t="shared" si="4"/>
        <v>Arinze Emefo</v>
      </c>
    </row>
    <row r="17" ht="14.25" hidden="1" customHeight="1">
      <c r="A17" s="180">
        <f t="shared" si="5"/>
        <v>15</v>
      </c>
      <c r="B17" s="180" t="s">
        <v>432</v>
      </c>
      <c r="C17" s="180" t="s">
        <v>433</v>
      </c>
      <c r="D17" s="180" t="s">
        <v>434</v>
      </c>
      <c r="E17" s="180" t="s">
        <v>395</v>
      </c>
      <c r="F17" s="250">
        <v>44281.0</v>
      </c>
      <c r="G17" s="250">
        <v>44281.0</v>
      </c>
      <c r="H17" s="251">
        <v>0.145</v>
      </c>
      <c r="I17" s="250">
        <v>44646.0</v>
      </c>
      <c r="J17" s="180">
        <f t="shared" si="1"/>
        <v>365</v>
      </c>
      <c r="K17" s="252">
        <v>8.0E7</v>
      </c>
      <c r="L17" s="252">
        <v>9.16E7</v>
      </c>
      <c r="M17" s="180" t="s">
        <v>396</v>
      </c>
      <c r="N17" s="180" t="str">
        <f t="shared" si="2"/>
        <v>SELL</v>
      </c>
      <c r="O17" s="180">
        <f t="shared" si="3"/>
        <v>114.5</v>
      </c>
      <c r="P17" s="180" t="str">
        <f t="shared" si="4"/>
        <v>Vasilab 1</v>
      </c>
    </row>
    <row r="18" ht="14.25" hidden="1" customHeight="1">
      <c r="A18" s="180">
        <f t="shared" si="5"/>
        <v>16</v>
      </c>
      <c r="B18" s="180" t="s">
        <v>435</v>
      </c>
      <c r="C18" s="180" t="s">
        <v>436</v>
      </c>
      <c r="D18" s="180" t="s">
        <v>437</v>
      </c>
      <c r="E18" s="180" t="s">
        <v>395</v>
      </c>
      <c r="F18" s="250">
        <v>44284.0</v>
      </c>
      <c r="G18" s="250">
        <v>44284.0</v>
      </c>
      <c r="H18" s="251">
        <v>0.1525</v>
      </c>
      <c r="I18" s="250">
        <v>44649.0</v>
      </c>
      <c r="J18" s="180">
        <f t="shared" si="1"/>
        <v>365</v>
      </c>
      <c r="K18" s="252">
        <v>5.0E7</v>
      </c>
      <c r="L18" s="252">
        <v>5.7625E7</v>
      </c>
      <c r="M18" s="180" t="s">
        <v>396</v>
      </c>
      <c r="N18" s="180" t="str">
        <f t="shared" si="2"/>
        <v>SELL</v>
      </c>
      <c r="O18" s="180">
        <f t="shared" si="3"/>
        <v>115.25</v>
      </c>
      <c r="P18" s="180" t="str">
        <f t="shared" si="4"/>
        <v>Tope Lawson</v>
      </c>
    </row>
    <row r="19" ht="14.25" hidden="1" customHeight="1">
      <c r="A19" s="180">
        <f t="shared" si="5"/>
        <v>17</v>
      </c>
      <c r="B19" s="180" t="s">
        <v>438</v>
      </c>
      <c r="C19" s="180" t="s">
        <v>439</v>
      </c>
      <c r="D19" s="180" t="s">
        <v>440</v>
      </c>
      <c r="E19" s="180" t="s">
        <v>395</v>
      </c>
      <c r="F19" s="250">
        <v>44301.0</v>
      </c>
      <c r="G19" s="250">
        <v>44301.0</v>
      </c>
      <c r="H19" s="251">
        <v>0.154</v>
      </c>
      <c r="I19" s="250">
        <v>44481.0</v>
      </c>
      <c r="J19" s="180">
        <f t="shared" si="1"/>
        <v>180</v>
      </c>
      <c r="K19" s="252">
        <v>5000000.0</v>
      </c>
      <c r="L19" s="252">
        <v>5379726.02739726</v>
      </c>
      <c r="M19" s="180" t="s">
        <v>396</v>
      </c>
      <c r="N19" s="180" t="str">
        <f t="shared" si="2"/>
        <v>SELL</v>
      </c>
      <c r="O19" s="180">
        <f t="shared" si="3"/>
        <v>107.5945205</v>
      </c>
      <c r="P19" s="180" t="str">
        <f t="shared" si="4"/>
        <v>Edwin Bako</v>
      </c>
    </row>
    <row r="20" ht="14.25" customHeight="1">
      <c r="A20" s="180">
        <f t="shared" si="5"/>
        <v>18</v>
      </c>
      <c r="B20" s="180" t="s">
        <v>441</v>
      </c>
      <c r="C20" s="180" t="s">
        <v>419</v>
      </c>
      <c r="D20" s="180" t="s">
        <v>442</v>
      </c>
      <c r="E20" s="180" t="s">
        <v>395</v>
      </c>
      <c r="F20" s="250">
        <v>44377.0</v>
      </c>
      <c r="G20" s="250">
        <v>44377.0</v>
      </c>
      <c r="H20" s="251">
        <v>0.14</v>
      </c>
      <c r="I20" s="250">
        <v>44381.0</v>
      </c>
      <c r="J20" s="180">
        <f t="shared" si="1"/>
        <v>4</v>
      </c>
      <c r="K20" s="252">
        <v>1.263517808219178E7</v>
      </c>
      <c r="L20" s="252">
        <v>1.2654563560893225E7</v>
      </c>
      <c r="M20" s="180" t="s">
        <v>396</v>
      </c>
      <c r="N20" s="180" t="str">
        <f t="shared" si="2"/>
        <v>SELL</v>
      </c>
      <c r="O20" s="180">
        <f t="shared" si="3"/>
        <v>100.1534247</v>
      </c>
      <c r="P20" s="180" t="str">
        <f t="shared" si="4"/>
        <v>Ali Andrew</v>
      </c>
    </row>
    <row r="21" ht="14.25" customHeight="1">
      <c r="A21" s="180">
        <f t="shared" si="5"/>
        <v>19</v>
      </c>
      <c r="B21" s="180" t="s">
        <v>443</v>
      </c>
      <c r="C21" s="180" t="s">
        <v>401</v>
      </c>
      <c r="D21" s="180" t="s">
        <v>444</v>
      </c>
      <c r="E21" s="180" t="s">
        <v>395</v>
      </c>
      <c r="F21" s="250">
        <v>44391.0</v>
      </c>
      <c r="G21" s="250">
        <v>44391.0</v>
      </c>
      <c r="H21" s="251">
        <v>0.16</v>
      </c>
      <c r="I21" s="250">
        <v>44436.0</v>
      </c>
      <c r="J21" s="180">
        <f t="shared" si="1"/>
        <v>45</v>
      </c>
      <c r="K21" s="252">
        <v>4.0E7</v>
      </c>
      <c r="L21" s="252">
        <v>4.078904109589041E7</v>
      </c>
      <c r="M21" s="180" t="s">
        <v>396</v>
      </c>
      <c r="N21" s="180" t="str">
        <f t="shared" si="2"/>
        <v>SELL</v>
      </c>
      <c r="O21" s="180">
        <f t="shared" si="3"/>
        <v>101.9726027</v>
      </c>
      <c r="P21" s="180" t="str">
        <f t="shared" si="4"/>
        <v>W H M S</v>
      </c>
    </row>
    <row r="22" ht="14.25" customHeight="1">
      <c r="A22" s="180">
        <f t="shared" si="5"/>
        <v>20</v>
      </c>
      <c r="B22" s="180" t="s">
        <v>445</v>
      </c>
      <c r="C22" s="180" t="s">
        <v>422</v>
      </c>
      <c r="D22" s="180" t="s">
        <v>446</v>
      </c>
      <c r="E22" s="180" t="s">
        <v>395</v>
      </c>
      <c r="F22" s="250">
        <v>44404.0</v>
      </c>
      <c r="G22" s="250">
        <v>44404.0</v>
      </c>
      <c r="H22" s="251">
        <v>0.14</v>
      </c>
      <c r="I22" s="250">
        <v>44432.0</v>
      </c>
      <c r="J22" s="180">
        <f t="shared" si="1"/>
        <v>28</v>
      </c>
      <c r="K22" s="252">
        <v>2684109.5890411</v>
      </c>
      <c r="L22" s="252">
        <v>2712936.190654911</v>
      </c>
      <c r="M22" s="180" t="s">
        <v>396</v>
      </c>
      <c r="N22" s="180" t="str">
        <f t="shared" si="2"/>
        <v>SELL</v>
      </c>
      <c r="O22" s="180">
        <f t="shared" si="3"/>
        <v>101.0739726</v>
      </c>
      <c r="P22" s="180" t="str">
        <f t="shared" si="4"/>
        <v>Ine Kalio</v>
      </c>
    </row>
    <row r="23" ht="14.25" hidden="1" customHeight="1">
      <c r="A23" s="180">
        <f t="shared" si="5"/>
        <v>21</v>
      </c>
      <c r="B23" s="180" t="s">
        <v>447</v>
      </c>
      <c r="C23" s="180" t="s">
        <v>448</v>
      </c>
      <c r="D23" s="180" t="s">
        <v>449</v>
      </c>
      <c r="E23" s="180" t="s">
        <v>395</v>
      </c>
      <c r="F23" s="250">
        <v>44414.0</v>
      </c>
      <c r="G23" s="250">
        <v>44414.0</v>
      </c>
      <c r="H23" s="251">
        <v>0.25</v>
      </c>
      <c r="I23" s="250">
        <v>44813.0</v>
      </c>
      <c r="J23" s="180">
        <f t="shared" si="1"/>
        <v>399</v>
      </c>
      <c r="K23" s="252">
        <v>5.0E7</v>
      </c>
      <c r="L23" s="252">
        <v>5.116438356164384E7</v>
      </c>
      <c r="M23" s="180" t="s">
        <v>396</v>
      </c>
      <c r="N23" s="180" t="str">
        <f t="shared" si="2"/>
        <v>SELL</v>
      </c>
      <c r="O23" s="180">
        <f t="shared" si="3"/>
        <v>102.3287671</v>
      </c>
      <c r="P23" s="180" t="str">
        <f t="shared" si="4"/>
        <v>Traction App Ltd</v>
      </c>
    </row>
    <row r="24" ht="14.25" hidden="1" customHeight="1">
      <c r="A24" s="180">
        <f t="shared" si="5"/>
        <v>22</v>
      </c>
      <c r="B24" s="180" t="s">
        <v>450</v>
      </c>
      <c r="C24" s="180" t="s">
        <v>422</v>
      </c>
      <c r="D24" s="180" t="s">
        <v>451</v>
      </c>
      <c r="E24" s="180" t="s">
        <v>395</v>
      </c>
      <c r="F24" s="250">
        <v>44432.0</v>
      </c>
      <c r="G24" s="250">
        <v>44432.0</v>
      </c>
      <c r="H24" s="251">
        <v>0.14</v>
      </c>
      <c r="I24" s="250">
        <v>44609.0</v>
      </c>
      <c r="J24" s="180">
        <f t="shared" si="1"/>
        <v>177</v>
      </c>
      <c r="K24" s="252">
        <v>2212936.1</v>
      </c>
      <c r="L24" s="252">
        <v>2363173.2412547944</v>
      </c>
      <c r="M24" s="180" t="s">
        <v>396</v>
      </c>
      <c r="N24" s="180" t="str">
        <f t="shared" si="2"/>
        <v>SELL</v>
      </c>
      <c r="O24" s="180">
        <f t="shared" si="3"/>
        <v>106.7890411</v>
      </c>
      <c r="P24" s="180" t="str">
        <f t="shared" si="4"/>
        <v>Ine Kalio</v>
      </c>
    </row>
    <row r="25" ht="14.25" hidden="1" customHeight="1">
      <c r="A25" s="180">
        <f t="shared" si="5"/>
        <v>23</v>
      </c>
      <c r="B25" s="180" t="s">
        <v>452</v>
      </c>
      <c r="C25" s="180" t="s">
        <v>401</v>
      </c>
      <c r="D25" s="180" t="s">
        <v>453</v>
      </c>
      <c r="E25" s="180" t="s">
        <v>395</v>
      </c>
      <c r="F25" s="250">
        <v>44436.0</v>
      </c>
      <c r="G25" s="250">
        <v>44436.0</v>
      </c>
      <c r="H25" s="251">
        <v>0.16</v>
      </c>
      <c r="I25" s="250">
        <v>44481.0</v>
      </c>
      <c r="J25" s="180">
        <f t="shared" si="1"/>
        <v>45</v>
      </c>
      <c r="K25" s="252">
        <v>3.078904109589041E7</v>
      </c>
      <c r="L25" s="252">
        <v>3.1396386564083315E7</v>
      </c>
      <c r="M25" s="180" t="s">
        <v>396</v>
      </c>
      <c r="N25" s="180" t="str">
        <f t="shared" si="2"/>
        <v>SELL</v>
      </c>
      <c r="O25" s="180">
        <f t="shared" si="3"/>
        <v>101.9726027</v>
      </c>
      <c r="P25" s="180" t="str">
        <f t="shared" si="4"/>
        <v>W H M S</v>
      </c>
    </row>
    <row r="26" ht="14.25" hidden="1" customHeight="1">
      <c r="A26" s="180">
        <f t="shared" si="5"/>
        <v>24</v>
      </c>
      <c r="B26" s="180" t="s">
        <v>454</v>
      </c>
      <c r="C26" s="180" t="s">
        <v>427</v>
      </c>
      <c r="D26" s="180" t="s">
        <v>455</v>
      </c>
      <c r="E26" s="180" t="s">
        <v>395</v>
      </c>
      <c r="F26" s="250">
        <v>44442.0</v>
      </c>
      <c r="G26" s="250">
        <v>44442.0</v>
      </c>
      <c r="H26" s="251">
        <v>0.1375</v>
      </c>
      <c r="I26" s="250">
        <v>44623.0</v>
      </c>
      <c r="J26" s="180">
        <f t="shared" si="1"/>
        <v>181</v>
      </c>
      <c r="K26" s="252">
        <v>7.065205479452055E8</v>
      </c>
      <c r="L26" s="252">
        <v>7.546946031150309E8</v>
      </c>
      <c r="M26" s="180" t="s">
        <v>396</v>
      </c>
      <c r="N26" s="180" t="str">
        <f t="shared" si="2"/>
        <v>SELL</v>
      </c>
      <c r="O26" s="180">
        <f t="shared" si="3"/>
        <v>106.8184932</v>
      </c>
      <c r="P26" s="180" t="str">
        <f t="shared" si="4"/>
        <v>One- Finance</v>
      </c>
    </row>
    <row r="27" ht="14.25" customHeight="1">
      <c r="A27" s="180">
        <v>21.0</v>
      </c>
      <c r="B27" s="180" t="s">
        <v>456</v>
      </c>
      <c r="C27" s="180" t="s">
        <v>401</v>
      </c>
      <c r="D27" s="180" t="s">
        <v>457</v>
      </c>
      <c r="E27" s="180" t="s">
        <v>395</v>
      </c>
      <c r="F27" s="250">
        <v>44490.0</v>
      </c>
      <c r="G27" s="250">
        <v>44490.0</v>
      </c>
      <c r="H27" s="251">
        <v>0.157</v>
      </c>
      <c r="I27" s="250">
        <v>44580.0</v>
      </c>
      <c r="J27" s="180">
        <f t="shared" si="1"/>
        <v>90</v>
      </c>
      <c r="K27" s="253">
        <v>4.0E7</v>
      </c>
      <c r="L27" s="180">
        <v>4.154849315068493E7</v>
      </c>
      <c r="M27" s="180" t="s">
        <v>396</v>
      </c>
      <c r="N27" s="180" t="str">
        <f t="shared" si="2"/>
        <v>SELL</v>
      </c>
      <c r="O27" s="180">
        <v>103.87123287671233</v>
      </c>
      <c r="P27" s="180" t="str">
        <f t="shared" si="4"/>
        <v>W H M S</v>
      </c>
    </row>
    <row r="28" ht="14.25" customHeight="1">
      <c r="A28" s="180">
        <v>22.0</v>
      </c>
      <c r="B28" s="180" t="s">
        <v>458</v>
      </c>
      <c r="C28" s="180" t="s">
        <v>459</v>
      </c>
      <c r="D28" s="180" t="s">
        <v>460</v>
      </c>
      <c r="E28" s="180" t="s">
        <v>395</v>
      </c>
      <c r="F28" s="250">
        <v>44456.0</v>
      </c>
      <c r="G28" s="250">
        <v>44456.0</v>
      </c>
      <c r="H28" s="254">
        <v>0.07</v>
      </c>
      <c r="I28" s="250">
        <v>44853.0</v>
      </c>
      <c r="J28" s="180">
        <v>397.0</v>
      </c>
      <c r="K28" s="180">
        <v>3.516E9</v>
      </c>
      <c r="L28" s="180">
        <v>3.78369764384E9</v>
      </c>
      <c r="M28" s="180" t="s">
        <v>396</v>
      </c>
      <c r="N28" s="180" t="str">
        <f t="shared" si="2"/>
        <v>SELL</v>
      </c>
      <c r="O28" s="180">
        <v>107.61369863013698</v>
      </c>
      <c r="P28" s="180" t="str">
        <f t="shared" si="4"/>
        <v>Abedare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B35" s="180" t="s">
        <v>458</v>
      </c>
      <c r="C35" s="180" t="s">
        <v>461</v>
      </c>
      <c r="H35" s="251"/>
      <c r="P35" s="25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O$26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15.43"/>
    <col customWidth="1" min="4" max="4" width="8.71"/>
    <col customWidth="1" min="5" max="5" width="20.43"/>
    <col customWidth="1" min="6" max="26" width="8.71"/>
  </cols>
  <sheetData>
    <row r="1" ht="14.25" customHeight="1">
      <c r="E1" s="139"/>
    </row>
    <row r="2" ht="14.25" customHeight="1">
      <c r="E2" s="139"/>
    </row>
    <row r="3" ht="14.25" customHeight="1">
      <c r="A3" s="180" t="s">
        <v>462</v>
      </c>
      <c r="B3" s="180" t="s">
        <v>463</v>
      </c>
      <c r="C3" s="180" t="s">
        <v>464</v>
      </c>
      <c r="D3" s="180" t="s">
        <v>465</v>
      </c>
      <c r="E3" s="139" t="s">
        <v>466</v>
      </c>
    </row>
    <row r="4" ht="14.25" customHeight="1">
      <c r="A4" s="255">
        <v>44441.0</v>
      </c>
      <c r="B4" s="180" t="s">
        <v>467</v>
      </c>
      <c r="C4" s="253">
        <v>50000.0</v>
      </c>
      <c r="D4" s="180" t="s">
        <v>468</v>
      </c>
      <c r="E4" s="139">
        <v>6000000.0</v>
      </c>
    </row>
    <row r="5" ht="14.25" customHeight="1">
      <c r="D5" s="180" t="s">
        <v>469</v>
      </c>
      <c r="E5" s="139"/>
    </row>
    <row r="6" ht="14.25" customHeight="1">
      <c r="E6" s="139"/>
    </row>
    <row r="7" ht="14.25" customHeight="1">
      <c r="E7" s="139"/>
    </row>
    <row r="8" ht="14.25" customHeight="1">
      <c r="E8" s="139"/>
    </row>
    <row r="9" ht="14.25" customHeight="1">
      <c r="E9" s="139"/>
    </row>
    <row r="10" ht="14.25" customHeight="1">
      <c r="E10" s="139"/>
    </row>
    <row r="11" ht="14.25" customHeight="1">
      <c r="E11" s="139"/>
    </row>
    <row r="12" ht="14.25" customHeight="1">
      <c r="E12" s="139"/>
    </row>
    <row r="13" ht="14.25" customHeight="1">
      <c r="E13" s="139"/>
    </row>
    <row r="14" ht="14.25" customHeight="1">
      <c r="E14" s="139"/>
    </row>
    <row r="15" ht="14.25" customHeight="1">
      <c r="E15" s="139"/>
    </row>
    <row r="16" ht="14.25" customHeight="1">
      <c r="E16" s="139"/>
    </row>
    <row r="17" ht="14.25" customHeight="1">
      <c r="E17" s="139"/>
    </row>
    <row r="18" ht="14.25" customHeight="1">
      <c r="E18" s="139"/>
    </row>
    <row r="19" ht="14.25" customHeight="1">
      <c r="E19" s="139"/>
    </row>
    <row r="20" ht="14.25" customHeight="1">
      <c r="E20" s="139"/>
    </row>
    <row r="21" ht="14.25" customHeight="1">
      <c r="E21" s="139"/>
    </row>
    <row r="22" ht="14.25" customHeight="1">
      <c r="E22" s="139"/>
    </row>
    <row r="23" ht="14.25" customHeight="1">
      <c r="E23" s="139"/>
    </row>
    <row r="24" ht="14.25" customHeight="1">
      <c r="E24" s="139"/>
    </row>
    <row r="25" ht="14.25" customHeight="1">
      <c r="E25" s="139"/>
    </row>
    <row r="26" ht="14.25" customHeight="1">
      <c r="E26" s="139"/>
    </row>
    <row r="27" ht="14.25" customHeight="1">
      <c r="E27" s="139"/>
    </row>
    <row r="28" ht="14.25" customHeight="1">
      <c r="E28" s="139"/>
    </row>
    <row r="29" ht="14.25" customHeight="1">
      <c r="E29" s="139"/>
    </row>
    <row r="30" ht="14.25" customHeight="1">
      <c r="E30" s="139"/>
    </row>
    <row r="31" ht="14.25" customHeight="1">
      <c r="E31" s="139"/>
    </row>
    <row r="32" ht="14.25" customHeight="1">
      <c r="E32" s="139"/>
    </row>
    <row r="33" ht="14.25" customHeight="1">
      <c r="E33" s="139"/>
    </row>
    <row r="34" ht="14.25" customHeight="1">
      <c r="E34" s="139"/>
    </row>
    <row r="35" ht="14.25" customHeight="1">
      <c r="E35" s="139"/>
    </row>
    <row r="36" ht="14.25" customHeight="1">
      <c r="E36" s="139"/>
    </row>
    <row r="37" ht="14.25" customHeight="1">
      <c r="E37" s="139"/>
    </row>
    <row r="38" ht="14.25" customHeight="1">
      <c r="E38" s="139"/>
    </row>
    <row r="39" ht="14.25" customHeight="1">
      <c r="E39" s="139"/>
    </row>
    <row r="40" ht="14.25" customHeight="1">
      <c r="E40" s="139"/>
    </row>
    <row r="41" ht="14.25" customHeight="1">
      <c r="E41" s="139"/>
    </row>
    <row r="42" ht="14.25" customHeight="1">
      <c r="E42" s="139"/>
    </row>
    <row r="43" ht="14.25" customHeight="1">
      <c r="E43" s="139"/>
    </row>
    <row r="44" ht="14.25" customHeight="1">
      <c r="E44" s="139"/>
    </row>
    <row r="45" ht="14.25" customHeight="1">
      <c r="E45" s="139"/>
    </row>
    <row r="46" ht="14.25" customHeight="1">
      <c r="E46" s="139"/>
    </row>
    <row r="47" ht="14.25" customHeight="1">
      <c r="E47" s="139"/>
    </row>
    <row r="48" ht="14.25" customHeight="1">
      <c r="E48" s="139"/>
    </row>
    <row r="49" ht="14.25" customHeight="1">
      <c r="E49" s="139"/>
    </row>
    <row r="50" ht="14.25" customHeight="1">
      <c r="E50" s="139"/>
    </row>
    <row r="51" ht="14.25" customHeight="1">
      <c r="E51" s="139"/>
    </row>
    <row r="52" ht="14.25" customHeight="1">
      <c r="E52" s="139"/>
    </row>
    <row r="53" ht="14.25" customHeight="1">
      <c r="E53" s="139"/>
    </row>
    <row r="54" ht="14.25" customHeight="1">
      <c r="E54" s="139"/>
    </row>
    <row r="55" ht="14.25" customHeight="1">
      <c r="E55" s="139"/>
    </row>
    <row r="56" ht="14.25" customHeight="1">
      <c r="E56" s="139"/>
    </row>
    <row r="57" ht="14.25" customHeight="1">
      <c r="E57" s="139"/>
    </row>
    <row r="58" ht="14.25" customHeight="1">
      <c r="E58" s="139"/>
    </row>
    <row r="59" ht="14.25" customHeight="1">
      <c r="E59" s="139"/>
    </row>
    <row r="60" ht="14.25" customHeight="1">
      <c r="E60" s="139"/>
    </row>
    <row r="61" ht="14.25" customHeight="1">
      <c r="E61" s="139"/>
    </row>
    <row r="62" ht="14.25" customHeight="1">
      <c r="E62" s="139"/>
    </row>
    <row r="63" ht="14.25" customHeight="1">
      <c r="E63" s="139"/>
    </row>
    <row r="64" ht="14.25" customHeight="1">
      <c r="E64" s="139"/>
    </row>
    <row r="65" ht="14.25" customHeight="1">
      <c r="E65" s="139"/>
    </row>
    <row r="66" ht="14.25" customHeight="1">
      <c r="E66" s="139"/>
    </row>
    <row r="67" ht="14.25" customHeight="1">
      <c r="E67" s="139"/>
    </row>
    <row r="68" ht="14.25" customHeight="1">
      <c r="E68" s="139"/>
    </row>
    <row r="69" ht="14.25" customHeight="1">
      <c r="E69" s="139"/>
    </row>
    <row r="70" ht="14.25" customHeight="1">
      <c r="E70" s="139"/>
    </row>
    <row r="71" ht="14.25" customHeight="1">
      <c r="E71" s="139"/>
    </row>
    <row r="72" ht="14.25" customHeight="1">
      <c r="E72" s="139"/>
    </row>
    <row r="73" ht="14.25" customHeight="1">
      <c r="E73" s="139"/>
    </row>
    <row r="74" ht="14.25" customHeight="1">
      <c r="E74" s="139"/>
    </row>
    <row r="75" ht="14.25" customHeight="1">
      <c r="E75" s="139"/>
    </row>
    <row r="76" ht="14.25" customHeight="1">
      <c r="E76" s="139"/>
    </row>
    <row r="77" ht="14.25" customHeight="1">
      <c r="E77" s="139"/>
    </row>
    <row r="78" ht="14.25" customHeight="1">
      <c r="E78" s="139"/>
    </row>
    <row r="79" ht="14.25" customHeight="1">
      <c r="E79" s="139"/>
    </row>
    <row r="80" ht="14.25" customHeight="1">
      <c r="E80" s="139"/>
    </row>
    <row r="81" ht="14.25" customHeight="1">
      <c r="E81" s="139"/>
    </row>
    <row r="82" ht="14.25" customHeight="1">
      <c r="E82" s="139"/>
    </row>
    <row r="83" ht="14.25" customHeight="1">
      <c r="E83" s="139"/>
    </row>
    <row r="84" ht="14.25" customHeight="1">
      <c r="E84" s="139"/>
    </row>
    <row r="85" ht="14.25" customHeight="1">
      <c r="E85" s="139"/>
    </row>
    <row r="86" ht="14.25" customHeight="1">
      <c r="E86" s="139"/>
    </row>
    <row r="87" ht="14.25" customHeight="1">
      <c r="E87" s="139"/>
    </row>
    <row r="88" ht="14.25" customHeight="1">
      <c r="E88" s="139"/>
    </row>
    <row r="89" ht="14.25" customHeight="1">
      <c r="E89" s="139"/>
    </row>
    <row r="90" ht="14.25" customHeight="1">
      <c r="E90" s="139"/>
    </row>
    <row r="91" ht="14.25" customHeight="1">
      <c r="E91" s="139"/>
    </row>
    <row r="92" ht="14.25" customHeight="1">
      <c r="E92" s="139"/>
    </row>
    <row r="93" ht="14.25" customHeight="1">
      <c r="E93" s="139"/>
    </row>
    <row r="94" ht="14.25" customHeight="1">
      <c r="E94" s="139"/>
    </row>
    <row r="95" ht="14.25" customHeight="1">
      <c r="E95" s="139"/>
    </row>
    <row r="96" ht="14.25" customHeight="1">
      <c r="E96" s="139"/>
    </row>
    <row r="97" ht="14.25" customHeight="1">
      <c r="E97" s="139"/>
    </row>
    <row r="98" ht="14.25" customHeight="1">
      <c r="E98" s="139"/>
    </row>
    <row r="99" ht="14.25" customHeight="1">
      <c r="E99" s="139"/>
    </row>
    <row r="100" ht="14.25" customHeight="1">
      <c r="E100" s="139"/>
    </row>
    <row r="101" ht="14.25" customHeight="1">
      <c r="E101" s="139"/>
    </row>
    <row r="102" ht="14.25" customHeight="1">
      <c r="E102" s="139"/>
    </row>
    <row r="103" ht="14.25" customHeight="1">
      <c r="E103" s="139"/>
    </row>
    <row r="104" ht="14.25" customHeight="1">
      <c r="E104" s="139"/>
    </row>
    <row r="105" ht="14.25" customHeight="1">
      <c r="E105" s="139"/>
    </row>
    <row r="106" ht="14.25" customHeight="1">
      <c r="E106" s="139"/>
    </row>
    <row r="107" ht="14.25" customHeight="1">
      <c r="E107" s="139"/>
    </row>
    <row r="108" ht="14.25" customHeight="1">
      <c r="E108" s="139"/>
    </row>
    <row r="109" ht="14.25" customHeight="1">
      <c r="E109" s="139"/>
    </row>
    <row r="110" ht="14.25" customHeight="1">
      <c r="E110" s="139"/>
    </row>
    <row r="111" ht="14.25" customHeight="1">
      <c r="E111" s="139"/>
    </row>
    <row r="112" ht="14.25" customHeight="1">
      <c r="E112" s="139"/>
    </row>
    <row r="113" ht="14.25" customHeight="1">
      <c r="E113" s="139"/>
    </row>
    <row r="114" ht="14.25" customHeight="1">
      <c r="E114" s="139"/>
    </row>
    <row r="115" ht="14.25" customHeight="1">
      <c r="E115" s="139"/>
    </row>
    <row r="116" ht="14.25" customHeight="1">
      <c r="E116" s="139"/>
    </row>
    <row r="117" ht="14.25" customHeight="1">
      <c r="E117" s="139"/>
    </row>
    <row r="118" ht="14.25" customHeight="1">
      <c r="E118" s="139"/>
    </row>
    <row r="119" ht="14.25" customHeight="1">
      <c r="E119" s="139"/>
    </row>
    <row r="120" ht="14.25" customHeight="1">
      <c r="E120" s="139"/>
    </row>
    <row r="121" ht="14.25" customHeight="1">
      <c r="E121" s="139"/>
    </row>
    <row r="122" ht="14.25" customHeight="1">
      <c r="E122" s="139"/>
    </row>
    <row r="123" ht="14.25" customHeight="1">
      <c r="E123" s="139"/>
    </row>
    <row r="124" ht="14.25" customHeight="1">
      <c r="E124" s="139"/>
    </row>
    <row r="125" ht="14.25" customHeight="1">
      <c r="E125" s="139"/>
    </row>
    <row r="126" ht="14.25" customHeight="1">
      <c r="E126" s="139"/>
    </row>
    <row r="127" ht="14.25" customHeight="1">
      <c r="E127" s="139"/>
    </row>
    <row r="128" ht="14.25" customHeight="1">
      <c r="E128" s="139"/>
    </row>
    <row r="129" ht="14.25" customHeight="1">
      <c r="E129" s="139"/>
    </row>
    <row r="130" ht="14.25" customHeight="1">
      <c r="E130" s="139"/>
    </row>
    <row r="131" ht="14.25" customHeight="1">
      <c r="E131" s="139"/>
    </row>
    <row r="132" ht="14.25" customHeight="1">
      <c r="E132" s="139"/>
    </row>
    <row r="133" ht="14.25" customHeight="1">
      <c r="E133" s="139"/>
    </row>
    <row r="134" ht="14.25" customHeight="1">
      <c r="E134" s="139"/>
    </row>
    <row r="135" ht="14.25" customHeight="1">
      <c r="E135" s="139"/>
    </row>
    <row r="136" ht="14.25" customHeight="1">
      <c r="E136" s="139"/>
    </row>
    <row r="137" ht="14.25" customHeight="1">
      <c r="E137" s="139"/>
    </row>
    <row r="138" ht="14.25" customHeight="1">
      <c r="E138" s="139"/>
    </row>
    <row r="139" ht="14.25" customHeight="1">
      <c r="E139" s="139"/>
    </row>
    <row r="140" ht="14.25" customHeight="1">
      <c r="E140" s="139"/>
    </row>
    <row r="141" ht="14.25" customHeight="1">
      <c r="E141" s="139"/>
    </row>
    <row r="142" ht="14.25" customHeight="1">
      <c r="E142" s="139"/>
    </row>
    <row r="143" ht="14.25" customHeight="1">
      <c r="E143" s="139"/>
    </row>
    <row r="144" ht="14.25" customHeight="1">
      <c r="E144" s="139"/>
    </row>
    <row r="145" ht="14.25" customHeight="1">
      <c r="E145" s="139"/>
    </row>
    <row r="146" ht="14.25" customHeight="1">
      <c r="E146" s="139"/>
    </row>
    <row r="147" ht="14.25" customHeight="1">
      <c r="E147" s="139"/>
    </row>
    <row r="148" ht="14.25" customHeight="1">
      <c r="E148" s="139"/>
    </row>
    <row r="149" ht="14.25" customHeight="1">
      <c r="E149" s="139"/>
    </row>
    <row r="150" ht="14.25" customHeight="1">
      <c r="E150" s="139"/>
    </row>
    <row r="151" ht="14.25" customHeight="1">
      <c r="E151" s="139"/>
    </row>
    <row r="152" ht="14.25" customHeight="1">
      <c r="E152" s="139"/>
    </row>
    <row r="153" ht="14.25" customHeight="1">
      <c r="E153" s="139"/>
    </row>
    <row r="154" ht="14.25" customHeight="1">
      <c r="E154" s="139"/>
    </row>
    <row r="155" ht="14.25" customHeight="1">
      <c r="E155" s="139"/>
    </row>
    <row r="156" ht="14.25" customHeight="1">
      <c r="E156" s="139"/>
    </row>
    <row r="157" ht="14.25" customHeight="1">
      <c r="E157" s="139"/>
    </row>
    <row r="158" ht="14.25" customHeight="1">
      <c r="E158" s="139"/>
    </row>
    <row r="159" ht="14.25" customHeight="1">
      <c r="E159" s="139"/>
    </row>
    <row r="160" ht="14.25" customHeight="1">
      <c r="E160" s="139"/>
    </row>
    <row r="161" ht="14.25" customHeight="1">
      <c r="E161" s="139"/>
    </row>
    <row r="162" ht="14.25" customHeight="1">
      <c r="E162" s="139"/>
    </row>
    <row r="163" ht="14.25" customHeight="1">
      <c r="E163" s="139"/>
    </row>
    <row r="164" ht="14.25" customHeight="1">
      <c r="E164" s="139"/>
    </row>
    <row r="165" ht="14.25" customHeight="1">
      <c r="E165" s="139"/>
    </row>
    <row r="166" ht="14.25" customHeight="1">
      <c r="E166" s="139"/>
    </row>
    <row r="167" ht="14.25" customHeight="1">
      <c r="E167" s="139"/>
    </row>
    <row r="168" ht="14.25" customHeight="1">
      <c r="E168" s="139"/>
    </row>
    <row r="169" ht="14.25" customHeight="1">
      <c r="E169" s="139"/>
    </row>
    <row r="170" ht="14.25" customHeight="1">
      <c r="E170" s="139"/>
    </row>
    <row r="171" ht="14.25" customHeight="1">
      <c r="E171" s="139"/>
    </row>
    <row r="172" ht="14.25" customHeight="1">
      <c r="E172" s="139"/>
    </row>
    <row r="173" ht="14.25" customHeight="1">
      <c r="E173" s="139"/>
    </row>
    <row r="174" ht="14.25" customHeight="1">
      <c r="E174" s="139"/>
    </row>
    <row r="175" ht="14.25" customHeight="1">
      <c r="E175" s="139"/>
    </row>
    <row r="176" ht="14.25" customHeight="1">
      <c r="E176" s="139"/>
    </row>
    <row r="177" ht="14.25" customHeight="1">
      <c r="E177" s="139"/>
    </row>
    <row r="178" ht="14.25" customHeight="1">
      <c r="E178" s="139"/>
    </row>
    <row r="179" ht="14.25" customHeight="1">
      <c r="E179" s="139"/>
    </row>
    <row r="180" ht="14.25" customHeight="1">
      <c r="E180" s="139"/>
    </row>
    <row r="181" ht="14.25" customHeight="1">
      <c r="E181" s="139"/>
    </row>
    <row r="182" ht="14.25" customHeight="1">
      <c r="E182" s="139"/>
    </row>
    <row r="183" ht="14.25" customHeight="1">
      <c r="E183" s="139"/>
    </row>
    <row r="184" ht="14.25" customHeight="1">
      <c r="E184" s="139"/>
    </row>
    <row r="185" ht="14.25" customHeight="1">
      <c r="E185" s="139"/>
    </row>
    <row r="186" ht="14.25" customHeight="1">
      <c r="E186" s="139"/>
    </row>
    <row r="187" ht="14.25" customHeight="1">
      <c r="E187" s="139"/>
    </row>
    <row r="188" ht="14.25" customHeight="1">
      <c r="E188" s="139"/>
    </row>
    <row r="189" ht="14.25" customHeight="1">
      <c r="E189" s="139"/>
    </row>
    <row r="190" ht="14.25" customHeight="1">
      <c r="E190" s="139"/>
    </row>
    <row r="191" ht="14.25" customHeight="1">
      <c r="E191" s="139"/>
    </row>
    <row r="192" ht="14.25" customHeight="1">
      <c r="E192" s="139"/>
    </row>
    <row r="193" ht="14.25" customHeight="1">
      <c r="E193" s="139"/>
    </row>
    <row r="194" ht="14.25" customHeight="1">
      <c r="E194" s="139"/>
    </row>
    <row r="195" ht="14.25" customHeight="1">
      <c r="E195" s="139"/>
    </row>
    <row r="196" ht="14.25" customHeight="1">
      <c r="E196" s="139"/>
    </row>
    <row r="197" ht="14.25" customHeight="1">
      <c r="E197" s="139"/>
    </row>
    <row r="198" ht="14.25" customHeight="1">
      <c r="E198" s="139"/>
    </row>
    <row r="199" ht="14.25" customHeight="1">
      <c r="E199" s="139"/>
    </row>
    <row r="200" ht="14.25" customHeight="1">
      <c r="E200" s="139"/>
    </row>
    <row r="201" ht="14.25" customHeight="1">
      <c r="E201" s="139"/>
    </row>
    <row r="202" ht="14.25" customHeight="1">
      <c r="E202" s="139"/>
    </row>
    <row r="203" ht="14.25" customHeight="1">
      <c r="E203" s="139"/>
    </row>
    <row r="204" ht="14.25" customHeight="1">
      <c r="E204" s="139"/>
    </row>
    <row r="205" ht="14.25" customHeight="1">
      <c r="E205" s="139"/>
    </row>
    <row r="206" ht="14.25" customHeight="1">
      <c r="E206" s="139"/>
    </row>
    <row r="207" ht="14.25" customHeight="1">
      <c r="E207" s="139"/>
    </row>
    <row r="208" ht="14.25" customHeight="1">
      <c r="E208" s="139"/>
    </row>
    <row r="209" ht="14.25" customHeight="1">
      <c r="E209" s="139"/>
    </row>
    <row r="210" ht="14.25" customHeight="1">
      <c r="E210" s="139"/>
    </row>
    <row r="211" ht="14.25" customHeight="1">
      <c r="E211" s="139"/>
    </row>
    <row r="212" ht="14.25" customHeight="1">
      <c r="E212" s="139"/>
    </row>
    <row r="213" ht="14.25" customHeight="1">
      <c r="E213" s="139"/>
    </row>
    <row r="214" ht="14.25" customHeight="1">
      <c r="E214" s="139"/>
    </row>
    <row r="215" ht="14.25" customHeight="1">
      <c r="E215" s="139"/>
    </row>
    <row r="216" ht="14.25" customHeight="1">
      <c r="E216" s="139"/>
    </row>
    <row r="217" ht="14.25" customHeight="1">
      <c r="E217" s="139"/>
    </row>
    <row r="218" ht="14.25" customHeight="1">
      <c r="E218" s="139"/>
    </row>
    <row r="219" ht="14.25" customHeight="1">
      <c r="E219" s="139"/>
    </row>
    <row r="220" ht="14.25" customHeight="1">
      <c r="E220" s="139"/>
    </row>
    <row r="221" ht="14.25" customHeight="1">
      <c r="E221" s="139"/>
    </row>
    <row r="222" ht="14.25" customHeight="1">
      <c r="E222" s="139"/>
    </row>
    <row r="223" ht="14.25" customHeight="1">
      <c r="E223" s="139"/>
    </row>
    <row r="224" ht="14.25" customHeight="1">
      <c r="E224" s="139"/>
    </row>
    <row r="225" ht="14.25" customHeight="1">
      <c r="E225" s="139"/>
    </row>
    <row r="226" ht="14.25" customHeight="1">
      <c r="E226" s="139"/>
    </row>
    <row r="227" ht="14.25" customHeight="1">
      <c r="E227" s="139"/>
    </row>
    <row r="228" ht="14.25" customHeight="1">
      <c r="E228" s="139"/>
    </row>
    <row r="229" ht="14.25" customHeight="1">
      <c r="E229" s="139"/>
    </row>
    <row r="230" ht="14.25" customHeight="1">
      <c r="E230" s="139"/>
    </row>
    <row r="231" ht="14.25" customHeight="1">
      <c r="E231" s="139"/>
    </row>
    <row r="232" ht="14.25" customHeight="1">
      <c r="E232" s="139"/>
    </row>
    <row r="233" ht="14.25" customHeight="1">
      <c r="E233" s="139"/>
    </row>
    <row r="234" ht="14.25" customHeight="1">
      <c r="E234" s="139"/>
    </row>
    <row r="235" ht="14.25" customHeight="1">
      <c r="E235" s="139"/>
    </row>
    <row r="236" ht="14.25" customHeight="1">
      <c r="E236" s="139"/>
    </row>
    <row r="237" ht="14.25" customHeight="1">
      <c r="E237" s="139"/>
    </row>
    <row r="238" ht="14.25" customHeight="1">
      <c r="E238" s="139"/>
    </row>
    <row r="239" ht="14.25" customHeight="1">
      <c r="E239" s="139"/>
    </row>
    <row r="240" ht="14.25" customHeight="1">
      <c r="E240" s="139"/>
    </row>
    <row r="241" ht="14.25" customHeight="1">
      <c r="E241" s="139"/>
    </row>
    <row r="242" ht="14.25" customHeight="1">
      <c r="E242" s="139"/>
    </row>
    <row r="243" ht="14.25" customHeight="1">
      <c r="E243" s="139"/>
    </row>
    <row r="244" ht="14.25" customHeight="1">
      <c r="E244" s="139"/>
    </row>
    <row r="245" ht="14.25" customHeight="1">
      <c r="E245" s="139"/>
    </row>
    <row r="246" ht="14.25" customHeight="1">
      <c r="E246" s="139"/>
    </row>
    <row r="247" ht="14.25" customHeight="1">
      <c r="E247" s="139"/>
    </row>
    <row r="248" ht="14.25" customHeight="1">
      <c r="E248" s="139"/>
    </row>
    <row r="249" ht="14.25" customHeight="1">
      <c r="E249" s="139"/>
    </row>
    <row r="250" ht="14.25" customHeight="1">
      <c r="E250" s="139"/>
    </row>
    <row r="251" ht="14.25" customHeight="1">
      <c r="E251" s="139"/>
    </row>
    <row r="252" ht="14.25" customHeight="1">
      <c r="E252" s="139"/>
    </row>
    <row r="253" ht="14.25" customHeight="1">
      <c r="E253" s="139"/>
    </row>
    <row r="254" ht="14.25" customHeight="1">
      <c r="E254" s="139"/>
    </row>
    <row r="255" ht="14.25" customHeight="1">
      <c r="E255" s="139"/>
    </row>
    <row r="256" ht="14.25" customHeight="1">
      <c r="E256" s="139"/>
    </row>
    <row r="257" ht="14.25" customHeight="1">
      <c r="E257" s="139"/>
    </row>
    <row r="258" ht="14.25" customHeight="1">
      <c r="E258" s="139"/>
    </row>
    <row r="259" ht="14.25" customHeight="1">
      <c r="E259" s="139"/>
    </row>
    <row r="260" ht="14.25" customHeight="1">
      <c r="E260" s="139"/>
    </row>
    <row r="261" ht="14.25" customHeight="1">
      <c r="E261" s="139"/>
    </row>
    <row r="262" ht="14.25" customHeight="1">
      <c r="E262" s="139"/>
    </row>
    <row r="263" ht="14.25" customHeight="1">
      <c r="E263" s="139"/>
    </row>
    <row r="264" ht="14.25" customHeight="1">
      <c r="E264" s="139"/>
    </row>
    <row r="265" ht="14.25" customHeight="1">
      <c r="E265" s="139"/>
    </row>
    <row r="266" ht="14.25" customHeight="1">
      <c r="E266" s="139"/>
    </row>
    <row r="267" ht="14.25" customHeight="1">
      <c r="E267" s="139"/>
    </row>
    <row r="268" ht="14.25" customHeight="1">
      <c r="E268" s="139"/>
    </row>
    <row r="269" ht="14.25" customHeight="1">
      <c r="E269" s="139"/>
    </row>
    <row r="270" ht="14.25" customHeight="1">
      <c r="E270" s="139"/>
    </row>
    <row r="271" ht="14.25" customHeight="1">
      <c r="E271" s="139"/>
    </row>
    <row r="272" ht="14.25" customHeight="1">
      <c r="E272" s="139"/>
    </row>
    <row r="273" ht="14.25" customHeight="1">
      <c r="E273" s="139"/>
    </row>
    <row r="274" ht="14.25" customHeight="1">
      <c r="E274" s="139"/>
    </row>
    <row r="275" ht="14.25" customHeight="1">
      <c r="E275" s="139"/>
    </row>
    <row r="276" ht="14.25" customHeight="1">
      <c r="E276" s="139"/>
    </row>
    <row r="277" ht="14.25" customHeight="1">
      <c r="E277" s="139"/>
    </row>
    <row r="278" ht="14.25" customHeight="1">
      <c r="E278" s="139"/>
    </row>
    <row r="279" ht="14.25" customHeight="1">
      <c r="E279" s="139"/>
    </row>
    <row r="280" ht="14.25" customHeight="1">
      <c r="E280" s="139"/>
    </row>
    <row r="281" ht="14.25" customHeight="1">
      <c r="E281" s="139"/>
    </row>
    <row r="282" ht="14.25" customHeight="1">
      <c r="E282" s="139"/>
    </row>
    <row r="283" ht="14.25" customHeight="1">
      <c r="E283" s="139"/>
    </row>
    <row r="284" ht="14.25" customHeight="1">
      <c r="E284" s="139"/>
    </row>
    <row r="285" ht="14.25" customHeight="1">
      <c r="E285" s="139"/>
    </row>
    <row r="286" ht="14.25" customHeight="1">
      <c r="E286" s="139"/>
    </row>
    <row r="287" ht="14.25" customHeight="1">
      <c r="E287" s="139"/>
    </row>
    <row r="288" ht="14.25" customHeight="1">
      <c r="E288" s="139"/>
    </row>
    <row r="289" ht="14.25" customHeight="1">
      <c r="E289" s="139"/>
    </row>
    <row r="290" ht="14.25" customHeight="1">
      <c r="E290" s="139"/>
    </row>
    <row r="291" ht="14.25" customHeight="1">
      <c r="E291" s="139"/>
    </row>
    <row r="292" ht="14.25" customHeight="1">
      <c r="E292" s="139"/>
    </row>
    <row r="293" ht="14.25" customHeight="1">
      <c r="E293" s="139"/>
    </row>
    <row r="294" ht="14.25" customHeight="1">
      <c r="E294" s="139"/>
    </row>
    <row r="295" ht="14.25" customHeight="1">
      <c r="E295" s="139"/>
    </row>
    <row r="296" ht="14.25" customHeight="1">
      <c r="E296" s="139"/>
    </row>
    <row r="297" ht="14.25" customHeight="1">
      <c r="E297" s="139"/>
    </row>
    <row r="298" ht="14.25" customHeight="1">
      <c r="E298" s="139"/>
    </row>
    <row r="299" ht="14.25" customHeight="1">
      <c r="E299" s="139"/>
    </row>
    <row r="300" ht="14.25" customHeight="1">
      <c r="E300" s="139"/>
    </row>
    <row r="301" ht="14.25" customHeight="1">
      <c r="E301" s="139"/>
    </row>
    <row r="302" ht="14.25" customHeight="1">
      <c r="E302" s="139"/>
    </row>
    <row r="303" ht="14.25" customHeight="1">
      <c r="E303" s="139"/>
    </row>
    <row r="304" ht="14.25" customHeight="1">
      <c r="E304" s="139"/>
    </row>
    <row r="305" ht="14.25" customHeight="1">
      <c r="E305" s="139"/>
    </row>
    <row r="306" ht="14.25" customHeight="1">
      <c r="E306" s="139"/>
    </row>
    <row r="307" ht="14.25" customHeight="1">
      <c r="E307" s="139"/>
    </row>
    <row r="308" ht="14.25" customHeight="1">
      <c r="E308" s="139"/>
    </row>
    <row r="309" ht="14.25" customHeight="1">
      <c r="E309" s="139"/>
    </row>
    <row r="310" ht="14.25" customHeight="1">
      <c r="E310" s="139"/>
    </row>
    <row r="311" ht="14.25" customHeight="1">
      <c r="E311" s="139"/>
    </row>
    <row r="312" ht="14.25" customHeight="1">
      <c r="E312" s="139"/>
    </row>
    <row r="313" ht="14.25" customHeight="1">
      <c r="E313" s="139"/>
    </row>
    <row r="314" ht="14.25" customHeight="1">
      <c r="E314" s="139"/>
    </row>
    <row r="315" ht="14.25" customHeight="1">
      <c r="E315" s="139"/>
    </row>
    <row r="316" ht="14.25" customHeight="1">
      <c r="E316" s="139"/>
    </row>
    <row r="317" ht="14.25" customHeight="1">
      <c r="E317" s="139"/>
    </row>
    <row r="318" ht="14.25" customHeight="1">
      <c r="E318" s="139"/>
    </row>
    <row r="319" ht="14.25" customHeight="1">
      <c r="E319" s="139"/>
    </row>
    <row r="320" ht="14.25" customHeight="1">
      <c r="E320" s="139"/>
    </row>
    <row r="321" ht="14.25" customHeight="1">
      <c r="E321" s="139"/>
    </row>
    <row r="322" ht="14.25" customHeight="1">
      <c r="E322" s="139"/>
    </row>
    <row r="323" ht="14.25" customHeight="1">
      <c r="E323" s="139"/>
    </row>
    <row r="324" ht="14.25" customHeight="1">
      <c r="E324" s="139"/>
    </row>
    <row r="325" ht="14.25" customHeight="1">
      <c r="E325" s="139"/>
    </row>
    <row r="326" ht="14.25" customHeight="1">
      <c r="E326" s="139"/>
    </row>
    <row r="327" ht="14.25" customHeight="1">
      <c r="E327" s="139"/>
    </row>
    <row r="328" ht="14.25" customHeight="1">
      <c r="E328" s="139"/>
    </row>
    <row r="329" ht="14.25" customHeight="1">
      <c r="E329" s="139"/>
    </row>
    <row r="330" ht="14.25" customHeight="1">
      <c r="E330" s="139"/>
    </row>
    <row r="331" ht="14.25" customHeight="1">
      <c r="E331" s="139"/>
    </row>
    <row r="332" ht="14.25" customHeight="1">
      <c r="E332" s="139"/>
    </row>
    <row r="333" ht="14.25" customHeight="1">
      <c r="E333" s="139"/>
    </row>
    <row r="334" ht="14.25" customHeight="1">
      <c r="E334" s="139"/>
    </row>
    <row r="335" ht="14.25" customHeight="1">
      <c r="E335" s="139"/>
    </row>
    <row r="336" ht="14.25" customHeight="1">
      <c r="E336" s="139"/>
    </row>
    <row r="337" ht="14.25" customHeight="1">
      <c r="E337" s="139"/>
    </row>
    <row r="338" ht="14.25" customHeight="1">
      <c r="E338" s="139"/>
    </row>
    <row r="339" ht="14.25" customHeight="1">
      <c r="E339" s="139"/>
    </row>
    <row r="340" ht="14.25" customHeight="1">
      <c r="E340" s="139"/>
    </row>
    <row r="341" ht="14.25" customHeight="1">
      <c r="E341" s="139"/>
    </row>
    <row r="342" ht="14.25" customHeight="1">
      <c r="E342" s="139"/>
    </row>
    <row r="343" ht="14.25" customHeight="1">
      <c r="E343" s="139"/>
    </row>
    <row r="344" ht="14.25" customHeight="1">
      <c r="E344" s="139"/>
    </row>
    <row r="345" ht="14.25" customHeight="1">
      <c r="E345" s="139"/>
    </row>
    <row r="346" ht="14.25" customHeight="1">
      <c r="E346" s="139"/>
    </row>
    <row r="347" ht="14.25" customHeight="1">
      <c r="E347" s="139"/>
    </row>
    <row r="348" ht="14.25" customHeight="1">
      <c r="E348" s="139"/>
    </row>
    <row r="349" ht="14.25" customHeight="1">
      <c r="E349" s="139"/>
    </row>
    <row r="350" ht="14.25" customHeight="1">
      <c r="E350" s="139"/>
    </row>
    <row r="351" ht="14.25" customHeight="1">
      <c r="E351" s="139"/>
    </row>
    <row r="352" ht="14.25" customHeight="1">
      <c r="E352" s="139"/>
    </row>
    <row r="353" ht="14.25" customHeight="1">
      <c r="E353" s="139"/>
    </row>
    <row r="354" ht="14.25" customHeight="1">
      <c r="E354" s="139"/>
    </row>
    <row r="355" ht="14.25" customHeight="1">
      <c r="E355" s="139"/>
    </row>
    <row r="356" ht="14.25" customHeight="1">
      <c r="E356" s="139"/>
    </row>
    <row r="357" ht="14.25" customHeight="1">
      <c r="E357" s="139"/>
    </row>
    <row r="358" ht="14.25" customHeight="1">
      <c r="E358" s="139"/>
    </row>
    <row r="359" ht="14.25" customHeight="1">
      <c r="E359" s="139"/>
    </row>
    <row r="360" ht="14.25" customHeight="1">
      <c r="E360" s="139"/>
    </row>
    <row r="361" ht="14.25" customHeight="1">
      <c r="E361" s="139"/>
    </row>
    <row r="362" ht="14.25" customHeight="1">
      <c r="E362" s="139"/>
    </row>
    <row r="363" ht="14.25" customHeight="1">
      <c r="E363" s="139"/>
    </row>
    <row r="364" ht="14.25" customHeight="1">
      <c r="E364" s="139"/>
    </row>
    <row r="365" ht="14.25" customHeight="1">
      <c r="E365" s="139"/>
    </row>
    <row r="366" ht="14.25" customHeight="1">
      <c r="E366" s="139"/>
    </row>
    <row r="367" ht="14.25" customHeight="1">
      <c r="E367" s="139"/>
    </row>
    <row r="368" ht="14.25" customHeight="1">
      <c r="E368" s="139"/>
    </row>
    <row r="369" ht="14.25" customHeight="1">
      <c r="E369" s="139"/>
    </row>
    <row r="370" ht="14.25" customHeight="1">
      <c r="E370" s="139"/>
    </row>
    <row r="371" ht="14.25" customHeight="1">
      <c r="E371" s="139"/>
    </row>
    <row r="372" ht="14.25" customHeight="1">
      <c r="E372" s="139"/>
    </row>
    <row r="373" ht="14.25" customHeight="1">
      <c r="E373" s="139"/>
    </row>
    <row r="374" ht="14.25" customHeight="1">
      <c r="E374" s="139"/>
    </row>
    <row r="375" ht="14.25" customHeight="1">
      <c r="E375" s="139"/>
    </row>
    <row r="376" ht="14.25" customHeight="1">
      <c r="E376" s="139"/>
    </row>
    <row r="377" ht="14.25" customHeight="1">
      <c r="E377" s="139"/>
    </row>
    <row r="378" ht="14.25" customHeight="1">
      <c r="E378" s="139"/>
    </row>
    <row r="379" ht="14.25" customHeight="1">
      <c r="E379" s="139"/>
    </row>
    <row r="380" ht="14.25" customHeight="1">
      <c r="E380" s="139"/>
    </row>
    <row r="381" ht="14.25" customHeight="1">
      <c r="E381" s="139"/>
    </row>
    <row r="382" ht="14.25" customHeight="1">
      <c r="E382" s="139"/>
    </row>
    <row r="383" ht="14.25" customHeight="1">
      <c r="E383" s="139"/>
    </row>
    <row r="384" ht="14.25" customHeight="1">
      <c r="E384" s="139"/>
    </row>
    <row r="385" ht="14.25" customHeight="1">
      <c r="E385" s="139"/>
    </row>
    <row r="386" ht="14.25" customHeight="1">
      <c r="E386" s="139"/>
    </row>
    <row r="387" ht="14.25" customHeight="1">
      <c r="E387" s="139"/>
    </row>
    <row r="388" ht="14.25" customHeight="1">
      <c r="E388" s="139"/>
    </row>
    <row r="389" ht="14.25" customHeight="1">
      <c r="E389" s="139"/>
    </row>
    <row r="390" ht="14.25" customHeight="1">
      <c r="E390" s="139"/>
    </row>
    <row r="391" ht="14.25" customHeight="1">
      <c r="E391" s="139"/>
    </row>
    <row r="392" ht="14.25" customHeight="1">
      <c r="E392" s="139"/>
    </row>
    <row r="393" ht="14.25" customHeight="1">
      <c r="E393" s="139"/>
    </row>
    <row r="394" ht="14.25" customHeight="1">
      <c r="E394" s="139"/>
    </row>
    <row r="395" ht="14.25" customHeight="1">
      <c r="E395" s="139"/>
    </row>
    <row r="396" ht="14.25" customHeight="1">
      <c r="E396" s="139"/>
    </row>
    <row r="397" ht="14.25" customHeight="1">
      <c r="E397" s="139"/>
    </row>
    <row r="398" ht="14.25" customHeight="1">
      <c r="E398" s="139"/>
    </row>
    <row r="399" ht="14.25" customHeight="1">
      <c r="E399" s="139"/>
    </row>
    <row r="400" ht="14.25" customHeight="1">
      <c r="E400" s="139"/>
    </row>
    <row r="401" ht="14.25" customHeight="1">
      <c r="E401" s="139"/>
    </row>
    <row r="402" ht="14.25" customHeight="1">
      <c r="E402" s="139"/>
    </row>
    <row r="403" ht="14.25" customHeight="1">
      <c r="E403" s="139"/>
    </row>
    <row r="404" ht="14.25" customHeight="1">
      <c r="E404" s="139"/>
    </row>
    <row r="405" ht="14.25" customHeight="1">
      <c r="E405" s="139"/>
    </row>
    <row r="406" ht="14.25" customHeight="1">
      <c r="E406" s="139"/>
    </row>
    <row r="407" ht="14.25" customHeight="1">
      <c r="E407" s="139"/>
    </row>
    <row r="408" ht="14.25" customHeight="1">
      <c r="E408" s="139"/>
    </row>
    <row r="409" ht="14.25" customHeight="1">
      <c r="E409" s="139"/>
    </row>
    <row r="410" ht="14.25" customHeight="1">
      <c r="E410" s="139"/>
    </row>
    <row r="411" ht="14.25" customHeight="1">
      <c r="E411" s="139"/>
    </row>
    <row r="412" ht="14.25" customHeight="1">
      <c r="E412" s="139"/>
    </row>
    <row r="413" ht="14.25" customHeight="1">
      <c r="E413" s="139"/>
    </row>
    <row r="414" ht="14.25" customHeight="1">
      <c r="E414" s="139"/>
    </row>
    <row r="415" ht="14.25" customHeight="1">
      <c r="E415" s="139"/>
    </row>
    <row r="416" ht="14.25" customHeight="1">
      <c r="E416" s="139"/>
    </row>
    <row r="417" ht="14.25" customHeight="1">
      <c r="E417" s="139"/>
    </row>
    <row r="418" ht="14.25" customHeight="1">
      <c r="E418" s="139"/>
    </row>
    <row r="419" ht="14.25" customHeight="1">
      <c r="E419" s="139"/>
    </row>
    <row r="420" ht="14.25" customHeight="1">
      <c r="E420" s="139"/>
    </row>
    <row r="421" ht="14.25" customHeight="1">
      <c r="E421" s="139"/>
    </row>
    <row r="422" ht="14.25" customHeight="1">
      <c r="E422" s="139"/>
    </row>
    <row r="423" ht="14.25" customHeight="1">
      <c r="E423" s="139"/>
    </row>
    <row r="424" ht="14.25" customHeight="1">
      <c r="E424" s="139"/>
    </row>
    <row r="425" ht="14.25" customHeight="1">
      <c r="E425" s="139"/>
    </row>
    <row r="426" ht="14.25" customHeight="1">
      <c r="E426" s="139"/>
    </row>
    <row r="427" ht="14.25" customHeight="1">
      <c r="E427" s="139"/>
    </row>
    <row r="428" ht="14.25" customHeight="1">
      <c r="E428" s="139"/>
    </row>
    <row r="429" ht="14.25" customHeight="1">
      <c r="E429" s="139"/>
    </row>
    <row r="430" ht="14.25" customHeight="1">
      <c r="E430" s="139"/>
    </row>
    <row r="431" ht="14.25" customHeight="1">
      <c r="E431" s="139"/>
    </row>
    <row r="432" ht="14.25" customHeight="1">
      <c r="E432" s="139"/>
    </row>
    <row r="433" ht="14.25" customHeight="1">
      <c r="E433" s="139"/>
    </row>
    <row r="434" ht="14.25" customHeight="1">
      <c r="E434" s="139"/>
    </row>
    <row r="435" ht="14.25" customHeight="1">
      <c r="E435" s="139"/>
    </row>
    <row r="436" ht="14.25" customHeight="1">
      <c r="E436" s="139"/>
    </row>
    <row r="437" ht="14.25" customHeight="1">
      <c r="E437" s="139"/>
    </row>
    <row r="438" ht="14.25" customHeight="1">
      <c r="E438" s="139"/>
    </row>
    <row r="439" ht="14.25" customHeight="1">
      <c r="E439" s="139"/>
    </row>
    <row r="440" ht="14.25" customHeight="1">
      <c r="E440" s="139"/>
    </row>
    <row r="441" ht="14.25" customHeight="1">
      <c r="E441" s="139"/>
    </row>
    <row r="442" ht="14.25" customHeight="1">
      <c r="E442" s="139"/>
    </row>
    <row r="443" ht="14.25" customHeight="1">
      <c r="E443" s="139"/>
    </row>
    <row r="444" ht="14.25" customHeight="1">
      <c r="E444" s="139"/>
    </row>
    <row r="445" ht="14.25" customHeight="1">
      <c r="E445" s="139"/>
    </row>
    <row r="446" ht="14.25" customHeight="1">
      <c r="E446" s="139"/>
    </row>
    <row r="447" ht="14.25" customHeight="1">
      <c r="E447" s="139"/>
    </row>
    <row r="448" ht="14.25" customHeight="1">
      <c r="E448" s="139"/>
    </row>
    <row r="449" ht="14.25" customHeight="1">
      <c r="E449" s="139"/>
    </row>
    <row r="450" ht="14.25" customHeight="1">
      <c r="E450" s="139"/>
    </row>
    <row r="451" ht="14.25" customHeight="1">
      <c r="E451" s="139"/>
    </row>
    <row r="452" ht="14.25" customHeight="1">
      <c r="E452" s="139"/>
    </row>
    <row r="453" ht="14.25" customHeight="1">
      <c r="E453" s="139"/>
    </row>
    <row r="454" ht="14.25" customHeight="1">
      <c r="E454" s="139"/>
    </row>
    <row r="455" ht="14.25" customHeight="1">
      <c r="E455" s="139"/>
    </row>
    <row r="456" ht="14.25" customHeight="1">
      <c r="E456" s="139"/>
    </row>
    <row r="457" ht="14.25" customHeight="1">
      <c r="E457" s="139"/>
    </row>
    <row r="458" ht="14.25" customHeight="1">
      <c r="E458" s="139"/>
    </row>
    <row r="459" ht="14.25" customHeight="1">
      <c r="E459" s="139"/>
    </row>
    <row r="460" ht="14.25" customHeight="1">
      <c r="E460" s="139"/>
    </row>
    <row r="461" ht="14.25" customHeight="1">
      <c r="E461" s="139"/>
    </row>
    <row r="462" ht="14.25" customHeight="1">
      <c r="E462" s="139"/>
    </row>
    <row r="463" ht="14.25" customHeight="1">
      <c r="E463" s="139"/>
    </row>
    <row r="464" ht="14.25" customHeight="1">
      <c r="E464" s="139"/>
    </row>
    <row r="465" ht="14.25" customHeight="1">
      <c r="E465" s="139"/>
    </row>
    <row r="466" ht="14.25" customHeight="1">
      <c r="E466" s="139"/>
    </row>
    <row r="467" ht="14.25" customHeight="1">
      <c r="E467" s="139"/>
    </row>
    <row r="468" ht="14.25" customHeight="1">
      <c r="E468" s="139"/>
    </row>
    <row r="469" ht="14.25" customHeight="1">
      <c r="E469" s="139"/>
    </row>
    <row r="470" ht="14.25" customHeight="1">
      <c r="E470" s="139"/>
    </row>
    <row r="471" ht="14.25" customHeight="1">
      <c r="E471" s="139"/>
    </row>
    <row r="472" ht="14.25" customHeight="1">
      <c r="E472" s="139"/>
    </row>
    <row r="473" ht="14.25" customHeight="1">
      <c r="E473" s="139"/>
    </row>
    <row r="474" ht="14.25" customHeight="1">
      <c r="E474" s="139"/>
    </row>
    <row r="475" ht="14.25" customHeight="1">
      <c r="E475" s="139"/>
    </row>
    <row r="476" ht="14.25" customHeight="1">
      <c r="E476" s="139"/>
    </row>
    <row r="477" ht="14.25" customHeight="1">
      <c r="E477" s="139"/>
    </row>
    <row r="478" ht="14.25" customHeight="1">
      <c r="E478" s="139"/>
    </row>
    <row r="479" ht="14.25" customHeight="1">
      <c r="E479" s="139"/>
    </row>
    <row r="480" ht="14.25" customHeight="1">
      <c r="E480" s="139"/>
    </row>
    <row r="481" ht="14.25" customHeight="1">
      <c r="E481" s="139"/>
    </row>
    <row r="482" ht="14.25" customHeight="1">
      <c r="E482" s="139"/>
    </row>
    <row r="483" ht="14.25" customHeight="1">
      <c r="E483" s="139"/>
    </row>
    <row r="484" ht="14.25" customHeight="1">
      <c r="E484" s="139"/>
    </row>
    <row r="485" ht="14.25" customHeight="1">
      <c r="E485" s="139"/>
    </row>
    <row r="486" ht="14.25" customHeight="1">
      <c r="E486" s="139"/>
    </row>
    <row r="487" ht="14.25" customHeight="1">
      <c r="E487" s="139"/>
    </row>
    <row r="488" ht="14.25" customHeight="1">
      <c r="E488" s="139"/>
    </row>
    <row r="489" ht="14.25" customHeight="1">
      <c r="E489" s="139"/>
    </row>
    <row r="490" ht="14.25" customHeight="1">
      <c r="E490" s="139"/>
    </row>
    <row r="491" ht="14.25" customHeight="1">
      <c r="E491" s="139"/>
    </row>
    <row r="492" ht="14.25" customHeight="1">
      <c r="E492" s="139"/>
    </row>
    <row r="493" ht="14.25" customHeight="1">
      <c r="E493" s="139"/>
    </row>
    <row r="494" ht="14.25" customHeight="1">
      <c r="E494" s="139"/>
    </row>
    <row r="495" ht="14.25" customHeight="1">
      <c r="E495" s="139"/>
    </row>
    <row r="496" ht="14.25" customHeight="1">
      <c r="E496" s="139"/>
    </row>
    <row r="497" ht="14.25" customHeight="1">
      <c r="E497" s="139"/>
    </row>
    <row r="498" ht="14.25" customHeight="1">
      <c r="E498" s="139"/>
    </row>
    <row r="499" ht="14.25" customHeight="1">
      <c r="E499" s="139"/>
    </row>
    <row r="500" ht="14.25" customHeight="1">
      <c r="E500" s="139"/>
    </row>
    <row r="501" ht="14.25" customHeight="1">
      <c r="E501" s="139"/>
    </row>
    <row r="502" ht="14.25" customHeight="1">
      <c r="E502" s="139"/>
    </row>
    <row r="503" ht="14.25" customHeight="1">
      <c r="E503" s="139"/>
    </row>
    <row r="504" ht="14.25" customHeight="1">
      <c r="E504" s="139"/>
    </row>
    <row r="505" ht="14.25" customHeight="1">
      <c r="E505" s="139"/>
    </row>
    <row r="506" ht="14.25" customHeight="1">
      <c r="E506" s="139"/>
    </row>
    <row r="507" ht="14.25" customHeight="1">
      <c r="E507" s="139"/>
    </row>
    <row r="508" ht="14.25" customHeight="1">
      <c r="E508" s="139"/>
    </row>
    <row r="509" ht="14.25" customHeight="1">
      <c r="E509" s="139"/>
    </row>
    <row r="510" ht="14.25" customHeight="1">
      <c r="E510" s="139"/>
    </row>
    <row r="511" ht="14.25" customHeight="1">
      <c r="E511" s="139"/>
    </row>
    <row r="512" ht="14.25" customHeight="1">
      <c r="E512" s="139"/>
    </row>
    <row r="513" ht="14.25" customHeight="1">
      <c r="E513" s="139"/>
    </row>
    <row r="514" ht="14.25" customHeight="1">
      <c r="E514" s="139"/>
    </row>
    <row r="515" ht="14.25" customHeight="1">
      <c r="E515" s="139"/>
    </row>
    <row r="516" ht="14.25" customHeight="1">
      <c r="E516" s="139"/>
    </row>
    <row r="517" ht="14.25" customHeight="1">
      <c r="E517" s="139"/>
    </row>
    <row r="518" ht="14.25" customHeight="1">
      <c r="E518" s="139"/>
    </row>
    <row r="519" ht="14.25" customHeight="1">
      <c r="E519" s="139"/>
    </row>
    <row r="520" ht="14.25" customHeight="1">
      <c r="E520" s="139"/>
    </row>
    <row r="521" ht="14.25" customHeight="1">
      <c r="E521" s="139"/>
    </row>
    <row r="522" ht="14.25" customHeight="1">
      <c r="E522" s="139"/>
    </row>
    <row r="523" ht="14.25" customHeight="1">
      <c r="E523" s="139"/>
    </row>
    <row r="524" ht="14.25" customHeight="1">
      <c r="E524" s="139"/>
    </row>
    <row r="525" ht="14.25" customHeight="1">
      <c r="E525" s="139"/>
    </row>
    <row r="526" ht="14.25" customHeight="1">
      <c r="E526" s="139"/>
    </row>
    <row r="527" ht="14.25" customHeight="1">
      <c r="E527" s="139"/>
    </row>
    <row r="528" ht="14.25" customHeight="1">
      <c r="E528" s="139"/>
    </row>
    <row r="529" ht="14.25" customHeight="1">
      <c r="E529" s="139"/>
    </row>
    <row r="530" ht="14.25" customHeight="1">
      <c r="E530" s="139"/>
    </row>
    <row r="531" ht="14.25" customHeight="1">
      <c r="E531" s="139"/>
    </row>
    <row r="532" ht="14.25" customHeight="1">
      <c r="E532" s="139"/>
    </row>
    <row r="533" ht="14.25" customHeight="1">
      <c r="E533" s="139"/>
    </row>
    <row r="534" ht="14.25" customHeight="1">
      <c r="E534" s="139"/>
    </row>
    <row r="535" ht="14.25" customHeight="1">
      <c r="E535" s="139"/>
    </row>
    <row r="536" ht="14.25" customHeight="1">
      <c r="E536" s="139"/>
    </row>
    <row r="537" ht="14.25" customHeight="1">
      <c r="E537" s="139"/>
    </row>
    <row r="538" ht="14.25" customHeight="1">
      <c r="E538" s="139"/>
    </row>
    <row r="539" ht="14.25" customHeight="1">
      <c r="E539" s="139"/>
    </row>
    <row r="540" ht="14.25" customHeight="1">
      <c r="E540" s="139"/>
    </row>
    <row r="541" ht="14.25" customHeight="1">
      <c r="E541" s="139"/>
    </row>
    <row r="542" ht="14.25" customHeight="1">
      <c r="E542" s="139"/>
    </row>
    <row r="543" ht="14.25" customHeight="1">
      <c r="E543" s="139"/>
    </row>
    <row r="544" ht="14.25" customHeight="1">
      <c r="E544" s="139"/>
    </row>
    <row r="545" ht="14.25" customHeight="1">
      <c r="E545" s="139"/>
    </row>
    <row r="546" ht="14.25" customHeight="1">
      <c r="E546" s="139"/>
    </row>
    <row r="547" ht="14.25" customHeight="1">
      <c r="E547" s="139"/>
    </row>
    <row r="548" ht="14.25" customHeight="1">
      <c r="E548" s="139"/>
    </row>
    <row r="549" ht="14.25" customHeight="1">
      <c r="E549" s="139"/>
    </row>
    <row r="550" ht="14.25" customHeight="1">
      <c r="E550" s="139"/>
    </row>
    <row r="551" ht="14.25" customHeight="1">
      <c r="E551" s="139"/>
    </row>
    <row r="552" ht="14.25" customHeight="1">
      <c r="E552" s="139"/>
    </row>
    <row r="553" ht="14.25" customHeight="1">
      <c r="E553" s="139"/>
    </row>
    <row r="554" ht="14.25" customHeight="1">
      <c r="E554" s="139"/>
    </row>
    <row r="555" ht="14.25" customHeight="1">
      <c r="E555" s="139"/>
    </row>
    <row r="556" ht="14.25" customHeight="1">
      <c r="E556" s="139"/>
    </row>
    <row r="557" ht="14.25" customHeight="1">
      <c r="E557" s="139"/>
    </row>
    <row r="558" ht="14.25" customHeight="1">
      <c r="E558" s="139"/>
    </row>
    <row r="559" ht="14.25" customHeight="1">
      <c r="E559" s="139"/>
    </row>
    <row r="560" ht="14.25" customHeight="1">
      <c r="E560" s="139"/>
    </row>
    <row r="561" ht="14.25" customHeight="1">
      <c r="E561" s="139"/>
    </row>
    <row r="562" ht="14.25" customHeight="1">
      <c r="E562" s="139"/>
    </row>
    <row r="563" ht="14.25" customHeight="1">
      <c r="E563" s="139"/>
    </row>
    <row r="564" ht="14.25" customHeight="1">
      <c r="E564" s="139"/>
    </row>
    <row r="565" ht="14.25" customHeight="1">
      <c r="E565" s="139"/>
    </row>
    <row r="566" ht="14.25" customHeight="1">
      <c r="E566" s="139"/>
    </row>
    <row r="567" ht="14.25" customHeight="1">
      <c r="E567" s="139"/>
    </row>
    <row r="568" ht="14.25" customHeight="1">
      <c r="E568" s="139"/>
    </row>
    <row r="569" ht="14.25" customHeight="1">
      <c r="E569" s="139"/>
    </row>
    <row r="570" ht="14.25" customHeight="1">
      <c r="E570" s="139"/>
    </row>
    <row r="571" ht="14.25" customHeight="1">
      <c r="E571" s="139"/>
    </row>
    <row r="572" ht="14.25" customHeight="1">
      <c r="E572" s="139"/>
    </row>
    <row r="573" ht="14.25" customHeight="1">
      <c r="E573" s="139"/>
    </row>
    <row r="574" ht="14.25" customHeight="1">
      <c r="E574" s="139"/>
    </row>
    <row r="575" ht="14.25" customHeight="1">
      <c r="E575" s="139"/>
    </row>
    <row r="576" ht="14.25" customHeight="1">
      <c r="E576" s="139"/>
    </row>
    <row r="577" ht="14.25" customHeight="1">
      <c r="E577" s="139"/>
    </row>
    <row r="578" ht="14.25" customHeight="1">
      <c r="E578" s="139"/>
    </row>
    <row r="579" ht="14.25" customHeight="1">
      <c r="E579" s="139"/>
    </row>
    <row r="580" ht="14.25" customHeight="1">
      <c r="E580" s="139"/>
    </row>
    <row r="581" ht="14.25" customHeight="1">
      <c r="E581" s="139"/>
    </row>
    <row r="582" ht="14.25" customHeight="1">
      <c r="E582" s="139"/>
    </row>
    <row r="583" ht="14.25" customHeight="1">
      <c r="E583" s="139"/>
    </row>
    <row r="584" ht="14.25" customHeight="1">
      <c r="E584" s="139"/>
    </row>
    <row r="585" ht="14.25" customHeight="1">
      <c r="E585" s="139"/>
    </row>
    <row r="586" ht="14.25" customHeight="1">
      <c r="E586" s="139"/>
    </row>
    <row r="587" ht="14.25" customHeight="1">
      <c r="E587" s="139"/>
    </row>
    <row r="588" ht="14.25" customHeight="1">
      <c r="E588" s="139"/>
    </row>
    <row r="589" ht="14.25" customHeight="1">
      <c r="E589" s="139"/>
    </row>
    <row r="590" ht="14.25" customHeight="1">
      <c r="E590" s="139"/>
    </row>
    <row r="591" ht="14.25" customHeight="1">
      <c r="E591" s="139"/>
    </row>
    <row r="592" ht="14.25" customHeight="1">
      <c r="E592" s="139"/>
    </row>
    <row r="593" ht="14.25" customHeight="1">
      <c r="E593" s="139"/>
    </row>
    <row r="594" ht="14.25" customHeight="1">
      <c r="E594" s="139"/>
    </row>
    <row r="595" ht="14.25" customHeight="1">
      <c r="E595" s="139"/>
    </row>
    <row r="596" ht="14.25" customHeight="1">
      <c r="E596" s="139"/>
    </row>
    <row r="597" ht="14.25" customHeight="1">
      <c r="E597" s="139"/>
    </row>
    <row r="598" ht="14.25" customHeight="1">
      <c r="E598" s="139"/>
    </row>
    <row r="599" ht="14.25" customHeight="1">
      <c r="E599" s="139"/>
    </row>
    <row r="600" ht="14.25" customHeight="1">
      <c r="E600" s="139"/>
    </row>
    <row r="601" ht="14.25" customHeight="1">
      <c r="E601" s="139"/>
    </row>
    <row r="602" ht="14.25" customHeight="1">
      <c r="E602" s="139"/>
    </row>
    <row r="603" ht="14.25" customHeight="1">
      <c r="E603" s="139"/>
    </row>
    <row r="604" ht="14.25" customHeight="1">
      <c r="E604" s="139"/>
    </row>
    <row r="605" ht="14.25" customHeight="1">
      <c r="E605" s="139"/>
    </row>
    <row r="606" ht="14.25" customHeight="1">
      <c r="E606" s="139"/>
    </row>
    <row r="607" ht="14.25" customHeight="1">
      <c r="E607" s="139"/>
    </row>
    <row r="608" ht="14.25" customHeight="1">
      <c r="E608" s="139"/>
    </row>
    <row r="609" ht="14.25" customHeight="1">
      <c r="E609" s="139"/>
    </row>
    <row r="610" ht="14.25" customHeight="1">
      <c r="E610" s="139"/>
    </row>
    <row r="611" ht="14.25" customHeight="1">
      <c r="E611" s="139"/>
    </row>
    <row r="612" ht="14.25" customHeight="1">
      <c r="E612" s="139"/>
    </row>
    <row r="613" ht="14.25" customHeight="1">
      <c r="E613" s="139"/>
    </row>
    <row r="614" ht="14.25" customHeight="1">
      <c r="E614" s="139"/>
    </row>
    <row r="615" ht="14.25" customHeight="1">
      <c r="E615" s="139"/>
    </row>
    <row r="616" ht="14.25" customHeight="1">
      <c r="E616" s="139"/>
    </row>
    <row r="617" ht="14.25" customHeight="1">
      <c r="E617" s="139"/>
    </row>
    <row r="618" ht="14.25" customHeight="1">
      <c r="E618" s="139"/>
    </row>
    <row r="619" ht="14.25" customHeight="1">
      <c r="E619" s="139"/>
    </row>
    <row r="620" ht="14.25" customHeight="1">
      <c r="E620" s="139"/>
    </row>
    <row r="621" ht="14.25" customHeight="1">
      <c r="E621" s="139"/>
    </row>
    <row r="622" ht="14.25" customHeight="1">
      <c r="E622" s="139"/>
    </row>
    <row r="623" ht="14.25" customHeight="1">
      <c r="E623" s="139"/>
    </row>
    <row r="624" ht="14.25" customHeight="1">
      <c r="E624" s="139"/>
    </row>
    <row r="625" ht="14.25" customHeight="1">
      <c r="E625" s="139"/>
    </row>
    <row r="626" ht="14.25" customHeight="1">
      <c r="E626" s="139"/>
    </row>
    <row r="627" ht="14.25" customHeight="1">
      <c r="E627" s="139"/>
    </row>
    <row r="628" ht="14.25" customHeight="1">
      <c r="E628" s="139"/>
    </row>
    <row r="629" ht="14.25" customHeight="1">
      <c r="E629" s="139"/>
    </row>
    <row r="630" ht="14.25" customHeight="1">
      <c r="E630" s="139"/>
    </row>
    <row r="631" ht="14.25" customHeight="1">
      <c r="E631" s="139"/>
    </row>
    <row r="632" ht="14.25" customHeight="1">
      <c r="E632" s="139"/>
    </row>
    <row r="633" ht="14.25" customHeight="1">
      <c r="E633" s="139"/>
    </row>
    <row r="634" ht="14.25" customHeight="1">
      <c r="E634" s="139"/>
    </row>
    <row r="635" ht="14.25" customHeight="1">
      <c r="E635" s="139"/>
    </row>
    <row r="636" ht="14.25" customHeight="1">
      <c r="E636" s="139"/>
    </row>
    <row r="637" ht="14.25" customHeight="1">
      <c r="E637" s="139"/>
    </row>
    <row r="638" ht="14.25" customHeight="1">
      <c r="E638" s="139"/>
    </row>
    <row r="639" ht="14.25" customHeight="1">
      <c r="E639" s="139"/>
    </row>
    <row r="640" ht="14.25" customHeight="1">
      <c r="E640" s="139"/>
    </row>
    <row r="641" ht="14.25" customHeight="1">
      <c r="E641" s="139"/>
    </row>
    <row r="642" ht="14.25" customHeight="1">
      <c r="E642" s="139"/>
    </row>
    <row r="643" ht="14.25" customHeight="1">
      <c r="E643" s="139"/>
    </row>
    <row r="644" ht="14.25" customHeight="1">
      <c r="E644" s="139"/>
    </row>
    <row r="645" ht="14.25" customHeight="1">
      <c r="E645" s="139"/>
    </row>
    <row r="646" ht="14.25" customHeight="1">
      <c r="E646" s="139"/>
    </row>
    <row r="647" ht="14.25" customHeight="1">
      <c r="E647" s="139"/>
    </row>
    <row r="648" ht="14.25" customHeight="1">
      <c r="E648" s="139"/>
    </row>
    <row r="649" ht="14.25" customHeight="1">
      <c r="E649" s="139"/>
    </row>
    <row r="650" ht="14.25" customHeight="1">
      <c r="E650" s="139"/>
    </row>
    <row r="651" ht="14.25" customHeight="1">
      <c r="E651" s="139"/>
    </row>
    <row r="652" ht="14.25" customHeight="1">
      <c r="E652" s="139"/>
    </row>
    <row r="653" ht="14.25" customHeight="1">
      <c r="E653" s="139"/>
    </row>
    <row r="654" ht="14.25" customHeight="1">
      <c r="E654" s="139"/>
    </row>
    <row r="655" ht="14.25" customHeight="1">
      <c r="E655" s="139"/>
    </row>
    <row r="656" ht="14.25" customHeight="1">
      <c r="E656" s="139"/>
    </row>
    <row r="657" ht="14.25" customHeight="1">
      <c r="E657" s="139"/>
    </row>
    <row r="658" ht="14.25" customHeight="1">
      <c r="E658" s="139"/>
    </row>
    <row r="659" ht="14.25" customHeight="1">
      <c r="E659" s="139"/>
    </row>
    <row r="660" ht="14.25" customHeight="1">
      <c r="E660" s="139"/>
    </row>
    <row r="661" ht="14.25" customHeight="1">
      <c r="E661" s="139"/>
    </row>
    <row r="662" ht="14.25" customHeight="1">
      <c r="E662" s="139"/>
    </row>
    <row r="663" ht="14.25" customHeight="1">
      <c r="E663" s="139"/>
    </row>
    <row r="664" ht="14.25" customHeight="1">
      <c r="E664" s="139"/>
    </row>
    <row r="665" ht="14.25" customHeight="1">
      <c r="E665" s="139"/>
    </row>
    <row r="666" ht="14.25" customHeight="1">
      <c r="E666" s="139"/>
    </row>
    <row r="667" ht="14.25" customHeight="1">
      <c r="E667" s="139"/>
    </row>
    <row r="668" ht="14.25" customHeight="1">
      <c r="E668" s="139"/>
    </row>
    <row r="669" ht="14.25" customHeight="1">
      <c r="E669" s="139"/>
    </row>
    <row r="670" ht="14.25" customHeight="1">
      <c r="E670" s="139"/>
    </row>
    <row r="671" ht="14.25" customHeight="1">
      <c r="E671" s="139"/>
    </row>
    <row r="672" ht="14.25" customHeight="1">
      <c r="E672" s="139"/>
    </row>
    <row r="673" ht="14.25" customHeight="1">
      <c r="E673" s="139"/>
    </row>
    <row r="674" ht="14.25" customHeight="1">
      <c r="E674" s="139"/>
    </row>
    <row r="675" ht="14.25" customHeight="1">
      <c r="E675" s="139"/>
    </row>
    <row r="676" ht="14.25" customHeight="1">
      <c r="E676" s="139"/>
    </row>
    <row r="677" ht="14.25" customHeight="1">
      <c r="E677" s="139"/>
    </row>
    <row r="678" ht="14.25" customHeight="1">
      <c r="E678" s="139"/>
    </row>
    <row r="679" ht="14.25" customHeight="1">
      <c r="E679" s="139"/>
    </row>
    <row r="680" ht="14.25" customHeight="1">
      <c r="E680" s="139"/>
    </row>
    <row r="681" ht="14.25" customHeight="1">
      <c r="E681" s="139"/>
    </row>
    <row r="682" ht="14.25" customHeight="1">
      <c r="E682" s="139"/>
    </row>
    <row r="683" ht="14.25" customHeight="1">
      <c r="E683" s="139"/>
    </row>
    <row r="684" ht="14.25" customHeight="1">
      <c r="E684" s="139"/>
    </row>
    <row r="685" ht="14.25" customHeight="1">
      <c r="E685" s="139"/>
    </row>
    <row r="686" ht="14.25" customHeight="1">
      <c r="E686" s="139"/>
    </row>
    <row r="687" ht="14.25" customHeight="1">
      <c r="E687" s="139"/>
    </row>
    <row r="688" ht="14.25" customHeight="1">
      <c r="E688" s="139"/>
    </row>
    <row r="689" ht="14.25" customHeight="1">
      <c r="E689" s="139"/>
    </row>
    <row r="690" ht="14.25" customHeight="1">
      <c r="E690" s="139"/>
    </row>
    <row r="691" ht="14.25" customHeight="1">
      <c r="E691" s="139"/>
    </row>
    <row r="692" ht="14.25" customHeight="1">
      <c r="E692" s="139"/>
    </row>
    <row r="693" ht="14.25" customHeight="1">
      <c r="E693" s="139"/>
    </row>
    <row r="694" ht="14.25" customHeight="1">
      <c r="E694" s="139"/>
    </row>
    <row r="695" ht="14.25" customHeight="1">
      <c r="E695" s="139"/>
    </row>
    <row r="696" ht="14.25" customHeight="1">
      <c r="E696" s="139"/>
    </row>
    <row r="697" ht="14.25" customHeight="1">
      <c r="E697" s="139"/>
    </row>
    <row r="698" ht="14.25" customHeight="1">
      <c r="E698" s="139"/>
    </row>
    <row r="699" ht="14.25" customHeight="1">
      <c r="E699" s="139"/>
    </row>
    <row r="700" ht="14.25" customHeight="1">
      <c r="E700" s="139"/>
    </row>
    <row r="701" ht="14.25" customHeight="1">
      <c r="E701" s="139"/>
    </row>
    <row r="702" ht="14.25" customHeight="1">
      <c r="E702" s="139"/>
    </row>
    <row r="703" ht="14.25" customHeight="1">
      <c r="E703" s="139"/>
    </row>
    <row r="704" ht="14.25" customHeight="1">
      <c r="E704" s="139"/>
    </row>
    <row r="705" ht="14.25" customHeight="1">
      <c r="E705" s="139"/>
    </row>
    <row r="706" ht="14.25" customHeight="1">
      <c r="E706" s="139"/>
    </row>
    <row r="707" ht="14.25" customHeight="1">
      <c r="E707" s="139"/>
    </row>
    <row r="708" ht="14.25" customHeight="1">
      <c r="E708" s="139"/>
    </row>
    <row r="709" ht="14.25" customHeight="1">
      <c r="E709" s="139"/>
    </row>
    <row r="710" ht="14.25" customHeight="1">
      <c r="E710" s="139"/>
    </row>
    <row r="711" ht="14.25" customHeight="1">
      <c r="E711" s="139"/>
    </row>
    <row r="712" ht="14.25" customHeight="1">
      <c r="E712" s="139"/>
    </row>
    <row r="713" ht="14.25" customHeight="1">
      <c r="E713" s="139"/>
    </row>
    <row r="714" ht="14.25" customHeight="1">
      <c r="E714" s="139"/>
    </row>
    <row r="715" ht="14.25" customHeight="1">
      <c r="E715" s="139"/>
    </row>
    <row r="716" ht="14.25" customHeight="1">
      <c r="E716" s="139"/>
    </row>
    <row r="717" ht="14.25" customHeight="1">
      <c r="E717" s="139"/>
    </row>
    <row r="718" ht="14.25" customHeight="1">
      <c r="E718" s="139"/>
    </row>
    <row r="719" ht="14.25" customHeight="1">
      <c r="E719" s="139"/>
    </row>
    <row r="720" ht="14.25" customHeight="1">
      <c r="E720" s="139"/>
    </row>
    <row r="721" ht="14.25" customHeight="1">
      <c r="E721" s="139"/>
    </row>
    <row r="722" ht="14.25" customHeight="1">
      <c r="E722" s="139"/>
    </row>
    <row r="723" ht="14.25" customHeight="1">
      <c r="E723" s="139"/>
    </row>
    <row r="724" ht="14.25" customHeight="1">
      <c r="E724" s="139"/>
    </row>
    <row r="725" ht="14.25" customHeight="1">
      <c r="E725" s="139"/>
    </row>
    <row r="726" ht="14.25" customHeight="1">
      <c r="E726" s="139"/>
    </row>
    <row r="727" ht="14.25" customHeight="1">
      <c r="E727" s="139"/>
    </row>
    <row r="728" ht="14.25" customHeight="1">
      <c r="E728" s="139"/>
    </row>
    <row r="729" ht="14.25" customHeight="1">
      <c r="E729" s="139"/>
    </row>
    <row r="730" ht="14.25" customHeight="1">
      <c r="E730" s="139"/>
    </row>
    <row r="731" ht="14.25" customHeight="1">
      <c r="E731" s="139"/>
    </row>
    <row r="732" ht="14.25" customHeight="1">
      <c r="E732" s="139"/>
    </row>
    <row r="733" ht="14.25" customHeight="1">
      <c r="E733" s="139"/>
    </row>
    <row r="734" ht="14.25" customHeight="1">
      <c r="E734" s="139"/>
    </row>
    <row r="735" ht="14.25" customHeight="1">
      <c r="E735" s="139"/>
    </row>
    <row r="736" ht="14.25" customHeight="1">
      <c r="E736" s="139"/>
    </row>
    <row r="737" ht="14.25" customHeight="1">
      <c r="E737" s="139"/>
    </row>
    <row r="738" ht="14.25" customHeight="1">
      <c r="E738" s="139"/>
    </row>
    <row r="739" ht="14.25" customHeight="1">
      <c r="E739" s="139"/>
    </row>
    <row r="740" ht="14.25" customHeight="1">
      <c r="E740" s="139"/>
    </row>
    <row r="741" ht="14.25" customHeight="1">
      <c r="E741" s="139"/>
    </row>
    <row r="742" ht="14.25" customHeight="1">
      <c r="E742" s="139"/>
    </row>
    <row r="743" ht="14.25" customHeight="1">
      <c r="E743" s="139"/>
    </row>
    <row r="744" ht="14.25" customHeight="1">
      <c r="E744" s="139"/>
    </row>
    <row r="745" ht="14.25" customHeight="1">
      <c r="E745" s="139"/>
    </row>
    <row r="746" ht="14.25" customHeight="1">
      <c r="E746" s="139"/>
    </row>
    <row r="747" ht="14.25" customHeight="1">
      <c r="E747" s="139"/>
    </row>
    <row r="748" ht="14.25" customHeight="1">
      <c r="E748" s="139"/>
    </row>
    <row r="749" ht="14.25" customHeight="1">
      <c r="E749" s="139"/>
    </row>
    <row r="750" ht="14.25" customHeight="1">
      <c r="E750" s="139"/>
    </row>
    <row r="751" ht="14.25" customHeight="1">
      <c r="E751" s="139"/>
    </row>
    <row r="752" ht="14.25" customHeight="1">
      <c r="E752" s="139"/>
    </row>
    <row r="753" ht="14.25" customHeight="1">
      <c r="E753" s="139"/>
    </row>
    <row r="754" ht="14.25" customHeight="1">
      <c r="E754" s="139"/>
    </row>
    <row r="755" ht="14.25" customHeight="1">
      <c r="E755" s="139"/>
    </row>
    <row r="756" ht="14.25" customHeight="1">
      <c r="E756" s="139"/>
    </row>
    <row r="757" ht="14.25" customHeight="1">
      <c r="E757" s="139"/>
    </row>
    <row r="758" ht="14.25" customHeight="1">
      <c r="E758" s="139"/>
    </row>
    <row r="759" ht="14.25" customHeight="1">
      <c r="E759" s="139"/>
    </row>
    <row r="760" ht="14.25" customHeight="1">
      <c r="E760" s="139"/>
    </row>
    <row r="761" ht="14.25" customHeight="1">
      <c r="E761" s="139"/>
    </row>
    <row r="762" ht="14.25" customHeight="1">
      <c r="E762" s="139"/>
    </row>
    <row r="763" ht="14.25" customHeight="1">
      <c r="E763" s="139"/>
    </row>
    <row r="764" ht="14.25" customHeight="1">
      <c r="E764" s="139"/>
    </row>
    <row r="765" ht="14.25" customHeight="1">
      <c r="E765" s="139"/>
    </row>
    <row r="766" ht="14.25" customHeight="1">
      <c r="E766" s="139"/>
    </row>
    <row r="767" ht="14.25" customHeight="1">
      <c r="E767" s="139"/>
    </row>
    <row r="768" ht="14.25" customHeight="1">
      <c r="E768" s="139"/>
    </row>
    <row r="769" ht="14.25" customHeight="1">
      <c r="E769" s="139"/>
    </row>
    <row r="770" ht="14.25" customHeight="1">
      <c r="E770" s="139"/>
    </row>
    <row r="771" ht="14.25" customHeight="1">
      <c r="E771" s="139"/>
    </row>
    <row r="772" ht="14.25" customHeight="1">
      <c r="E772" s="139"/>
    </row>
    <row r="773" ht="14.25" customHeight="1">
      <c r="E773" s="139"/>
    </row>
    <row r="774" ht="14.25" customHeight="1">
      <c r="E774" s="139"/>
    </row>
    <row r="775" ht="14.25" customHeight="1">
      <c r="E775" s="139"/>
    </row>
    <row r="776" ht="14.25" customHeight="1">
      <c r="E776" s="139"/>
    </row>
    <row r="777" ht="14.25" customHeight="1">
      <c r="E777" s="139"/>
    </row>
    <row r="778" ht="14.25" customHeight="1">
      <c r="E778" s="139"/>
    </row>
    <row r="779" ht="14.25" customHeight="1">
      <c r="E779" s="139"/>
    </row>
    <row r="780" ht="14.25" customHeight="1">
      <c r="E780" s="139"/>
    </row>
    <row r="781" ht="14.25" customHeight="1">
      <c r="E781" s="139"/>
    </row>
    <row r="782" ht="14.25" customHeight="1">
      <c r="E782" s="139"/>
    </row>
    <row r="783" ht="14.25" customHeight="1">
      <c r="E783" s="139"/>
    </row>
    <row r="784" ht="14.25" customHeight="1">
      <c r="E784" s="139"/>
    </row>
    <row r="785" ht="14.25" customHeight="1">
      <c r="E785" s="139"/>
    </row>
    <row r="786" ht="14.25" customHeight="1">
      <c r="E786" s="139"/>
    </row>
    <row r="787" ht="14.25" customHeight="1">
      <c r="E787" s="139"/>
    </row>
    <row r="788" ht="14.25" customHeight="1">
      <c r="E788" s="139"/>
    </row>
    <row r="789" ht="14.25" customHeight="1">
      <c r="E789" s="139"/>
    </row>
    <row r="790" ht="14.25" customHeight="1">
      <c r="E790" s="139"/>
    </row>
    <row r="791" ht="14.25" customHeight="1">
      <c r="E791" s="139"/>
    </row>
    <row r="792" ht="14.25" customHeight="1">
      <c r="E792" s="139"/>
    </row>
    <row r="793" ht="14.25" customHeight="1">
      <c r="E793" s="139"/>
    </row>
    <row r="794" ht="14.25" customHeight="1">
      <c r="E794" s="139"/>
    </row>
    <row r="795" ht="14.25" customHeight="1">
      <c r="E795" s="139"/>
    </row>
    <row r="796" ht="14.25" customHeight="1">
      <c r="E796" s="139"/>
    </row>
    <row r="797" ht="14.25" customHeight="1">
      <c r="E797" s="139"/>
    </row>
    <row r="798" ht="14.25" customHeight="1">
      <c r="E798" s="139"/>
    </row>
    <row r="799" ht="14.25" customHeight="1">
      <c r="E799" s="139"/>
    </row>
    <row r="800" ht="14.25" customHeight="1">
      <c r="E800" s="139"/>
    </row>
    <row r="801" ht="14.25" customHeight="1">
      <c r="E801" s="139"/>
    </row>
    <row r="802" ht="14.25" customHeight="1">
      <c r="E802" s="139"/>
    </row>
    <row r="803" ht="14.25" customHeight="1">
      <c r="E803" s="139"/>
    </row>
    <row r="804" ht="14.25" customHeight="1">
      <c r="E804" s="139"/>
    </row>
    <row r="805" ht="14.25" customHeight="1">
      <c r="E805" s="139"/>
    </row>
    <row r="806" ht="14.25" customHeight="1">
      <c r="E806" s="139"/>
    </row>
    <row r="807" ht="14.25" customHeight="1">
      <c r="E807" s="139"/>
    </row>
    <row r="808" ht="14.25" customHeight="1">
      <c r="E808" s="139"/>
    </row>
    <row r="809" ht="14.25" customHeight="1">
      <c r="E809" s="139"/>
    </row>
    <row r="810" ht="14.25" customHeight="1">
      <c r="E810" s="139"/>
    </row>
    <row r="811" ht="14.25" customHeight="1">
      <c r="E811" s="139"/>
    </row>
    <row r="812" ht="14.25" customHeight="1">
      <c r="E812" s="139"/>
    </row>
    <row r="813" ht="14.25" customHeight="1">
      <c r="E813" s="139"/>
    </row>
    <row r="814" ht="14.25" customHeight="1">
      <c r="E814" s="139"/>
    </row>
    <row r="815" ht="14.25" customHeight="1">
      <c r="E815" s="139"/>
    </row>
    <row r="816" ht="14.25" customHeight="1">
      <c r="E816" s="139"/>
    </row>
    <row r="817" ht="14.25" customHeight="1">
      <c r="E817" s="139"/>
    </row>
    <row r="818" ht="14.25" customHeight="1">
      <c r="E818" s="139"/>
    </row>
    <row r="819" ht="14.25" customHeight="1">
      <c r="E819" s="139"/>
    </row>
    <row r="820" ht="14.25" customHeight="1">
      <c r="E820" s="139"/>
    </row>
    <row r="821" ht="14.25" customHeight="1">
      <c r="E821" s="139"/>
    </row>
    <row r="822" ht="14.25" customHeight="1">
      <c r="E822" s="139"/>
    </row>
    <row r="823" ht="14.25" customHeight="1">
      <c r="E823" s="139"/>
    </row>
    <row r="824" ht="14.25" customHeight="1">
      <c r="E824" s="139"/>
    </row>
    <row r="825" ht="14.25" customHeight="1">
      <c r="E825" s="139"/>
    </row>
    <row r="826" ht="14.25" customHeight="1">
      <c r="E826" s="139"/>
    </row>
    <row r="827" ht="14.25" customHeight="1">
      <c r="E827" s="139"/>
    </row>
    <row r="828" ht="14.25" customHeight="1">
      <c r="E828" s="139"/>
    </row>
    <row r="829" ht="14.25" customHeight="1">
      <c r="E829" s="139"/>
    </row>
    <row r="830" ht="14.25" customHeight="1">
      <c r="E830" s="139"/>
    </row>
    <row r="831" ht="14.25" customHeight="1">
      <c r="E831" s="139"/>
    </row>
    <row r="832" ht="14.25" customHeight="1">
      <c r="E832" s="139"/>
    </row>
    <row r="833" ht="14.25" customHeight="1">
      <c r="E833" s="139"/>
    </row>
    <row r="834" ht="14.25" customHeight="1">
      <c r="E834" s="139"/>
    </row>
    <row r="835" ht="14.25" customHeight="1">
      <c r="E835" s="139"/>
    </row>
    <row r="836" ht="14.25" customHeight="1">
      <c r="E836" s="139"/>
    </row>
    <row r="837" ht="14.25" customHeight="1">
      <c r="E837" s="139"/>
    </row>
    <row r="838" ht="14.25" customHeight="1">
      <c r="E838" s="139"/>
    </row>
    <row r="839" ht="14.25" customHeight="1">
      <c r="E839" s="139"/>
    </row>
    <row r="840" ht="14.25" customHeight="1">
      <c r="E840" s="139"/>
    </row>
    <row r="841" ht="14.25" customHeight="1">
      <c r="E841" s="139"/>
    </row>
    <row r="842" ht="14.25" customHeight="1">
      <c r="E842" s="139"/>
    </row>
    <row r="843" ht="14.25" customHeight="1">
      <c r="E843" s="139"/>
    </row>
    <row r="844" ht="14.25" customHeight="1">
      <c r="E844" s="139"/>
    </row>
    <row r="845" ht="14.25" customHeight="1">
      <c r="E845" s="139"/>
    </row>
    <row r="846" ht="14.25" customHeight="1">
      <c r="E846" s="139"/>
    </row>
    <row r="847" ht="14.25" customHeight="1">
      <c r="E847" s="139"/>
    </row>
    <row r="848" ht="14.25" customHeight="1">
      <c r="E848" s="139"/>
    </row>
    <row r="849" ht="14.25" customHeight="1">
      <c r="E849" s="139"/>
    </row>
    <row r="850" ht="14.25" customHeight="1">
      <c r="E850" s="139"/>
    </row>
    <row r="851" ht="14.25" customHeight="1">
      <c r="E851" s="139"/>
    </row>
    <row r="852" ht="14.25" customHeight="1">
      <c r="E852" s="139"/>
    </row>
    <row r="853" ht="14.25" customHeight="1">
      <c r="E853" s="139"/>
    </row>
    <row r="854" ht="14.25" customHeight="1">
      <c r="E854" s="139"/>
    </row>
    <row r="855" ht="14.25" customHeight="1">
      <c r="E855" s="139"/>
    </row>
    <row r="856" ht="14.25" customHeight="1">
      <c r="E856" s="139"/>
    </row>
    <row r="857" ht="14.25" customHeight="1">
      <c r="E857" s="139"/>
    </row>
    <row r="858" ht="14.25" customHeight="1">
      <c r="E858" s="139"/>
    </row>
    <row r="859" ht="14.25" customHeight="1">
      <c r="E859" s="139"/>
    </row>
    <row r="860" ht="14.25" customHeight="1">
      <c r="E860" s="139"/>
    </row>
    <row r="861" ht="14.25" customHeight="1">
      <c r="E861" s="139"/>
    </row>
    <row r="862" ht="14.25" customHeight="1">
      <c r="E862" s="139"/>
    </row>
    <row r="863" ht="14.25" customHeight="1">
      <c r="E863" s="139"/>
    </row>
    <row r="864" ht="14.25" customHeight="1">
      <c r="E864" s="139"/>
    </row>
    <row r="865" ht="14.25" customHeight="1">
      <c r="E865" s="139"/>
    </row>
    <row r="866" ht="14.25" customHeight="1">
      <c r="E866" s="139"/>
    </row>
    <row r="867" ht="14.25" customHeight="1">
      <c r="E867" s="139"/>
    </row>
    <row r="868" ht="14.25" customHeight="1">
      <c r="E868" s="139"/>
    </row>
    <row r="869" ht="14.25" customHeight="1">
      <c r="E869" s="139"/>
    </row>
    <row r="870" ht="14.25" customHeight="1">
      <c r="E870" s="139"/>
    </row>
    <row r="871" ht="14.25" customHeight="1">
      <c r="E871" s="139"/>
    </row>
    <row r="872" ht="14.25" customHeight="1">
      <c r="E872" s="139"/>
    </row>
    <row r="873" ht="14.25" customHeight="1">
      <c r="E873" s="139"/>
    </row>
    <row r="874" ht="14.25" customHeight="1">
      <c r="E874" s="139"/>
    </row>
    <row r="875" ht="14.25" customHeight="1">
      <c r="E875" s="139"/>
    </row>
    <row r="876" ht="14.25" customHeight="1">
      <c r="E876" s="139"/>
    </row>
    <row r="877" ht="14.25" customHeight="1">
      <c r="E877" s="139"/>
    </row>
    <row r="878" ht="14.25" customHeight="1">
      <c r="E878" s="139"/>
    </row>
    <row r="879" ht="14.25" customHeight="1">
      <c r="E879" s="139"/>
    </row>
    <row r="880" ht="14.25" customHeight="1">
      <c r="E880" s="139"/>
    </row>
    <row r="881" ht="14.25" customHeight="1">
      <c r="E881" s="139"/>
    </row>
    <row r="882" ht="14.25" customHeight="1">
      <c r="E882" s="139"/>
    </row>
    <row r="883" ht="14.25" customHeight="1">
      <c r="E883" s="139"/>
    </row>
    <row r="884" ht="14.25" customHeight="1">
      <c r="E884" s="139"/>
    </row>
    <row r="885" ht="14.25" customHeight="1">
      <c r="E885" s="139"/>
    </row>
    <row r="886" ht="14.25" customHeight="1">
      <c r="E886" s="139"/>
    </row>
    <row r="887" ht="14.25" customHeight="1">
      <c r="E887" s="139"/>
    </row>
    <row r="888" ht="14.25" customHeight="1">
      <c r="E888" s="139"/>
    </row>
    <row r="889" ht="14.25" customHeight="1">
      <c r="E889" s="139"/>
    </row>
    <row r="890" ht="14.25" customHeight="1">
      <c r="E890" s="139"/>
    </row>
    <row r="891" ht="14.25" customHeight="1">
      <c r="E891" s="139"/>
    </row>
    <row r="892" ht="14.25" customHeight="1">
      <c r="E892" s="139"/>
    </row>
    <row r="893" ht="14.25" customHeight="1">
      <c r="E893" s="139"/>
    </row>
    <row r="894" ht="14.25" customHeight="1">
      <c r="E894" s="139"/>
    </row>
    <row r="895" ht="14.25" customHeight="1">
      <c r="E895" s="139"/>
    </row>
    <row r="896" ht="14.25" customHeight="1">
      <c r="E896" s="139"/>
    </row>
    <row r="897" ht="14.25" customHeight="1">
      <c r="E897" s="139"/>
    </row>
    <row r="898" ht="14.25" customHeight="1">
      <c r="E898" s="139"/>
    </row>
    <row r="899" ht="14.25" customHeight="1">
      <c r="E899" s="139"/>
    </row>
    <row r="900" ht="14.25" customHeight="1">
      <c r="E900" s="139"/>
    </row>
    <row r="901" ht="14.25" customHeight="1">
      <c r="E901" s="139"/>
    </row>
    <row r="902" ht="14.25" customHeight="1">
      <c r="E902" s="139"/>
    </row>
    <row r="903" ht="14.25" customHeight="1">
      <c r="E903" s="139"/>
    </row>
    <row r="904" ht="14.25" customHeight="1">
      <c r="E904" s="139"/>
    </row>
    <row r="905" ht="14.25" customHeight="1">
      <c r="E905" s="139"/>
    </row>
    <row r="906" ht="14.25" customHeight="1">
      <c r="E906" s="139"/>
    </row>
    <row r="907" ht="14.25" customHeight="1">
      <c r="E907" s="139"/>
    </row>
    <row r="908" ht="14.25" customHeight="1">
      <c r="E908" s="139"/>
    </row>
    <row r="909" ht="14.25" customHeight="1">
      <c r="E909" s="139"/>
    </row>
    <row r="910" ht="14.25" customHeight="1">
      <c r="E910" s="139"/>
    </row>
    <row r="911" ht="14.25" customHeight="1">
      <c r="E911" s="139"/>
    </row>
    <row r="912" ht="14.25" customHeight="1">
      <c r="E912" s="139"/>
    </row>
    <row r="913" ht="14.25" customHeight="1">
      <c r="E913" s="139"/>
    </row>
    <row r="914" ht="14.25" customHeight="1">
      <c r="E914" s="139"/>
    </row>
    <row r="915" ht="14.25" customHeight="1">
      <c r="E915" s="139"/>
    </row>
    <row r="916" ht="14.25" customHeight="1">
      <c r="E916" s="139"/>
    </row>
    <row r="917" ht="14.25" customHeight="1">
      <c r="E917" s="139"/>
    </row>
    <row r="918" ht="14.25" customHeight="1">
      <c r="E918" s="139"/>
    </row>
    <row r="919" ht="14.25" customHeight="1">
      <c r="E919" s="139"/>
    </row>
    <row r="920" ht="14.25" customHeight="1">
      <c r="E920" s="139"/>
    </row>
    <row r="921" ht="14.25" customHeight="1">
      <c r="E921" s="139"/>
    </row>
    <row r="922" ht="14.25" customHeight="1">
      <c r="E922" s="139"/>
    </row>
    <row r="923" ht="14.25" customHeight="1">
      <c r="E923" s="139"/>
    </row>
    <row r="924" ht="14.25" customHeight="1">
      <c r="E924" s="139"/>
    </row>
    <row r="925" ht="14.25" customHeight="1">
      <c r="E925" s="139"/>
    </row>
    <row r="926" ht="14.25" customHeight="1">
      <c r="E926" s="139"/>
    </row>
    <row r="927" ht="14.25" customHeight="1">
      <c r="E927" s="139"/>
    </row>
    <row r="928" ht="14.25" customHeight="1">
      <c r="E928" s="139"/>
    </row>
    <row r="929" ht="14.25" customHeight="1">
      <c r="E929" s="139"/>
    </row>
    <row r="930" ht="14.25" customHeight="1">
      <c r="E930" s="139"/>
    </row>
    <row r="931" ht="14.25" customHeight="1">
      <c r="E931" s="139"/>
    </row>
    <row r="932" ht="14.25" customHeight="1">
      <c r="E932" s="139"/>
    </row>
    <row r="933" ht="14.25" customHeight="1">
      <c r="E933" s="139"/>
    </row>
    <row r="934" ht="14.25" customHeight="1">
      <c r="E934" s="139"/>
    </row>
    <row r="935" ht="14.25" customHeight="1">
      <c r="E935" s="139"/>
    </row>
    <row r="936" ht="14.25" customHeight="1">
      <c r="E936" s="139"/>
    </row>
    <row r="937" ht="14.25" customHeight="1">
      <c r="E937" s="139"/>
    </row>
    <row r="938" ht="14.25" customHeight="1">
      <c r="E938" s="139"/>
    </row>
    <row r="939" ht="14.25" customHeight="1">
      <c r="E939" s="139"/>
    </row>
    <row r="940" ht="14.25" customHeight="1">
      <c r="E940" s="139"/>
    </row>
    <row r="941" ht="14.25" customHeight="1">
      <c r="E941" s="139"/>
    </row>
    <row r="942" ht="14.25" customHeight="1">
      <c r="E942" s="139"/>
    </row>
    <row r="943" ht="14.25" customHeight="1">
      <c r="E943" s="139"/>
    </row>
    <row r="944" ht="14.25" customHeight="1">
      <c r="E944" s="139"/>
    </row>
    <row r="945" ht="14.25" customHeight="1">
      <c r="E945" s="139"/>
    </row>
    <row r="946" ht="14.25" customHeight="1">
      <c r="E946" s="139"/>
    </row>
    <row r="947" ht="14.25" customHeight="1">
      <c r="E947" s="139"/>
    </row>
    <row r="948" ht="14.25" customHeight="1">
      <c r="E948" s="139"/>
    </row>
    <row r="949" ht="14.25" customHeight="1">
      <c r="E949" s="139"/>
    </row>
    <row r="950" ht="14.25" customHeight="1">
      <c r="E950" s="139"/>
    </row>
    <row r="951" ht="14.25" customHeight="1">
      <c r="E951" s="139"/>
    </row>
    <row r="952" ht="14.25" customHeight="1">
      <c r="E952" s="139"/>
    </row>
    <row r="953" ht="14.25" customHeight="1">
      <c r="E953" s="139"/>
    </row>
    <row r="954" ht="14.25" customHeight="1">
      <c r="E954" s="139"/>
    </row>
    <row r="955" ht="14.25" customHeight="1">
      <c r="E955" s="139"/>
    </row>
    <row r="956" ht="14.25" customHeight="1">
      <c r="E956" s="139"/>
    </row>
    <row r="957" ht="14.25" customHeight="1">
      <c r="E957" s="139"/>
    </row>
    <row r="958" ht="14.25" customHeight="1">
      <c r="E958" s="139"/>
    </row>
    <row r="959" ht="14.25" customHeight="1">
      <c r="E959" s="139"/>
    </row>
    <row r="960" ht="14.25" customHeight="1">
      <c r="E960" s="139"/>
    </row>
    <row r="961" ht="14.25" customHeight="1">
      <c r="E961" s="139"/>
    </row>
    <row r="962" ht="14.25" customHeight="1">
      <c r="E962" s="139"/>
    </row>
    <row r="963" ht="14.25" customHeight="1">
      <c r="E963" s="139"/>
    </row>
    <row r="964" ht="14.25" customHeight="1">
      <c r="E964" s="139"/>
    </row>
    <row r="965" ht="14.25" customHeight="1">
      <c r="E965" s="139"/>
    </row>
    <row r="966" ht="14.25" customHeight="1">
      <c r="E966" s="139"/>
    </row>
    <row r="967" ht="14.25" customHeight="1">
      <c r="E967" s="139"/>
    </row>
    <row r="968" ht="14.25" customHeight="1">
      <c r="E968" s="139"/>
    </row>
    <row r="969" ht="14.25" customHeight="1">
      <c r="E969" s="139"/>
    </row>
    <row r="970" ht="14.25" customHeight="1">
      <c r="E970" s="139"/>
    </row>
    <row r="971" ht="14.25" customHeight="1">
      <c r="E971" s="139"/>
    </row>
    <row r="972" ht="14.25" customHeight="1">
      <c r="E972" s="139"/>
    </row>
    <row r="973" ht="14.25" customHeight="1">
      <c r="E973" s="139"/>
    </row>
    <row r="974" ht="14.25" customHeight="1">
      <c r="E974" s="139"/>
    </row>
    <row r="975" ht="14.25" customHeight="1">
      <c r="E975" s="139"/>
    </row>
    <row r="976" ht="14.25" customHeight="1">
      <c r="E976" s="139"/>
    </row>
    <row r="977" ht="14.25" customHeight="1">
      <c r="E977" s="139"/>
    </row>
    <row r="978" ht="14.25" customHeight="1">
      <c r="E978" s="139"/>
    </row>
    <row r="979" ht="14.25" customHeight="1">
      <c r="E979" s="139"/>
    </row>
    <row r="980" ht="14.25" customHeight="1">
      <c r="E980" s="139"/>
    </row>
    <row r="981" ht="14.25" customHeight="1">
      <c r="E981" s="139"/>
    </row>
    <row r="982" ht="14.25" customHeight="1">
      <c r="E982" s="139"/>
    </row>
    <row r="983" ht="14.25" customHeight="1">
      <c r="E983" s="139"/>
    </row>
    <row r="984" ht="14.25" customHeight="1">
      <c r="E984" s="139"/>
    </row>
    <row r="985" ht="14.25" customHeight="1">
      <c r="E985" s="139"/>
    </row>
    <row r="986" ht="14.25" customHeight="1">
      <c r="E986" s="139"/>
    </row>
    <row r="987" ht="14.25" customHeight="1">
      <c r="E987" s="139"/>
    </row>
    <row r="988" ht="14.25" customHeight="1">
      <c r="E988" s="139"/>
    </row>
    <row r="989" ht="14.25" customHeight="1">
      <c r="E989" s="139"/>
    </row>
    <row r="990" ht="14.25" customHeight="1">
      <c r="E990" s="139"/>
    </row>
    <row r="991" ht="14.25" customHeight="1">
      <c r="E991" s="139"/>
    </row>
    <row r="992" ht="14.25" customHeight="1">
      <c r="E992" s="139"/>
    </row>
    <row r="993" ht="14.25" customHeight="1">
      <c r="E993" s="139"/>
    </row>
    <row r="994" ht="14.25" customHeight="1">
      <c r="E994" s="139"/>
    </row>
    <row r="995" ht="14.25" customHeight="1">
      <c r="E995" s="139"/>
    </row>
    <row r="996" ht="14.25" customHeight="1">
      <c r="E996" s="139"/>
    </row>
    <row r="997" ht="14.25" customHeight="1">
      <c r="E997" s="139"/>
    </row>
    <row r="998" ht="14.25" customHeight="1">
      <c r="E998" s="139"/>
    </row>
    <row r="999" ht="14.25" customHeight="1">
      <c r="E999" s="139"/>
    </row>
    <row r="1000" ht="14.25" customHeight="1">
      <c r="E1000" s="13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2020-10-27T18:24:01Z</dcterms:created>
  <dc:creator>Kamil Olagunju</dc:creator>
</cp:coreProperties>
</file>